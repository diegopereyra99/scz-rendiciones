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Downloads\"/>
    </mc:Choice>
  </mc:AlternateContent>
  <xr:revisionPtr revIDLastSave="0" documentId="13_ncr:1_{CB9F4766-E6B3-41ED-97B6-390064C21CA9}" xr6:coauthVersionLast="47" xr6:coauthVersionMax="47" xr10:uidLastSave="{00000000-0000-0000-0000-000000000000}"/>
  <bookViews>
    <workbookView xWindow="-108" yWindow="-108" windowWidth="23256" windowHeight="12576" tabRatio="570" xr2:uid="{00000000-000D-0000-FFFF-FFFF00000000}"/>
  </bookViews>
  <sheets>
    <sheet name="Formulario" sheetId="4" r:id="rId1"/>
    <sheet name="Cond SAP" sheetId="15" state="hidden" r:id="rId2"/>
    <sheet name="Cabecera" sheetId="12" r:id="rId3"/>
    <sheet name="Posiciones" sheetId="13" r:id="rId4"/>
    <sheet name="Retenciones" sheetId="14" r:id="rId5"/>
    <sheet name="Descripciones de gastos" sheetId="6" r:id="rId6"/>
    <sheet name="clave_PlanillaGastos_2024" sheetId="5" r:id="rId7"/>
  </sheets>
  <definedNames>
    <definedName name="_xlpm.base22" hidden="1" xlm="1">#NAME?</definedName>
    <definedName name="_xlpm.ctaGasto" hidden="1" xlm="1">#NAME?</definedName>
    <definedName name="_xlpm.ctaIva10" hidden="1" xlm="1">#NAME?</definedName>
    <definedName name="_xlpm.ctaIva22" hidden="1" xlm="1">#NAME?</definedName>
    <definedName name="_xlpm.ctaProv" hidden="1" xlm="1">#NAME?</definedName>
    <definedName name="_xlpm.doc" hidden="1" xlm="1">#NAME?</definedName>
    <definedName name="_xlpm.fil" hidden="1" xlm="1">#NAME?</definedName>
    <definedName name="_xlpm.pos" hidden="1" xlm="1">#NAME?</definedName>
    <definedName name="Proveedoress" localSheetId="1">ListaProveedores</definedName>
    <definedName name="Proveedoress">ListaProveedores</definedName>
    <definedName name="Proveedorr" localSheetId="1">ListaProveedores</definedName>
    <definedName name="Proveedorr">ListaProveedores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4" l="1" a="1"/>
  <c r="D18" i="4"/>
  <c r="M18" i="4"/>
  <c r="O18" i="4"/>
  <c r="R18" i="4"/>
  <c r="T18" i="4"/>
  <c r="V18" i="4"/>
  <c r="AA18" i="4"/>
  <c r="P40" i="4"/>
  <c r="P39" i="4"/>
  <c r="R14" i="4"/>
  <c r="R15" i="4"/>
  <c r="R16" i="4"/>
  <c r="R17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V14" i="4"/>
  <c r="V15" i="4"/>
  <c r="V16" i="4"/>
  <c r="V17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T14" i="4"/>
  <c r="T15" i="4"/>
  <c r="T16" i="4"/>
  <c r="T17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B376" i="13"/>
  <c r="A227" i="13" a="1"/>
  <c r="A227" i="13" s="1"/>
  <c r="F227" i="13" s="1"/>
  <c r="A228" i="13" a="1"/>
  <c r="A228" i="13" s="1"/>
  <c r="C228" i="13" s="1"/>
  <c r="A229" i="13" a="1"/>
  <c r="A229" i="13" s="1"/>
  <c r="C229" i="13" s="1"/>
  <c r="A230" i="13" a="1"/>
  <c r="A230" i="13" s="1"/>
  <c r="A231" i="13" a="1"/>
  <c r="A231" i="13" s="1"/>
  <c r="C231" i="13" s="1"/>
  <c r="A232" i="13" a="1"/>
  <c r="A232" i="13" s="1"/>
  <c r="D232" i="13" s="1" a="1"/>
  <c r="D232" i="13" s="1"/>
  <c r="A233" i="13" a="1"/>
  <c r="A233" i="13" s="1"/>
  <c r="D233" i="13" s="1" a="1"/>
  <c r="D233" i="13" s="1"/>
  <c r="A234" i="13" a="1"/>
  <c r="A234" i="13" s="1"/>
  <c r="D234" i="13" s="1" a="1"/>
  <c r="D234" i="13" s="1"/>
  <c r="A235" i="13" a="1"/>
  <c r="A235" i="13" s="1"/>
  <c r="F235" i="13" s="1"/>
  <c r="A236" i="13" a="1"/>
  <c r="A236" i="13" s="1"/>
  <c r="B236" i="13" s="1"/>
  <c r="A237" i="13" a="1"/>
  <c r="A237" i="13" s="1"/>
  <c r="C237" i="13" s="1"/>
  <c r="A238" i="13" a="1"/>
  <c r="A238" i="13" s="1"/>
  <c r="C238" i="13" s="1"/>
  <c r="A239" i="13" a="1"/>
  <c r="A239" i="13" s="1"/>
  <c r="D239" i="13" s="1" a="1"/>
  <c r="D239" i="13" s="1"/>
  <c r="A240" i="13" a="1"/>
  <c r="A240" i="13" s="1"/>
  <c r="C240" i="13" s="1"/>
  <c r="A241" i="13" a="1"/>
  <c r="A241" i="13" s="1"/>
  <c r="C241" i="13" s="1"/>
  <c r="A242" i="13" a="1"/>
  <c r="A242" i="13" s="1"/>
  <c r="D242" i="13" s="1" a="1"/>
  <c r="D242" i="13" s="1"/>
  <c r="A243" i="13" a="1"/>
  <c r="A243" i="13" s="1"/>
  <c r="D243" i="13" s="1" a="1"/>
  <c r="D243" i="13" s="1"/>
  <c r="A244" i="13" a="1"/>
  <c r="A244" i="13" s="1"/>
  <c r="A245" i="13" a="1"/>
  <c r="A245" i="13" s="1"/>
  <c r="A246" i="13" a="1"/>
  <c r="A246" i="13" s="1"/>
  <c r="A247" i="13" a="1"/>
  <c r="A247" i="13" s="1"/>
  <c r="C247" i="13" s="1"/>
  <c r="A248" i="13" a="1"/>
  <c r="A248" i="13" s="1"/>
  <c r="A249" i="13" a="1"/>
  <c r="A249" i="13" s="1"/>
  <c r="D249" i="13" s="1" a="1"/>
  <c r="D249" i="13" s="1"/>
  <c r="A250" i="13" a="1"/>
  <c r="A250" i="13" s="1"/>
  <c r="C250" i="13" s="1"/>
  <c r="A251" i="13" a="1"/>
  <c r="A251" i="13" s="1"/>
  <c r="D251" i="13" s="1" a="1"/>
  <c r="D251" i="13" s="1"/>
  <c r="A252" i="13" a="1"/>
  <c r="A252" i="13" s="1"/>
  <c r="D252" i="13" s="1" a="1"/>
  <c r="D252" i="13" s="1"/>
  <c r="A253" i="13" a="1"/>
  <c r="A253" i="13" s="1"/>
  <c r="A254" i="13" a="1"/>
  <c r="A254" i="13" s="1"/>
  <c r="F254" i="13" s="1"/>
  <c r="A255" i="13" a="1"/>
  <c r="A255" i="13" s="1"/>
  <c r="C255" i="13" s="1"/>
  <c r="A256" i="13" a="1"/>
  <c r="A256" i="13" s="1"/>
  <c r="D256" i="13" s="1" a="1"/>
  <c r="D256" i="13" s="1"/>
  <c r="A257" i="13" a="1"/>
  <c r="A257" i="13" s="1"/>
  <c r="C257" i="13" s="1"/>
  <c r="A258" i="13" a="1"/>
  <c r="A258" i="13" s="1"/>
  <c r="F258" i="13" s="1"/>
  <c r="A259" i="13" a="1"/>
  <c r="A259" i="13" s="1"/>
  <c r="F259" i="13" s="1"/>
  <c r="A260" i="13" a="1"/>
  <c r="A260" i="13" s="1"/>
  <c r="A261" i="13" a="1"/>
  <c r="A261" i="13" s="1"/>
  <c r="A262" i="13" a="1"/>
  <c r="A262" i="13" s="1"/>
  <c r="A263" i="13" a="1"/>
  <c r="A263" i="13" s="1"/>
  <c r="D263" i="13" s="1" a="1"/>
  <c r="D263" i="13" s="1"/>
  <c r="A264" i="13" a="1"/>
  <c r="A264" i="13" s="1"/>
  <c r="D264" i="13" s="1" a="1"/>
  <c r="D264" i="13" s="1"/>
  <c r="A265" i="13" a="1"/>
  <c r="A265" i="13" s="1"/>
  <c r="F265" i="13" s="1"/>
  <c r="A266" i="13" a="1"/>
  <c r="A266" i="13" s="1"/>
  <c r="A267" i="13" a="1"/>
  <c r="A267" i="13" s="1"/>
  <c r="F267" i="13" s="1"/>
  <c r="A268" i="13" a="1"/>
  <c r="A268" i="13" s="1"/>
  <c r="F268" i="13" s="1"/>
  <c r="A269" i="13" a="1"/>
  <c r="A269" i="13" s="1"/>
  <c r="A270" i="13" a="1"/>
  <c r="A270" i="13" s="1"/>
  <c r="A271" i="13" a="1"/>
  <c r="A271" i="13" s="1"/>
  <c r="A272" i="13" a="1"/>
  <c r="A272" i="13" s="1"/>
  <c r="A273" i="13" a="1"/>
  <c r="A273" i="13" s="1"/>
  <c r="C273" i="13" s="1"/>
  <c r="A274" i="13" a="1"/>
  <c r="A274" i="13" s="1"/>
  <c r="A275" i="13" a="1"/>
  <c r="A275" i="13" s="1"/>
  <c r="F275" i="13" s="1"/>
  <c r="A276" i="13" a="1"/>
  <c r="A276" i="13" s="1"/>
  <c r="A277" i="13" a="1"/>
  <c r="A277" i="13" s="1"/>
  <c r="D277" i="13" s="1" a="1"/>
  <c r="D277" i="13" s="1"/>
  <c r="A278" i="13" a="1"/>
  <c r="A278" i="13" s="1"/>
  <c r="D278" i="13" s="1" a="1"/>
  <c r="D278" i="13" s="1"/>
  <c r="A279" i="13" a="1"/>
  <c r="A279" i="13" s="1"/>
  <c r="A280" i="13" a="1"/>
  <c r="A280" i="13" s="1"/>
  <c r="C280" i="13" s="1"/>
  <c r="A281" i="13" a="1"/>
  <c r="A281" i="13" s="1"/>
  <c r="A282" i="13" a="1"/>
  <c r="A282" i="13" s="1"/>
  <c r="F282" i="13" s="1"/>
  <c r="A283" i="13" a="1"/>
  <c r="A283" i="13" s="1"/>
  <c r="C283" i="13" s="1"/>
  <c r="A284" i="13" a="1"/>
  <c r="A284" i="13" s="1"/>
  <c r="F284" i="13" s="1"/>
  <c r="A285" i="13" a="1"/>
  <c r="A285" i="13" s="1"/>
  <c r="F285" i="13" s="1"/>
  <c r="A286" i="13" a="1"/>
  <c r="A286" i="13" s="1"/>
  <c r="A287" i="13" a="1"/>
  <c r="A287" i="13" s="1"/>
  <c r="F287" i="13" s="1"/>
  <c r="A288" i="13" a="1"/>
  <c r="A288" i="13" s="1"/>
  <c r="F288" i="13" s="1"/>
  <c r="A289" i="13" a="1"/>
  <c r="A289" i="13" s="1"/>
  <c r="C289" i="13" s="1"/>
  <c r="A290" i="13" a="1"/>
  <c r="A290" i="13" s="1"/>
  <c r="A291" i="13" a="1"/>
  <c r="A291" i="13" s="1"/>
  <c r="F291" i="13" s="1"/>
  <c r="A292" i="13" a="1"/>
  <c r="A292" i="13" s="1"/>
  <c r="F292" i="13" s="1"/>
  <c r="A293" i="13" a="1"/>
  <c r="A293" i="13" s="1"/>
  <c r="F293" i="13" s="1"/>
  <c r="A294" i="13" a="1"/>
  <c r="A294" i="13" s="1"/>
  <c r="A295" i="13" a="1"/>
  <c r="A295" i="13" s="1"/>
  <c r="F295" i="13" s="1"/>
  <c r="A296" i="13" a="1"/>
  <c r="A296" i="13" s="1"/>
  <c r="F296" i="13" s="1"/>
  <c r="A297" i="13" a="1"/>
  <c r="A297" i="13" s="1"/>
  <c r="D297" i="13" s="1" a="1"/>
  <c r="D297" i="13" s="1"/>
  <c r="A298" i="13" a="1"/>
  <c r="A298" i="13" s="1"/>
  <c r="F298" i="13" s="1"/>
  <c r="A299" i="13" a="1"/>
  <c r="A299" i="13" s="1"/>
  <c r="C299" i="13" s="1"/>
  <c r="A300" i="13" a="1"/>
  <c r="A300" i="13" s="1"/>
  <c r="D300" i="13" s="1" a="1"/>
  <c r="D300" i="13" s="1"/>
  <c r="A301" i="13" a="1"/>
  <c r="A301" i="13" s="1"/>
  <c r="F301" i="13" s="1"/>
  <c r="A302" i="13" a="1"/>
  <c r="A302" i="13" s="1"/>
  <c r="F302" i="13" s="1"/>
  <c r="A303" i="13" a="1"/>
  <c r="A303" i="13" s="1"/>
  <c r="F303" i="13" s="1"/>
  <c r="A304" i="13" a="1"/>
  <c r="A304" i="13" s="1"/>
  <c r="F304" i="13" s="1"/>
  <c r="A305" i="13" a="1"/>
  <c r="A305" i="13" s="1"/>
  <c r="F305" i="13" s="1"/>
  <c r="A306" i="13" a="1"/>
  <c r="A306" i="13" s="1"/>
  <c r="F306" i="13" s="1"/>
  <c r="A307" i="13" a="1"/>
  <c r="A307" i="13" s="1"/>
  <c r="C307" i="13" s="1"/>
  <c r="A308" i="13" a="1"/>
  <c r="A308" i="13" s="1"/>
  <c r="A309" i="13" a="1"/>
  <c r="A309" i="13" s="1"/>
  <c r="A310" i="13" a="1"/>
  <c r="A310" i="13" s="1"/>
  <c r="C310" i="13" s="1"/>
  <c r="A311" i="13" a="1"/>
  <c r="A311" i="13" s="1"/>
  <c r="A312" i="13" a="1"/>
  <c r="A312" i="13" s="1"/>
  <c r="C312" i="13" s="1"/>
  <c r="A313" i="13" a="1"/>
  <c r="A313" i="13" s="1"/>
  <c r="D313" i="13" s="1" a="1"/>
  <c r="D313" i="13" s="1"/>
  <c r="A314" i="13" a="1"/>
  <c r="A314" i="13" s="1"/>
  <c r="A315" i="13" a="1"/>
  <c r="A315" i="13" s="1"/>
  <c r="A316" i="13" a="1"/>
  <c r="A316" i="13" s="1"/>
  <c r="C316" i="13" s="1"/>
  <c r="A317" i="13" a="1"/>
  <c r="A317" i="13" s="1"/>
  <c r="D317" i="13" s="1" a="1"/>
  <c r="D317" i="13" s="1"/>
  <c r="A318" i="13" a="1"/>
  <c r="A318" i="13" s="1"/>
  <c r="D318" i="13" s="1" a="1"/>
  <c r="D318" i="13" s="1"/>
  <c r="A319" i="13" a="1"/>
  <c r="A319" i="13" s="1"/>
  <c r="A320" i="13" a="1"/>
  <c r="A320" i="13" s="1"/>
  <c r="C320" i="13" s="1"/>
  <c r="A321" i="13" a="1"/>
  <c r="A321" i="13" s="1"/>
  <c r="F321" i="13" s="1"/>
  <c r="A322" i="13" a="1"/>
  <c r="A322" i="13" s="1"/>
  <c r="A323" i="13" a="1"/>
  <c r="A323" i="13" s="1"/>
  <c r="A324" i="13" a="1"/>
  <c r="A324" i="13" s="1"/>
  <c r="A325" i="13" a="1"/>
  <c r="A325" i="13" s="1"/>
  <c r="A326" i="13" a="1"/>
  <c r="A326" i="13" s="1"/>
  <c r="C326" i="13" s="1"/>
  <c r="A327" i="13" a="1"/>
  <c r="A327" i="13" s="1"/>
  <c r="D327" i="13" s="1" a="1"/>
  <c r="D327" i="13" s="1"/>
  <c r="A328" i="13" a="1"/>
  <c r="A328" i="13" s="1"/>
  <c r="C328" i="13" s="1"/>
  <c r="A329" i="13" a="1"/>
  <c r="A329" i="13" s="1"/>
  <c r="A330" i="13" a="1"/>
  <c r="A330" i="13" s="1"/>
  <c r="D330" i="13" s="1" a="1"/>
  <c r="D330" i="13" s="1"/>
  <c r="A331" i="13" a="1"/>
  <c r="A331" i="13" s="1"/>
  <c r="D331" i="13" s="1" a="1"/>
  <c r="D331" i="13" s="1"/>
  <c r="A332" i="13" a="1"/>
  <c r="A332" i="13" s="1"/>
  <c r="F332" i="13" s="1"/>
  <c r="A333" i="13" a="1"/>
  <c r="A333" i="13" s="1"/>
  <c r="F333" i="13" s="1"/>
  <c r="A334" i="13" a="1"/>
  <c r="A334" i="13" s="1"/>
  <c r="A335" i="13" a="1"/>
  <c r="A335" i="13" s="1"/>
  <c r="A336" i="13" a="1"/>
  <c r="A336" i="13" s="1"/>
  <c r="A337" i="13" a="1"/>
  <c r="A337" i="13" s="1"/>
  <c r="D337" i="13" s="1" a="1"/>
  <c r="D337" i="13" s="1"/>
  <c r="A338" i="13" a="1"/>
  <c r="A338" i="13" s="1"/>
  <c r="A339" i="13" a="1"/>
  <c r="A339" i="13" s="1"/>
  <c r="C339" i="13" s="1"/>
  <c r="A340" i="13" a="1"/>
  <c r="A340" i="13" s="1"/>
  <c r="A341" i="13" a="1"/>
  <c r="A341" i="13" s="1"/>
  <c r="D341" i="13" s="1" a="1"/>
  <c r="D341" i="13" s="1"/>
  <c r="A342" i="13" a="1"/>
  <c r="A342" i="13" s="1"/>
  <c r="D342" i="13" s="1" a="1"/>
  <c r="D342" i="13" s="1"/>
  <c r="A343" i="13" a="1"/>
  <c r="A343" i="13" s="1"/>
  <c r="B343" i="13" s="1"/>
  <c r="A344" i="13" a="1"/>
  <c r="A344" i="13" s="1"/>
  <c r="D344" i="13" s="1" a="1"/>
  <c r="D344" i="13" s="1"/>
  <c r="A345" i="13" a="1"/>
  <c r="A345" i="13" s="1"/>
  <c r="B345" i="13" s="1"/>
  <c r="A346" i="13" a="1"/>
  <c r="A346" i="13" s="1"/>
  <c r="D346" i="13" s="1" a="1"/>
  <c r="D346" i="13" s="1"/>
  <c r="A347" i="13" a="1"/>
  <c r="A347" i="13" s="1"/>
  <c r="D347" i="13" s="1" a="1"/>
  <c r="D347" i="13" s="1"/>
  <c r="A348" i="13" a="1"/>
  <c r="A348" i="13" s="1"/>
  <c r="C348" i="13" s="1"/>
  <c r="A349" i="13" a="1"/>
  <c r="A349" i="13" s="1"/>
  <c r="C349" i="13" s="1"/>
  <c r="A350" i="13" a="1"/>
  <c r="A350" i="13" s="1"/>
  <c r="F350" i="13" s="1"/>
  <c r="A351" i="13" a="1"/>
  <c r="A351" i="13" s="1"/>
  <c r="A352" i="13" a="1"/>
  <c r="A352" i="13" s="1"/>
  <c r="A353" i="13" a="1"/>
  <c r="A353" i="13" s="1"/>
  <c r="F353" i="13" s="1"/>
  <c r="A354" i="13" a="1"/>
  <c r="A354" i="13" s="1"/>
  <c r="D354" i="13" s="1" a="1"/>
  <c r="D354" i="13" s="1"/>
  <c r="A355" i="13" a="1"/>
  <c r="A355" i="13" s="1"/>
  <c r="F355" i="13" s="1"/>
  <c r="A356" i="13" a="1"/>
  <c r="A356" i="13" s="1"/>
  <c r="D356" i="13" s="1" a="1"/>
  <c r="D356" i="13" s="1"/>
  <c r="A357" i="13" a="1"/>
  <c r="A357" i="13" s="1"/>
  <c r="F357" i="13" s="1"/>
  <c r="A358" i="13" a="1"/>
  <c r="A358" i="13" s="1"/>
  <c r="A359" i="13" a="1"/>
  <c r="A359" i="13" s="1"/>
  <c r="A360" i="13" a="1"/>
  <c r="A360" i="13" s="1"/>
  <c r="C360" i="13" s="1"/>
  <c r="A361" i="13" a="1"/>
  <c r="A361" i="13" s="1"/>
  <c r="F361" i="13" s="1"/>
  <c r="A362" i="13" a="1"/>
  <c r="A362" i="13" s="1"/>
  <c r="A363" i="13" a="1"/>
  <c r="A363" i="13" s="1"/>
  <c r="C363" i="13" s="1"/>
  <c r="A364" i="13" a="1"/>
  <c r="A364" i="13" s="1"/>
  <c r="D364" i="13" s="1" a="1"/>
  <c r="D364" i="13" s="1"/>
  <c r="A365" i="13" a="1"/>
  <c r="A365" i="13" s="1"/>
  <c r="C365" i="13" s="1"/>
  <c r="A366" i="13" a="1"/>
  <c r="A366" i="13" s="1"/>
  <c r="C366" i="13" s="1"/>
  <c r="A367" i="13" a="1"/>
  <c r="A367" i="13" s="1"/>
  <c r="B367" i="13" s="1"/>
  <c r="A368" i="13" a="1"/>
  <c r="A368" i="13" s="1"/>
  <c r="A369" i="13" a="1"/>
  <c r="A369" i="13" s="1"/>
  <c r="F369" i="13" s="1"/>
  <c r="A370" i="13" a="1"/>
  <c r="A370" i="13" s="1"/>
  <c r="A371" i="13" a="1"/>
  <c r="A371" i="13" s="1"/>
  <c r="C371" i="13" s="1"/>
  <c r="A372" i="13" a="1"/>
  <c r="A372" i="13" s="1"/>
  <c r="B372" i="13" s="1"/>
  <c r="A373" i="13" a="1"/>
  <c r="A373" i="13" s="1"/>
  <c r="B373" i="13" s="1"/>
  <c r="A374" i="13" a="1"/>
  <c r="A374" i="13" s="1"/>
  <c r="B374" i="13" s="1"/>
  <c r="A375" i="13" a="1"/>
  <c r="A375" i="13" s="1"/>
  <c r="B375" i="13" s="1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2" i="12"/>
  <c r="C259" i="13" l="1"/>
  <c r="C251" i="13"/>
  <c r="C249" i="13"/>
  <c r="B307" i="13"/>
  <c r="D355" i="13" a="1"/>
  <c r="D355" i="13" s="1"/>
  <c r="C258" i="13"/>
  <c r="C347" i="13"/>
  <c r="D349" i="13" a="1"/>
  <c r="D349" i="13" s="1"/>
  <c r="D288" i="13" a="1"/>
  <c r="D288" i="13" s="1"/>
  <c r="D282" i="13" a="1"/>
  <c r="D282" i="13" s="1"/>
  <c r="C306" i="13"/>
  <c r="F356" i="13"/>
  <c r="C282" i="13"/>
  <c r="F349" i="13"/>
  <c r="C267" i="13"/>
  <c r="F290" i="13"/>
  <c r="C290" i="13"/>
  <c r="D290" i="13" a="1"/>
  <c r="D290" i="13" s="1"/>
  <c r="D315" i="13" a="1"/>
  <c r="D315" i="13" s="1"/>
  <c r="C315" i="13"/>
  <c r="F348" i="13"/>
  <c r="F347" i="13"/>
  <c r="F310" i="13"/>
  <c r="C354" i="13"/>
  <c r="C288" i="13"/>
  <c r="D360" i="13" a="1"/>
  <c r="D360" i="13" s="1"/>
  <c r="B250" i="13"/>
  <c r="B249" i="13"/>
  <c r="C301" i="13"/>
  <c r="D268" i="13" a="1"/>
  <c r="D268" i="13" s="1"/>
  <c r="F297" i="13"/>
  <c r="C372" i="13"/>
  <c r="C300" i="13"/>
  <c r="C235" i="13"/>
  <c r="D267" i="13" a="1"/>
  <c r="D267" i="13" s="1"/>
  <c r="C297" i="13"/>
  <c r="C234" i="13"/>
  <c r="D259" i="13" a="1"/>
  <c r="D259" i="13" s="1"/>
  <c r="F257" i="13"/>
  <c r="C356" i="13"/>
  <c r="C233" i="13"/>
  <c r="F251" i="13"/>
  <c r="C355" i="13"/>
  <c r="D235" i="13" a="1"/>
  <c r="D235" i="13" s="1"/>
  <c r="F250" i="13"/>
  <c r="C314" i="13"/>
  <c r="F314" i="13"/>
  <c r="D314" i="13" a="1"/>
  <c r="D314" i="13" s="1"/>
  <c r="C322" i="13"/>
  <c r="D322" i="13" a="1"/>
  <c r="D322" i="13" s="1"/>
  <c r="B322" i="13"/>
  <c r="B329" i="13"/>
  <c r="F329" i="13"/>
  <c r="C329" i="13"/>
  <c r="F338" i="13"/>
  <c r="D338" i="13" a="1"/>
  <c r="D338" i="13" s="1"/>
  <c r="C338" i="13"/>
  <c r="C362" i="13"/>
  <c r="F362" i="13"/>
  <c r="F266" i="13"/>
  <c r="D266" i="13" a="1"/>
  <c r="D266" i="13" s="1"/>
  <c r="C266" i="13"/>
  <c r="B248" i="13"/>
  <c r="C248" i="13"/>
  <c r="D248" i="13" a="1"/>
  <c r="D248" i="13" s="1"/>
  <c r="C281" i="13"/>
  <c r="D281" i="13" a="1"/>
  <c r="D281" i="13" s="1"/>
  <c r="B313" i="13"/>
  <c r="F264" i="13"/>
  <c r="B312" i="13"/>
  <c r="C265" i="13"/>
  <c r="F360" i="13"/>
  <c r="F312" i="13"/>
  <c r="C353" i="13"/>
  <c r="C264" i="13"/>
  <c r="D247" i="13" a="1"/>
  <c r="D247" i="13" s="1"/>
  <c r="B296" i="13"/>
  <c r="D353" i="13" a="1"/>
  <c r="D353" i="13" s="1"/>
  <c r="D312" i="13" a="1"/>
  <c r="D312" i="13" s="1"/>
  <c r="C345" i="13"/>
  <c r="D305" i="13" a="1"/>
  <c r="D305" i="13" s="1"/>
  <c r="D237" i="13" a="1"/>
  <c r="D237" i="13" s="1"/>
  <c r="F247" i="13"/>
  <c r="C313" i="13"/>
  <c r="M313" i="13" s="1"/>
  <c r="D304" i="13" a="1"/>
  <c r="D304" i="13" s="1"/>
  <c r="F237" i="13"/>
  <c r="C227" i="13"/>
  <c r="D265" i="13" a="1"/>
  <c r="D265" i="13" s="1"/>
  <c r="F236" i="13"/>
  <c r="C337" i="13"/>
  <c r="D366" i="13" a="1"/>
  <c r="D366" i="13" s="1"/>
  <c r="F337" i="13"/>
  <c r="C369" i="13"/>
  <c r="C332" i="13"/>
  <c r="D365" i="13" a="1"/>
  <c r="D365" i="13" s="1"/>
  <c r="D287" i="13" a="1"/>
  <c r="D287" i="13" s="1"/>
  <c r="D231" i="13" a="1"/>
  <c r="D231" i="13" s="1"/>
  <c r="F331" i="13"/>
  <c r="F234" i="13"/>
  <c r="B342" i="13"/>
  <c r="C367" i="13"/>
  <c r="C331" i="13"/>
  <c r="C305" i="13"/>
  <c r="C275" i="13"/>
  <c r="C242" i="13"/>
  <c r="D283" i="13" a="1"/>
  <c r="D283" i="13" s="1"/>
  <c r="D258" i="13" a="1"/>
  <c r="D258" i="13" s="1"/>
  <c r="D227" i="13" a="1"/>
  <c r="D227" i="13" s="1"/>
  <c r="F330" i="13"/>
  <c r="F233" i="13"/>
  <c r="C239" i="13"/>
  <c r="F313" i="13"/>
  <c r="C287" i="13"/>
  <c r="B337" i="13"/>
  <c r="C330" i="13"/>
  <c r="C302" i="13"/>
  <c r="D363" i="13" a="1"/>
  <c r="D363" i="13" s="1"/>
  <c r="D321" i="13" a="1"/>
  <c r="D321" i="13" s="1"/>
  <c r="F367" i="13"/>
  <c r="F283" i="13"/>
  <c r="F231" i="13"/>
  <c r="B352" i="13"/>
  <c r="F352" i="13"/>
  <c r="D352" i="13" a="1"/>
  <c r="D352" i="13" s="1"/>
  <c r="F336" i="13"/>
  <c r="C336" i="13"/>
  <c r="F319" i="13"/>
  <c r="D319" i="13" a="1"/>
  <c r="D319" i="13" s="1"/>
  <c r="D311" i="13" a="1"/>
  <c r="D311" i="13" s="1"/>
  <c r="C311" i="13"/>
  <c r="F294" i="13"/>
  <c r="D294" i="13" a="1"/>
  <c r="D294" i="13" s="1"/>
  <c r="D286" i="13" a="1"/>
  <c r="D286" i="13" s="1"/>
  <c r="C286" i="13"/>
  <c r="F279" i="13"/>
  <c r="D279" i="13" a="1"/>
  <c r="D279" i="13" s="1"/>
  <c r="B272" i="13"/>
  <c r="C272" i="13"/>
  <c r="B246" i="13"/>
  <c r="F246" i="13"/>
  <c r="C246" i="13"/>
  <c r="C230" i="13"/>
  <c r="D230" i="13" a="1"/>
  <c r="D230" i="13" s="1"/>
  <c r="F230" i="13"/>
  <c r="C319" i="13"/>
  <c r="C303" i="13"/>
  <c r="D272" i="13" a="1"/>
  <c r="D272" i="13" s="1"/>
  <c r="D238" i="13" a="1"/>
  <c r="D238" i="13" s="1"/>
  <c r="F311" i="13"/>
  <c r="F286" i="13"/>
  <c r="F238" i="13"/>
  <c r="B368" i="13"/>
  <c r="F368" i="13"/>
  <c r="B359" i="13"/>
  <c r="F359" i="13"/>
  <c r="D359" i="13" a="1"/>
  <c r="D359" i="13" s="1"/>
  <c r="F351" i="13"/>
  <c r="D351" i="13" a="1"/>
  <c r="D351" i="13" s="1"/>
  <c r="C351" i="13"/>
  <c r="D335" i="13" a="1"/>
  <c r="D335" i="13" s="1"/>
  <c r="C335" i="13"/>
  <c r="F245" i="13"/>
  <c r="C245" i="13"/>
  <c r="C318" i="13"/>
  <c r="D303" i="13" a="1"/>
  <c r="D303" i="13" s="1"/>
  <c r="D255" i="13" a="1"/>
  <c r="D255" i="13" s="1"/>
  <c r="F263" i="13"/>
  <c r="D350" i="13" a="1"/>
  <c r="D350" i="13" s="1"/>
  <c r="C350" i="13"/>
  <c r="D334" i="13" a="1"/>
  <c r="D334" i="13" s="1"/>
  <c r="C334" i="13"/>
  <c r="D285" i="13" a="1"/>
  <c r="D285" i="13" s="1"/>
  <c r="C285" i="13"/>
  <c r="D271" i="13" a="1"/>
  <c r="D271" i="13" s="1"/>
  <c r="C271" i="13"/>
  <c r="C262" i="13"/>
  <c r="D262" i="13" a="1"/>
  <c r="D262" i="13" s="1"/>
  <c r="D229" i="13" a="1"/>
  <c r="D229" i="13" s="1"/>
  <c r="F229" i="13"/>
  <c r="B229" i="13"/>
  <c r="C317" i="13"/>
  <c r="D336" i="13" a="1"/>
  <c r="D336" i="13" s="1"/>
  <c r="D302" i="13" a="1"/>
  <c r="D302" i="13" s="1"/>
  <c r="F262" i="13"/>
  <c r="F358" i="13"/>
  <c r="C358" i="13"/>
  <c r="M358" i="13" s="1"/>
  <c r="D270" i="13" a="1"/>
  <c r="D270" i="13" s="1"/>
  <c r="C270" i="13"/>
  <c r="D261" i="13" a="1"/>
  <c r="D261" i="13" s="1"/>
  <c r="F261" i="13"/>
  <c r="F253" i="13"/>
  <c r="D253" i="13" a="1"/>
  <c r="D253" i="13" s="1"/>
  <c r="F244" i="13"/>
  <c r="C244" i="13"/>
  <c r="D228" i="13" a="1"/>
  <c r="D228" i="13" s="1"/>
  <c r="F228" i="13"/>
  <c r="B228" i="13"/>
  <c r="C333" i="13"/>
  <c r="C263" i="13"/>
  <c r="D333" i="13" a="1"/>
  <c r="D333" i="13" s="1"/>
  <c r="D254" i="13" a="1"/>
  <c r="D254" i="13" s="1"/>
  <c r="D236" i="13" a="1"/>
  <c r="D236" i="13" s="1"/>
  <c r="F327" i="13"/>
  <c r="D325" i="13" a="1"/>
  <c r="D325" i="13" s="1"/>
  <c r="C325" i="13"/>
  <c r="B316" i="13"/>
  <c r="F316" i="13"/>
  <c r="D316" i="13" a="1"/>
  <c r="D316" i="13" s="1"/>
  <c r="C309" i="13"/>
  <c r="B309" i="13"/>
  <c r="F309" i="13"/>
  <c r="D284" i="13" a="1"/>
  <c r="D284" i="13" s="1"/>
  <c r="C284" i="13"/>
  <c r="D269" i="13" a="1"/>
  <c r="D269" i="13" s="1"/>
  <c r="C269" i="13"/>
  <c r="C352" i="13"/>
  <c r="C279" i="13"/>
  <c r="C261" i="13"/>
  <c r="D301" i="13" a="1"/>
  <c r="D301" i="13" s="1"/>
  <c r="F326" i="13"/>
  <c r="F255" i="13"/>
  <c r="F340" i="13"/>
  <c r="D340" i="13" a="1"/>
  <c r="D340" i="13" s="1"/>
  <c r="C324" i="13"/>
  <c r="M324" i="13" s="1"/>
  <c r="F324" i="13"/>
  <c r="F276" i="13"/>
  <c r="D276" i="13" a="1"/>
  <c r="D276" i="13" s="1"/>
  <c r="D260" i="13" a="1"/>
  <c r="D260" i="13" s="1"/>
  <c r="F260" i="13"/>
  <c r="C368" i="13"/>
  <c r="C294" i="13"/>
  <c r="C278" i="13"/>
  <c r="C260" i="13"/>
  <c r="D348" i="13" a="1"/>
  <c r="D348" i="13" s="1"/>
  <c r="D332" i="13" a="1"/>
  <c r="D332" i="13" s="1"/>
  <c r="F366" i="13"/>
  <c r="F344" i="13"/>
  <c r="F325" i="13"/>
  <c r="F300" i="13"/>
  <c r="F278" i="13"/>
  <c r="F252" i="13"/>
  <c r="F364" i="13"/>
  <c r="C364" i="13"/>
  <c r="C323" i="13"/>
  <c r="F323" i="13"/>
  <c r="C308" i="13"/>
  <c r="B308" i="13"/>
  <c r="F308" i="13"/>
  <c r="D308" i="13" a="1"/>
  <c r="D308" i="13" s="1"/>
  <c r="C293" i="13"/>
  <c r="C277" i="13"/>
  <c r="F365" i="13"/>
  <c r="F343" i="13"/>
  <c r="F318" i="13"/>
  <c r="F299" i="13"/>
  <c r="F277" i="13"/>
  <c r="D339" i="13" a="1"/>
  <c r="D339" i="13" s="1"/>
  <c r="F339" i="13"/>
  <c r="B294" i="13"/>
  <c r="C344" i="13"/>
  <c r="C292" i="13"/>
  <c r="C276" i="13"/>
  <c r="D358" i="13" a="1"/>
  <c r="D358" i="13" s="1"/>
  <c r="D299" i="13" a="1"/>
  <c r="D299" i="13" s="1"/>
  <c r="F363" i="13"/>
  <c r="F342" i="13"/>
  <c r="F317" i="13"/>
  <c r="F272" i="13"/>
  <c r="F241" i="13"/>
  <c r="D241" i="13" a="1"/>
  <c r="D241" i="13" s="1"/>
  <c r="F232" i="13"/>
  <c r="C232" i="13"/>
  <c r="B358" i="13"/>
  <c r="B293" i="13"/>
  <c r="C343" i="13"/>
  <c r="C291" i="13"/>
  <c r="D357" i="13" a="1"/>
  <c r="D357" i="13" s="1"/>
  <c r="D326" i="13" a="1"/>
  <c r="D326" i="13" s="1"/>
  <c r="D310" i="13" a="1"/>
  <c r="D310" i="13" s="1"/>
  <c r="D293" i="13" a="1"/>
  <c r="D293" i="13" s="1"/>
  <c r="D246" i="13" a="1"/>
  <c r="D246" i="13" s="1"/>
  <c r="F341" i="13"/>
  <c r="F315" i="13"/>
  <c r="F271" i="13"/>
  <c r="F249" i="13"/>
  <c r="C370" i="13"/>
  <c r="F370" i="13"/>
  <c r="F240" i="13"/>
  <c r="D240" i="13" a="1"/>
  <c r="D240" i="13" s="1"/>
  <c r="B356" i="13"/>
  <c r="B263" i="13"/>
  <c r="C342" i="13"/>
  <c r="C327" i="13"/>
  <c r="C254" i="13"/>
  <c r="C236" i="13"/>
  <c r="D343" i="13" a="1"/>
  <c r="D343" i="13" s="1"/>
  <c r="D309" i="13" a="1"/>
  <c r="D309" i="13" s="1"/>
  <c r="D292" i="13" a="1"/>
  <c r="D292" i="13" s="1"/>
  <c r="D245" i="13" a="1"/>
  <c r="D245" i="13" s="1"/>
  <c r="F270" i="13"/>
  <c r="F248" i="13"/>
  <c r="C296" i="13"/>
  <c r="D296" i="13" a="1"/>
  <c r="D296" i="13" s="1"/>
  <c r="F280" i="13"/>
  <c r="D280" i="13" a="1"/>
  <c r="D280" i="13" s="1"/>
  <c r="F273" i="13"/>
  <c r="D273" i="13" a="1"/>
  <c r="D273" i="13" s="1"/>
  <c r="F256" i="13"/>
  <c r="C256" i="13"/>
  <c r="B260" i="13"/>
  <c r="C359" i="13"/>
  <c r="C341" i="13"/>
  <c r="C268" i="13"/>
  <c r="C253" i="13"/>
  <c r="D324" i="13" a="1"/>
  <c r="D324" i="13" s="1"/>
  <c r="D291" i="13" a="1"/>
  <c r="D291" i="13" s="1"/>
  <c r="D244" i="13" a="1"/>
  <c r="D244" i="13" s="1"/>
  <c r="F335" i="13"/>
  <c r="F269" i="13"/>
  <c r="D295" i="13" a="1"/>
  <c r="D295" i="13" s="1"/>
  <c r="C295" i="13"/>
  <c r="B344" i="13"/>
  <c r="C357" i="13"/>
  <c r="C340" i="13"/>
  <c r="C304" i="13"/>
  <c r="C252" i="13"/>
  <c r="D323" i="13" a="1"/>
  <c r="D323" i="13" s="1"/>
  <c r="D257" i="13" a="1"/>
  <c r="D257" i="13" s="1"/>
  <c r="F334" i="13"/>
  <c r="F239" i="13"/>
  <c r="C346" i="13"/>
  <c r="F346" i="13"/>
  <c r="F307" i="13"/>
  <c r="D307" i="13" a="1"/>
  <c r="D307" i="13" s="1"/>
  <c r="D362" i="13" a="1"/>
  <c r="D362" i="13" s="1"/>
  <c r="C298" i="13"/>
  <c r="D298" i="13" a="1"/>
  <c r="D298" i="13" s="1"/>
  <c r="D275" i="13" a="1"/>
  <c r="D275" i="13" s="1"/>
  <c r="F354" i="13"/>
  <c r="B361" i="13"/>
  <c r="D361" i="13" a="1"/>
  <c r="D361" i="13" s="1"/>
  <c r="D345" i="13" a="1"/>
  <c r="D345" i="13" s="1"/>
  <c r="F345" i="13"/>
  <c r="B289" i="13"/>
  <c r="D289" i="13" a="1"/>
  <c r="D289" i="13" s="1"/>
  <c r="B281" i="13"/>
  <c r="F281" i="13"/>
  <c r="B274" i="13"/>
  <c r="C274" i="13"/>
  <c r="D329" i="13" a="1"/>
  <c r="D329" i="13" s="1"/>
  <c r="D306" i="13" a="1"/>
  <c r="D306" i="13" s="1"/>
  <c r="D274" i="13" a="1"/>
  <c r="D274" i="13" s="1"/>
  <c r="D250" i="13" a="1"/>
  <c r="D250" i="13" s="1"/>
  <c r="F322" i="13"/>
  <c r="F289" i="13"/>
  <c r="F274" i="13"/>
  <c r="F243" i="13"/>
  <c r="D320" i="13" a="1"/>
  <c r="D320" i="13" s="1"/>
  <c r="F320" i="13"/>
  <c r="B227" i="13"/>
  <c r="C361" i="13"/>
  <c r="C321" i="13"/>
  <c r="C243" i="13"/>
  <c r="F242" i="13"/>
  <c r="F328" i="13"/>
  <c r="D328" i="13" a="1"/>
  <c r="D328" i="13" s="1"/>
  <c r="B305" i="13"/>
  <c r="B334" i="13"/>
  <c r="B255" i="13"/>
  <c r="B262" i="13"/>
  <c r="B233" i="13"/>
  <c r="B269" i="13"/>
  <c r="B298" i="13"/>
  <c r="B291" i="13"/>
  <c r="B333" i="13"/>
  <c r="B347" i="13"/>
  <c r="B321" i="13"/>
  <c r="B370" i="13"/>
  <c r="B355" i="13"/>
  <c r="B340" i="13"/>
  <c r="B371" i="13"/>
  <c r="B369" i="13"/>
  <c r="B328" i="13"/>
  <c r="B277" i="13"/>
  <c r="B241" i="13"/>
  <c r="B364" i="13"/>
  <c r="B341" i="13"/>
  <c r="B348" i="13"/>
  <c r="B335" i="13"/>
  <c r="B327" i="13"/>
  <c r="B240" i="13"/>
  <c r="B349" i="13"/>
  <c r="B363" i="13"/>
  <c r="B276" i="13"/>
  <c r="B357" i="13"/>
  <c r="B319" i="13"/>
  <c r="B311" i="13"/>
  <c r="B304" i="13"/>
  <c r="B297" i="13"/>
  <c r="B283" i="13"/>
  <c r="B275" i="13"/>
  <c r="B268" i="13"/>
  <c r="B247" i="13"/>
  <c r="B239" i="13"/>
  <c r="B232" i="13"/>
  <c r="B261" i="13"/>
  <c r="B318" i="13"/>
  <c r="B353" i="13"/>
  <c r="B310" i="13"/>
  <c r="B354" i="13"/>
  <c r="B339" i="13"/>
  <c r="B317" i="13"/>
  <c r="B267" i="13"/>
  <c r="B253" i="13"/>
  <c r="B231" i="13"/>
  <c r="B252" i="13"/>
  <c r="B287" i="13"/>
  <c r="B273" i="13"/>
  <c r="B259" i="13"/>
  <c r="B251" i="13"/>
  <c r="B237" i="13"/>
  <c r="B331" i="13"/>
  <c r="B330" i="13"/>
  <c r="B365" i="13"/>
  <c r="B351" i="13"/>
  <c r="B315" i="13"/>
  <c r="B301" i="13"/>
  <c r="B286" i="13"/>
  <c r="B279" i="13"/>
  <c r="B257" i="13"/>
  <c r="B243" i="13"/>
  <c r="B336" i="13"/>
  <c r="B300" i="13"/>
  <c r="B325" i="13"/>
  <c r="B245" i="13"/>
  <c r="B303" i="13"/>
  <c r="B238" i="13"/>
  <c r="B282" i="13"/>
  <c r="B280" i="13"/>
  <c r="B258" i="13"/>
  <c r="B299" i="13"/>
  <c r="B292" i="13"/>
  <c r="B285" i="13"/>
  <c r="B271" i="13"/>
  <c r="B256" i="13"/>
  <c r="B324" i="13"/>
  <c r="B265" i="13"/>
  <c r="B235" i="13"/>
  <c r="B288" i="13"/>
  <c r="B360" i="13"/>
  <c r="B244" i="13"/>
  <c r="B366" i="13"/>
  <c r="B306" i="13"/>
  <c r="B270" i="13"/>
  <c r="B346" i="13"/>
  <c r="B323" i="13"/>
  <c r="B295" i="13"/>
  <c r="B264" i="13"/>
  <c r="B234" i="13"/>
  <c r="B326" i="13"/>
  <c r="B314" i="13"/>
  <c r="B302" i="13"/>
  <c r="B266" i="13"/>
  <c r="B254" i="13"/>
  <c r="B242" i="13"/>
  <c r="B230" i="13"/>
  <c r="B332" i="13"/>
  <c r="B284" i="13"/>
  <c r="B362" i="13"/>
  <c r="B350" i="13"/>
  <c r="B338" i="13"/>
  <c r="B278" i="13"/>
  <c r="B320" i="13"/>
  <c r="B290" i="13"/>
  <c r="P40" i="15"/>
  <c r="P39" i="15"/>
  <c r="AH38" i="15"/>
  <c r="AG38" i="15"/>
  <c r="AF38" i="15"/>
  <c r="AE38" i="15"/>
  <c r="AA38" i="15"/>
  <c r="Z38" i="15"/>
  <c r="Y38" i="15"/>
  <c r="V38" i="15"/>
  <c r="T38" i="15"/>
  <c r="O38" i="15"/>
  <c r="M38" i="15"/>
  <c r="D38" i="15" a="1"/>
  <c r="D38" i="15" s="1"/>
  <c r="AH37" i="15"/>
  <c r="AG37" i="15"/>
  <c r="AF37" i="15"/>
  <c r="AE37" i="15"/>
  <c r="AA37" i="15"/>
  <c r="Z37" i="15"/>
  <c r="Y37" i="15"/>
  <c r="V37" i="15"/>
  <c r="T37" i="15"/>
  <c r="O37" i="15"/>
  <c r="M37" i="15"/>
  <c r="D37" i="15" a="1"/>
  <c r="D37" i="15" s="1"/>
  <c r="AH36" i="15"/>
  <c r="AG36" i="15"/>
  <c r="AF36" i="15"/>
  <c r="AE36" i="15"/>
  <c r="AA36" i="15"/>
  <c r="Z36" i="15"/>
  <c r="Y36" i="15"/>
  <c r="V36" i="15"/>
  <c r="T36" i="15"/>
  <c r="O36" i="15"/>
  <c r="M36" i="15"/>
  <c r="D36" i="15" a="1"/>
  <c r="D36" i="15" s="1"/>
  <c r="AH35" i="15"/>
  <c r="AG35" i="15"/>
  <c r="AF35" i="15"/>
  <c r="AE35" i="15"/>
  <c r="AA35" i="15"/>
  <c r="Z35" i="15"/>
  <c r="Y35" i="15"/>
  <c r="V35" i="15"/>
  <c r="T35" i="15"/>
  <c r="O35" i="15"/>
  <c r="M35" i="15"/>
  <c r="D35" i="15" a="1"/>
  <c r="D35" i="15" s="1"/>
  <c r="AH34" i="15"/>
  <c r="AG34" i="15"/>
  <c r="AF34" i="15"/>
  <c r="AE34" i="15"/>
  <c r="AA34" i="15"/>
  <c r="Z34" i="15"/>
  <c r="Y34" i="15"/>
  <c r="V34" i="15"/>
  <c r="T34" i="15"/>
  <c r="O34" i="15"/>
  <c r="M34" i="15"/>
  <c r="D34" i="15" a="1"/>
  <c r="D34" i="15" s="1"/>
  <c r="AH33" i="15"/>
  <c r="AG33" i="15"/>
  <c r="AF33" i="15"/>
  <c r="AE33" i="15"/>
  <c r="AA33" i="15"/>
  <c r="Z33" i="15"/>
  <c r="Y33" i="15"/>
  <c r="V33" i="15"/>
  <c r="T33" i="15"/>
  <c r="O33" i="15"/>
  <c r="M33" i="15"/>
  <c r="D33" i="15" a="1"/>
  <c r="D33" i="15" s="1"/>
  <c r="AH32" i="15"/>
  <c r="AG32" i="15"/>
  <c r="AF32" i="15"/>
  <c r="AE32" i="15"/>
  <c r="AA32" i="15"/>
  <c r="Z32" i="15"/>
  <c r="Y32" i="15"/>
  <c r="V32" i="15"/>
  <c r="T32" i="15"/>
  <c r="O32" i="15"/>
  <c r="M32" i="15"/>
  <c r="D32" i="15" a="1"/>
  <c r="D32" i="15" s="1"/>
  <c r="AH31" i="15"/>
  <c r="AG31" i="15"/>
  <c r="AF31" i="15"/>
  <c r="AE31" i="15"/>
  <c r="AA31" i="15"/>
  <c r="Z31" i="15"/>
  <c r="Y31" i="15"/>
  <c r="V31" i="15"/>
  <c r="T31" i="15"/>
  <c r="O31" i="15"/>
  <c r="M31" i="15"/>
  <c r="D31" i="15"/>
  <c r="D31" i="15" a="1"/>
  <c r="AH30" i="15"/>
  <c r="AG30" i="15"/>
  <c r="AF30" i="15"/>
  <c r="AE30" i="15"/>
  <c r="AA30" i="15"/>
  <c r="Z30" i="15"/>
  <c r="Y30" i="15"/>
  <c r="V30" i="15"/>
  <c r="T30" i="15"/>
  <c r="O30" i="15"/>
  <c r="M30" i="15"/>
  <c r="D30" i="15" a="1"/>
  <c r="D30" i="15" s="1"/>
  <c r="AH29" i="15"/>
  <c r="AG29" i="15"/>
  <c r="AF29" i="15"/>
  <c r="AE29" i="15"/>
  <c r="Y29" i="15"/>
  <c r="V29" i="15"/>
  <c r="T29" i="15"/>
  <c r="O29" i="15"/>
  <c r="M29" i="15"/>
  <c r="D29" i="15"/>
  <c r="D29" i="15" a="1"/>
  <c r="AH28" i="15"/>
  <c r="AG28" i="15"/>
  <c r="AF28" i="15"/>
  <c r="AE28" i="15"/>
  <c r="Y28" i="15"/>
  <c r="V28" i="15"/>
  <c r="T28" i="15"/>
  <c r="O28" i="15"/>
  <c r="M28" i="15"/>
  <c r="D28" i="15" a="1"/>
  <c r="D28" i="15" s="1"/>
  <c r="AH27" i="15"/>
  <c r="AG27" i="15"/>
  <c r="AF27" i="15"/>
  <c r="AE27" i="15"/>
  <c r="Y27" i="15"/>
  <c r="V27" i="15"/>
  <c r="T27" i="15"/>
  <c r="O27" i="15"/>
  <c r="M27" i="15"/>
  <c r="D27" i="15" a="1"/>
  <c r="D27" i="15" s="1"/>
  <c r="AH26" i="15"/>
  <c r="AG26" i="15"/>
  <c r="AF26" i="15"/>
  <c r="AE26" i="15"/>
  <c r="Y26" i="15"/>
  <c r="V26" i="15"/>
  <c r="T26" i="15"/>
  <c r="O26" i="15"/>
  <c r="M26" i="15"/>
  <c r="D26" i="15" a="1"/>
  <c r="D26" i="15" s="1"/>
  <c r="AH25" i="15"/>
  <c r="AG25" i="15"/>
  <c r="AF25" i="15"/>
  <c r="AE25" i="15"/>
  <c r="Y25" i="15"/>
  <c r="V25" i="15"/>
  <c r="T25" i="15"/>
  <c r="O25" i="15"/>
  <c r="M25" i="15"/>
  <c r="D25" i="15" a="1"/>
  <c r="D25" i="15" s="1"/>
  <c r="AH24" i="15"/>
  <c r="AG24" i="15"/>
  <c r="AF24" i="15"/>
  <c r="AE24" i="15"/>
  <c r="Y24" i="15"/>
  <c r="V24" i="15"/>
  <c r="T24" i="15"/>
  <c r="O24" i="15"/>
  <c r="M24" i="15"/>
  <c r="D24" i="15" a="1"/>
  <c r="D24" i="15" s="1"/>
  <c r="AH23" i="15"/>
  <c r="AG23" i="15"/>
  <c r="AF23" i="15"/>
  <c r="AE23" i="15"/>
  <c r="Y23" i="15"/>
  <c r="V23" i="15"/>
  <c r="T23" i="15"/>
  <c r="O23" i="15"/>
  <c r="M23" i="15"/>
  <c r="D23" i="15" a="1"/>
  <c r="D23" i="15" s="1"/>
  <c r="AH22" i="15"/>
  <c r="AG22" i="15"/>
  <c r="AF22" i="15"/>
  <c r="AE22" i="15"/>
  <c r="AA22" i="15"/>
  <c r="Z22" i="15"/>
  <c r="Y22" i="15"/>
  <c r="V22" i="15"/>
  <c r="T22" i="15"/>
  <c r="O22" i="15"/>
  <c r="M22" i="15"/>
  <c r="D22" i="15" a="1"/>
  <c r="D22" i="15" s="1"/>
  <c r="AH21" i="15"/>
  <c r="AG21" i="15"/>
  <c r="AF21" i="15"/>
  <c r="AE21" i="15"/>
  <c r="AA21" i="15"/>
  <c r="Z21" i="15"/>
  <c r="Y21" i="15"/>
  <c r="V21" i="15"/>
  <c r="T21" i="15"/>
  <c r="O21" i="15"/>
  <c r="M21" i="15"/>
  <c r="D21" i="15" a="1"/>
  <c r="D21" i="15" s="1"/>
  <c r="AH20" i="15"/>
  <c r="AG20" i="15"/>
  <c r="AF20" i="15"/>
  <c r="AE20" i="15"/>
  <c r="AA20" i="15"/>
  <c r="Z20" i="15"/>
  <c r="Y20" i="15"/>
  <c r="V20" i="15"/>
  <c r="T20" i="15"/>
  <c r="O20" i="15"/>
  <c r="M20" i="15"/>
  <c r="D20" i="15" a="1"/>
  <c r="D20" i="15" s="1"/>
  <c r="AH19" i="15"/>
  <c r="AG19" i="15"/>
  <c r="AF19" i="15"/>
  <c r="AE19" i="15"/>
  <c r="AA19" i="15"/>
  <c r="Z19" i="15"/>
  <c r="Y19" i="15"/>
  <c r="V19" i="15"/>
  <c r="T19" i="15"/>
  <c r="O19" i="15"/>
  <c r="M19" i="15"/>
  <c r="D19" i="15" a="1"/>
  <c r="D19" i="15" s="1"/>
  <c r="AH18" i="15"/>
  <c r="AG18" i="15"/>
  <c r="AF18" i="15"/>
  <c r="AE18" i="15"/>
  <c r="AA18" i="15"/>
  <c r="Z18" i="15"/>
  <c r="Y18" i="15"/>
  <c r="V18" i="15"/>
  <c r="T18" i="15"/>
  <c r="O18" i="15"/>
  <c r="M18" i="15"/>
  <c r="D18" i="15" a="1"/>
  <c r="D18" i="15" s="1"/>
  <c r="AH17" i="15"/>
  <c r="AG17" i="15"/>
  <c r="AF17" i="15"/>
  <c r="AE17" i="15"/>
  <c r="AA17" i="15"/>
  <c r="Z17" i="15"/>
  <c r="Y17" i="15"/>
  <c r="V17" i="15"/>
  <c r="T17" i="15"/>
  <c r="O17" i="15"/>
  <c r="M17" i="15"/>
  <c r="D17" i="15"/>
  <c r="D17" i="15" a="1"/>
  <c r="AH16" i="15"/>
  <c r="AG16" i="15"/>
  <c r="AF16" i="15"/>
  <c r="AE16" i="15"/>
  <c r="AA16" i="15"/>
  <c r="Z16" i="15"/>
  <c r="X16" i="15"/>
  <c r="Y16" i="15" s="1"/>
  <c r="O16" i="15"/>
  <c r="M16" i="15"/>
  <c r="D16" i="15"/>
  <c r="D16" i="15" a="1"/>
  <c r="AH15" i="15"/>
  <c r="AG15" i="15"/>
  <c r="AF15" i="15"/>
  <c r="AE15" i="15"/>
  <c r="AA15" i="15"/>
  <c r="Z15" i="15"/>
  <c r="X15" i="15"/>
  <c r="Y15" i="15" s="1"/>
  <c r="O15" i="15"/>
  <c r="M15" i="15"/>
  <c r="D15" i="15"/>
  <c r="D15" i="15" a="1"/>
  <c r="AH14" i="15"/>
  <c r="AG14" i="15"/>
  <c r="AF14" i="15"/>
  <c r="AE14" i="15"/>
  <c r="AA14" i="15"/>
  <c r="Z14" i="15"/>
  <c r="X14" i="15"/>
  <c r="Y14" i="15" s="1"/>
  <c r="O14" i="15"/>
  <c r="M14" i="15"/>
  <c r="D14" i="15"/>
  <c r="D14" i="15" a="1"/>
  <c r="I8" i="15"/>
  <c r="M373" i="13"/>
  <c r="M374" i="13"/>
  <c r="M375" i="13"/>
  <c r="M376" i="13"/>
  <c r="J238" i="13"/>
  <c r="J254" i="13"/>
  <c r="G261" i="13"/>
  <c r="J265" i="13"/>
  <c r="J273" i="13"/>
  <c r="G288" i="13"/>
  <c r="M289" i="13"/>
  <c r="J290" i="13"/>
  <c r="J299" i="13"/>
  <c r="M310" i="13"/>
  <c r="G311" i="13"/>
  <c r="M312" i="13"/>
  <c r="G334" i="13"/>
  <c r="G335" i="13"/>
  <c r="J337" i="13"/>
  <c r="J338" i="13"/>
  <c r="J345" i="13"/>
  <c r="J346" i="13"/>
  <c r="G347" i="13"/>
  <c r="G348" i="13"/>
  <c r="G349" i="13"/>
  <c r="J359" i="13"/>
  <c r="J369" i="13"/>
  <c r="M371" i="13"/>
  <c r="J373" i="13"/>
  <c r="J374" i="13"/>
  <c r="D15" i="4" a="1"/>
  <c r="D15" i="4" s="1"/>
  <c r="D16" i="4" a="1"/>
  <c r="D16" i="4" s="1"/>
  <c r="D17" i="4" a="1"/>
  <c r="D17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24" i="4" a="1"/>
  <c r="D24" i="4" s="1"/>
  <c r="D25" i="4" a="1"/>
  <c r="D25" i="4" s="1"/>
  <c r="D26" i="4" a="1"/>
  <c r="D26" i="4" s="1"/>
  <c r="D27" i="4" a="1"/>
  <c r="D27" i="4" s="1"/>
  <c r="D28" i="4" a="1"/>
  <c r="D28" i="4" s="1"/>
  <c r="D29" i="4" a="1"/>
  <c r="D29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M14" i="4"/>
  <c r="D14" i="4" a="1"/>
  <c r="D14" i="4" s="1"/>
  <c r="A218" i="13" l="1" a="1"/>
  <c r="A218" i="13" s="1"/>
  <c r="G218" i="13" s="1"/>
  <c r="A224" i="13" a="1"/>
  <c r="A224" i="13" s="1"/>
  <c r="G224" i="13" s="1"/>
  <c r="A223" i="13" a="1"/>
  <c r="A223" i="13" s="1"/>
  <c r="G223" i="13" s="1"/>
  <c r="A222" i="13" a="1"/>
  <c r="A222" i="13" s="1"/>
  <c r="G222" i="13" s="1"/>
  <c r="A225" i="13" a="1"/>
  <c r="A225" i="13" s="1"/>
  <c r="A219" i="13" a="1"/>
  <c r="A219" i="13" s="1"/>
  <c r="A220" i="13" a="1"/>
  <c r="A220" i="13" s="1"/>
  <c r="G220" i="13" s="1"/>
  <c r="A221" i="13" a="1"/>
  <c r="A221" i="13" s="1"/>
  <c r="A226" i="13" a="1"/>
  <c r="A226" i="13" s="1"/>
  <c r="A109" i="13" a="1"/>
  <c r="A109" i="13" s="1"/>
  <c r="A103" i="13" a="1"/>
  <c r="A103" i="13" s="1"/>
  <c r="A104" i="13" a="1"/>
  <c r="A104" i="13" s="1"/>
  <c r="A102" i="13" a="1"/>
  <c r="A102" i="13" s="1"/>
  <c r="A105" i="13" a="1"/>
  <c r="A105" i="13" s="1"/>
  <c r="A108" i="13" a="1"/>
  <c r="A108" i="13" s="1"/>
  <c r="A106" i="13" a="1"/>
  <c r="A106" i="13" s="1"/>
  <c r="A107" i="13" a="1"/>
  <c r="A107" i="13" s="1"/>
  <c r="A101" i="13" a="1"/>
  <c r="A101" i="13" s="1"/>
  <c r="A206" i="13" a="1"/>
  <c r="A206" i="13" s="1"/>
  <c r="A200" i="13" a="1"/>
  <c r="A200" i="13" s="1"/>
  <c r="A205" i="13" a="1"/>
  <c r="A205" i="13" s="1"/>
  <c r="A208" i="13" a="1"/>
  <c r="A208" i="13" s="1"/>
  <c r="A201" i="13" a="1"/>
  <c r="A201" i="13" s="1"/>
  <c r="A202" i="13" a="1"/>
  <c r="A202" i="13" s="1"/>
  <c r="A203" i="13" a="1"/>
  <c r="A203" i="13" s="1"/>
  <c r="G203" i="13" s="1"/>
  <c r="A204" i="13" a="1"/>
  <c r="A204" i="13" s="1"/>
  <c r="J204" i="13" s="1"/>
  <c r="A207" i="13" a="1"/>
  <c r="A207" i="13" s="1"/>
  <c r="A83" i="13" a="1"/>
  <c r="A83" i="13" s="1"/>
  <c r="A90" i="13" a="1"/>
  <c r="A90" i="13" s="1"/>
  <c r="A84" i="13" a="1"/>
  <c r="A84" i="13" s="1"/>
  <c r="A91" i="13" a="1"/>
  <c r="A91" i="13" s="1"/>
  <c r="A89" i="13" a="1"/>
  <c r="A89" i="13" s="1"/>
  <c r="A86" i="13" a="1"/>
  <c r="A86" i="13" s="1"/>
  <c r="A87" i="13" a="1"/>
  <c r="A87" i="13" s="1"/>
  <c r="A88" i="13" a="1"/>
  <c r="A88" i="13" s="1"/>
  <c r="A85" i="13" a="1"/>
  <c r="A85" i="13" s="1"/>
  <c r="A182" i="13" a="1"/>
  <c r="A182" i="13" s="1"/>
  <c r="A188" i="13" a="1"/>
  <c r="A188" i="13" s="1"/>
  <c r="A187" i="13" a="1"/>
  <c r="A187" i="13" s="1"/>
  <c r="A186" i="13" a="1"/>
  <c r="A186" i="13" s="1"/>
  <c r="G186" i="13" s="1"/>
  <c r="A190" i="13" a="1"/>
  <c r="A190" i="13" s="1"/>
  <c r="A189" i="13" a="1"/>
  <c r="A189" i="13" s="1"/>
  <c r="A183" i="13" a="1"/>
  <c r="A183" i="13" s="1"/>
  <c r="A184" i="13" a="1"/>
  <c r="A184" i="13" s="1"/>
  <c r="A185" i="13" a="1"/>
  <c r="A185" i="13" s="1"/>
  <c r="A181" i="13" a="1"/>
  <c r="A181" i="13" s="1"/>
  <c r="A176" i="13" a="1"/>
  <c r="A176" i="13" s="1"/>
  <c r="A175" i="13" a="1"/>
  <c r="A175" i="13" s="1"/>
  <c r="A177" i="13" a="1"/>
  <c r="A177" i="13" s="1"/>
  <c r="A180" i="13" a="1"/>
  <c r="A180" i="13" s="1"/>
  <c r="A178" i="13" a="1"/>
  <c r="A178" i="13" s="1"/>
  <c r="A179" i="13" a="1"/>
  <c r="A179" i="13" s="1"/>
  <c r="A173" i="13" a="1"/>
  <c r="A173" i="13" s="1"/>
  <c r="A174" i="13" a="1"/>
  <c r="A174" i="13" s="1"/>
  <c r="A169" i="13" a="1"/>
  <c r="A169" i="13" s="1"/>
  <c r="A164" i="13" a="1"/>
  <c r="A164" i="13" s="1"/>
  <c r="A170" i="13" a="1"/>
  <c r="A170" i="13" s="1"/>
  <c r="A166" i="13" a="1"/>
  <c r="A166" i="13" s="1"/>
  <c r="A172" i="13" a="1"/>
  <c r="A172" i="13" s="1"/>
  <c r="A167" i="13" a="1"/>
  <c r="A167" i="13" s="1"/>
  <c r="A168" i="13" a="1"/>
  <c r="A168" i="13" s="1"/>
  <c r="A171" i="13" a="1"/>
  <c r="A171" i="13" s="1"/>
  <c r="A165" i="13" a="1"/>
  <c r="A165" i="13" s="1"/>
  <c r="A115" i="13" a="1"/>
  <c r="A115" i="13" s="1"/>
  <c r="A110" i="13" a="1"/>
  <c r="A110" i="13" s="1"/>
  <c r="A116" i="13" a="1"/>
  <c r="A116" i="13" s="1"/>
  <c r="A118" i="13" a="1"/>
  <c r="A118" i="13" s="1"/>
  <c r="A114" i="13" a="1"/>
  <c r="A114" i="13" s="1"/>
  <c r="J114" i="13" s="1"/>
  <c r="A117" i="13" a="1"/>
  <c r="A117" i="13" s="1"/>
  <c r="A111" i="13" a="1"/>
  <c r="A111" i="13" s="1"/>
  <c r="A112" i="13" a="1"/>
  <c r="A112" i="13" s="1"/>
  <c r="A113" i="13" a="1"/>
  <c r="A113" i="13" s="1"/>
  <c r="A96" i="13" a="1"/>
  <c r="A96" i="13" s="1"/>
  <c r="A97" i="13" a="1"/>
  <c r="A97" i="13" s="1"/>
  <c r="A98" i="13" a="1"/>
  <c r="A98" i="13" s="1"/>
  <c r="A93" i="13" a="1"/>
  <c r="A93" i="13" s="1"/>
  <c r="A99" i="13" a="1"/>
  <c r="A99" i="13" s="1"/>
  <c r="A100" i="13" a="1"/>
  <c r="A100" i="13" s="1"/>
  <c r="A94" i="13" a="1"/>
  <c r="A94" i="13" s="1"/>
  <c r="A95" i="13" a="1"/>
  <c r="A95" i="13" s="1"/>
  <c r="A92" i="13" a="1"/>
  <c r="A92" i="13" s="1"/>
  <c r="A193" i="13" a="1"/>
  <c r="A193" i="13" s="1"/>
  <c r="A194" i="13" a="1"/>
  <c r="A194" i="13" s="1"/>
  <c r="A199" i="13" a="1"/>
  <c r="A199" i="13" s="1"/>
  <c r="A191" i="13" a="1"/>
  <c r="A191" i="13" s="1"/>
  <c r="A197" i="13" a="1"/>
  <c r="A197" i="13" s="1"/>
  <c r="A192" i="13" a="1"/>
  <c r="A192" i="13" s="1"/>
  <c r="A198" i="13" a="1"/>
  <c r="A198" i="13" s="1"/>
  <c r="A196" i="13" a="1"/>
  <c r="A196" i="13" s="1"/>
  <c r="A195" i="13" a="1"/>
  <c r="A195" i="13" s="1"/>
  <c r="A11" i="13" a="1"/>
  <c r="A11" i="13" s="1"/>
  <c r="A18" i="13" a="1"/>
  <c r="A18" i="13" s="1"/>
  <c r="A12" i="13" a="1"/>
  <c r="A12" i="13" s="1"/>
  <c r="A19" i="13" a="1"/>
  <c r="A19" i="13" s="1"/>
  <c r="A17" i="13" a="1"/>
  <c r="A17" i="13" s="1"/>
  <c r="A15" i="13" a="1"/>
  <c r="A15" i="13" s="1"/>
  <c r="A16" i="13" a="1"/>
  <c r="A16" i="13" s="1"/>
  <c r="A13" i="13" a="1"/>
  <c r="A13" i="13" s="1"/>
  <c r="A14" i="13" a="1"/>
  <c r="A14" i="13" s="1"/>
  <c r="A157" i="13" a="1"/>
  <c r="A157" i="13" s="1"/>
  <c r="A163" i="13" a="1"/>
  <c r="A163" i="13" s="1"/>
  <c r="A158" i="13" a="1"/>
  <c r="A158" i="13" s="1"/>
  <c r="A155" i="13" a="1"/>
  <c r="A155" i="13" s="1"/>
  <c r="A156" i="13" a="1"/>
  <c r="A156" i="13" s="1"/>
  <c r="A161" i="13" a="1"/>
  <c r="A161" i="13" s="1"/>
  <c r="A159" i="13" a="1"/>
  <c r="A159" i="13" s="1"/>
  <c r="A160" i="13" a="1"/>
  <c r="A160" i="13" s="1"/>
  <c r="A162" i="13" a="1"/>
  <c r="A162" i="13" s="1"/>
  <c r="A151" i="13" a="1"/>
  <c r="A151" i="13" s="1"/>
  <c r="A146" i="13" a="1"/>
  <c r="A146" i="13" s="1"/>
  <c r="A152" i="13" a="1"/>
  <c r="A152" i="13" s="1"/>
  <c r="A150" i="13" a="1"/>
  <c r="A150" i="13" s="1"/>
  <c r="A147" i="13" a="1"/>
  <c r="A147" i="13" s="1"/>
  <c r="A149" i="13" a="1"/>
  <c r="A149" i="13" s="1"/>
  <c r="A153" i="13" a="1"/>
  <c r="A153" i="13" s="1"/>
  <c r="A148" i="13" a="1"/>
  <c r="A148" i="13" s="1"/>
  <c r="A154" i="13" a="1"/>
  <c r="A154" i="13" s="1"/>
  <c r="A44" i="13" a="1"/>
  <c r="A44" i="13" s="1"/>
  <c r="A39" i="13" a="1"/>
  <c r="A39" i="13" s="1"/>
  <c r="A38" i="13" a="1"/>
  <c r="A38" i="13" s="1"/>
  <c r="A45" i="13" a="1"/>
  <c r="A45" i="13" s="1"/>
  <c r="A43" i="13" a="1"/>
  <c r="A43" i="13" s="1"/>
  <c r="A41" i="13" a="1"/>
  <c r="A41" i="13" s="1"/>
  <c r="A40" i="13" a="1"/>
  <c r="A40" i="13" s="1"/>
  <c r="A42" i="13" a="1"/>
  <c r="A42" i="13" s="1"/>
  <c r="A46" i="13" a="1"/>
  <c r="A46" i="13" s="1"/>
  <c r="A121" i="13" a="1"/>
  <c r="A121" i="13" s="1"/>
  <c r="A127" i="13" a="1"/>
  <c r="A127" i="13" s="1"/>
  <c r="A122" i="13" a="1"/>
  <c r="A122" i="13" s="1"/>
  <c r="A120" i="13" a="1"/>
  <c r="A120" i="13" s="1"/>
  <c r="A125" i="13" a="1"/>
  <c r="A125" i="13" s="1"/>
  <c r="G125" i="13" s="1"/>
  <c r="A119" i="13" a="1"/>
  <c r="A119" i="13" s="1"/>
  <c r="A126" i="13" a="1"/>
  <c r="A126" i="13" s="1"/>
  <c r="A123" i="13" a="1"/>
  <c r="A123" i="13" s="1"/>
  <c r="A124" i="13" a="1"/>
  <c r="A124" i="13" s="1"/>
  <c r="A211" i="13" a="1"/>
  <c r="A211" i="13" s="1"/>
  <c r="A212" i="13" a="1"/>
  <c r="A212" i="13" s="1"/>
  <c r="A217" i="13" a="1"/>
  <c r="A217" i="13" s="1"/>
  <c r="A216" i="13" a="1"/>
  <c r="A216" i="13" s="1"/>
  <c r="A214" i="13" a="1"/>
  <c r="A214" i="13" s="1"/>
  <c r="A209" i="13" a="1"/>
  <c r="A209" i="13" s="1"/>
  <c r="A210" i="13" a="1"/>
  <c r="A210" i="13" s="1"/>
  <c r="A213" i="13" a="1"/>
  <c r="A213" i="13" s="1"/>
  <c r="A215" i="13" a="1"/>
  <c r="A215" i="13" s="1"/>
  <c r="A70" i="13" a="1"/>
  <c r="A70" i="13" s="1"/>
  <c r="A65" i="13" a="1"/>
  <c r="A65" i="13" s="1"/>
  <c r="A71" i="13" a="1"/>
  <c r="A71" i="13" s="1"/>
  <c r="A69" i="13" a="1"/>
  <c r="A69" i="13" s="1"/>
  <c r="A72" i="13" a="1"/>
  <c r="A72" i="13" s="1"/>
  <c r="A66" i="13" a="1"/>
  <c r="A66" i="13" s="1"/>
  <c r="A73" i="13" a="1"/>
  <c r="A73" i="13" s="1"/>
  <c r="A68" i="13" a="1"/>
  <c r="A68" i="13" s="1"/>
  <c r="A67" i="13" a="1"/>
  <c r="A67" i="13" s="1"/>
  <c r="A57" i="13" a="1"/>
  <c r="A57" i="13" s="1"/>
  <c r="A64" i="13" a="1"/>
  <c r="A64" i="13" s="1"/>
  <c r="A58" i="13" a="1"/>
  <c r="A58" i="13" s="1"/>
  <c r="A63" i="13" a="1"/>
  <c r="A63" i="13" s="1"/>
  <c r="A60" i="13" a="1"/>
  <c r="A60" i="13" s="1"/>
  <c r="A62" i="13" a="1"/>
  <c r="A62" i="13" s="1"/>
  <c r="A61" i="13" a="1"/>
  <c r="A61" i="13" s="1"/>
  <c r="J61" i="13" s="1"/>
  <c r="A56" i="13" a="1"/>
  <c r="A56" i="13" s="1"/>
  <c r="A59" i="13" a="1"/>
  <c r="A59" i="13" s="1"/>
  <c r="A51" i="13" a="1"/>
  <c r="A51" i="13" s="1"/>
  <c r="A50" i="13" a="1"/>
  <c r="A50" i="13" s="1"/>
  <c r="A52" i="13" a="1"/>
  <c r="A52" i="13" s="1"/>
  <c r="A53" i="13" a="1"/>
  <c r="A53" i="13" s="1"/>
  <c r="A48" i="13" a="1"/>
  <c r="A48" i="13" s="1"/>
  <c r="A54" i="13" a="1"/>
  <c r="A54" i="13" s="1"/>
  <c r="A49" i="13" a="1"/>
  <c r="A49" i="13" s="1"/>
  <c r="A55" i="13" a="1"/>
  <c r="A55" i="13" s="1"/>
  <c r="A47" i="13" a="1"/>
  <c r="A47" i="13" s="1"/>
  <c r="A139" i="13" a="1"/>
  <c r="A139" i="13" s="1"/>
  <c r="A140" i="13" a="1"/>
  <c r="A140" i="13" s="1"/>
  <c r="A145" i="13" a="1"/>
  <c r="A145" i="13" s="1"/>
  <c r="A144" i="13" a="1"/>
  <c r="A144" i="13" s="1"/>
  <c r="A138" i="13" a="1"/>
  <c r="A138" i="13" s="1"/>
  <c r="A142" i="13" a="1"/>
  <c r="A142" i="13" s="1"/>
  <c r="A137" i="13" a="1"/>
  <c r="A137" i="13" s="1"/>
  <c r="A141" i="13" a="1"/>
  <c r="A141" i="13" s="1"/>
  <c r="A143" i="13" a="1"/>
  <c r="A143" i="13" s="1"/>
  <c r="A37" i="13" a="1"/>
  <c r="A37" i="13" s="1"/>
  <c r="A31" i="13" a="1"/>
  <c r="A31" i="13" s="1"/>
  <c r="A32" i="13" a="1"/>
  <c r="A32" i="13" s="1"/>
  <c r="A30" i="13" a="1"/>
  <c r="A30" i="13" s="1"/>
  <c r="A33" i="13" a="1"/>
  <c r="A33" i="13" s="1"/>
  <c r="A36" i="13" a="1"/>
  <c r="A36" i="13" s="1"/>
  <c r="A29" i="13" a="1"/>
  <c r="A29" i="13" s="1"/>
  <c r="A34" i="13" a="1"/>
  <c r="A34" i="13" s="1"/>
  <c r="A35" i="13" a="1"/>
  <c r="A35" i="13" s="1"/>
  <c r="A77" i="13" a="1"/>
  <c r="A77" i="13" s="1"/>
  <c r="A76" i="13" a="1"/>
  <c r="A76" i="13" s="1"/>
  <c r="A78" i="13" a="1"/>
  <c r="A78" i="13" s="1"/>
  <c r="A81" i="13" a="1"/>
  <c r="A81" i="13" s="1"/>
  <c r="A82" i="13" a="1"/>
  <c r="A82" i="13" s="1"/>
  <c r="A74" i="13" a="1"/>
  <c r="A74" i="13" s="1"/>
  <c r="A75" i="13" a="1"/>
  <c r="A75" i="13" s="1"/>
  <c r="A80" i="13" a="1"/>
  <c r="A80" i="13" s="1"/>
  <c r="A79" i="13" a="1"/>
  <c r="A79" i="13" s="1"/>
  <c r="A7" i="13" a="1"/>
  <c r="A7" i="13" s="1"/>
  <c r="A4" i="13" a="1"/>
  <c r="A4" i="13" s="1"/>
  <c r="A5" i="13" a="1"/>
  <c r="A5" i="13" s="1"/>
  <c r="A9" i="13" a="1"/>
  <c r="A9" i="13" s="1"/>
  <c r="A3" i="13" a="1"/>
  <c r="A3" i="13" s="1"/>
  <c r="A8" i="13" a="1"/>
  <c r="A8" i="13" s="1"/>
  <c r="A2" i="13" a="1"/>
  <c r="A2" i="13" s="1"/>
  <c r="A6" i="13" a="1"/>
  <c r="A6" i="13" s="1"/>
  <c r="A10" i="13" a="1"/>
  <c r="A10" i="13" s="1"/>
  <c r="A133" i="13" a="1"/>
  <c r="A133" i="13" s="1"/>
  <c r="A128" i="13" a="1"/>
  <c r="A128" i="13" s="1"/>
  <c r="A134" i="13" a="1"/>
  <c r="A134" i="13" s="1"/>
  <c r="A136" i="13" a="1"/>
  <c r="A136" i="13" s="1"/>
  <c r="A129" i="13" a="1"/>
  <c r="A129" i="13" s="1"/>
  <c r="A130" i="13" a="1"/>
  <c r="A130" i="13" s="1"/>
  <c r="A131" i="13" a="1"/>
  <c r="A131" i="13" s="1"/>
  <c r="A132" i="13" a="1"/>
  <c r="A132" i="13" s="1"/>
  <c r="A135" i="13" a="1"/>
  <c r="A135" i="13" s="1"/>
  <c r="A24" i="13" a="1"/>
  <c r="A24" i="13" s="1"/>
  <c r="A25" i="13" a="1"/>
  <c r="A25" i="13" s="1"/>
  <c r="A26" i="13" a="1"/>
  <c r="A26" i="13" s="1"/>
  <c r="A27" i="13" a="1"/>
  <c r="A27" i="13" s="1"/>
  <c r="A21" i="13" a="1"/>
  <c r="A21" i="13" s="1"/>
  <c r="A28" i="13" a="1"/>
  <c r="A28" i="13" s="1"/>
  <c r="A20" i="13" a="1"/>
  <c r="A20" i="13" s="1"/>
  <c r="A23" i="13" a="1"/>
  <c r="A23" i="13" s="1"/>
  <c r="A22" i="13" a="1"/>
  <c r="A22" i="13" s="1"/>
  <c r="M236" i="13"/>
  <c r="J269" i="13"/>
  <c r="J233" i="13"/>
  <c r="G284" i="13"/>
  <c r="J272" i="13"/>
  <c r="G355" i="13"/>
  <c r="G331" i="13"/>
  <c r="G244" i="13"/>
  <c r="G247" i="13"/>
  <c r="J326" i="13"/>
  <c r="G324" i="13"/>
  <c r="J322" i="13"/>
  <c r="J313" i="13"/>
  <c r="J245" i="13"/>
  <c r="J237" i="13"/>
  <c r="J236" i="13"/>
  <c r="G325" i="13"/>
  <c r="G248" i="13"/>
  <c r="G236" i="13"/>
  <c r="J335" i="13"/>
  <c r="J266" i="13"/>
  <c r="G313" i="13"/>
  <c r="J312" i="13"/>
  <c r="G312" i="13"/>
  <c r="J310" i="13"/>
  <c r="J360" i="13"/>
  <c r="J81" i="13"/>
  <c r="G292" i="13"/>
  <c r="J281" i="13"/>
  <c r="G289" i="13"/>
  <c r="J358" i="13"/>
  <c r="J274" i="13"/>
  <c r="G358" i="13"/>
  <c r="G144" i="13"/>
  <c r="M333" i="13"/>
  <c r="J333" i="13"/>
  <c r="G333" i="13"/>
  <c r="M276" i="13"/>
  <c r="J276" i="13"/>
  <c r="G276" i="13"/>
  <c r="M297" i="13"/>
  <c r="G297" i="13"/>
  <c r="J297" i="13"/>
  <c r="M230" i="13"/>
  <c r="G230" i="13"/>
  <c r="J230" i="13"/>
  <c r="M319" i="13"/>
  <c r="J319" i="13"/>
  <c r="G319" i="13"/>
  <c r="M229" i="13"/>
  <c r="G229" i="13"/>
  <c r="J229" i="13"/>
  <c r="M330" i="13"/>
  <c r="J330" i="13"/>
  <c r="G330" i="13"/>
  <c r="M240" i="13"/>
  <c r="J240" i="13"/>
  <c r="G240" i="13"/>
  <c r="M329" i="13"/>
  <c r="G329" i="13"/>
  <c r="J329" i="13"/>
  <c r="M249" i="13"/>
  <c r="G249" i="13"/>
  <c r="J249" i="13"/>
  <c r="M316" i="13"/>
  <c r="J316" i="13"/>
  <c r="G316" i="13"/>
  <c r="M356" i="13"/>
  <c r="J356" i="13"/>
  <c r="M264" i="13"/>
  <c r="J264" i="13"/>
  <c r="G264" i="13"/>
  <c r="M367" i="13"/>
  <c r="J367" i="13"/>
  <c r="M320" i="13"/>
  <c r="J320" i="13"/>
  <c r="G320" i="13"/>
  <c r="M308" i="13"/>
  <c r="J308" i="13"/>
  <c r="G308" i="13"/>
  <c r="M263" i="13"/>
  <c r="G263" i="13"/>
  <c r="J263" i="13"/>
  <c r="M241" i="13"/>
  <c r="G241" i="13"/>
  <c r="M342" i="13"/>
  <c r="J342" i="13"/>
  <c r="G342" i="13"/>
  <c r="M286" i="13"/>
  <c r="J286" i="13"/>
  <c r="M365" i="13"/>
  <c r="G365" i="13"/>
  <c r="J365" i="13"/>
  <c r="M307" i="13"/>
  <c r="J307" i="13"/>
  <c r="G307" i="13"/>
  <c r="M364" i="13"/>
  <c r="J364" i="13"/>
  <c r="G364" i="13"/>
  <c r="M340" i="13"/>
  <c r="J340" i="13"/>
  <c r="G340" i="13"/>
  <c r="M294" i="13"/>
  <c r="J294" i="13"/>
  <c r="G294" i="13"/>
  <c r="M328" i="13"/>
  <c r="J328" i="13"/>
  <c r="J241" i="13"/>
  <c r="M344" i="13"/>
  <c r="G344" i="13"/>
  <c r="J344" i="13"/>
  <c r="M321" i="13"/>
  <c r="G321" i="13"/>
  <c r="M309" i="13"/>
  <c r="J309" i="13"/>
  <c r="G309" i="13"/>
  <c r="M287" i="13"/>
  <c r="G287" i="13"/>
  <c r="M252" i="13"/>
  <c r="G252" i="13"/>
  <c r="J252" i="13"/>
  <c r="M242" i="13"/>
  <c r="G242" i="13"/>
  <c r="J242" i="13"/>
  <c r="M231" i="13"/>
  <c r="J231" i="13"/>
  <c r="G231" i="13"/>
  <c r="M355" i="13"/>
  <c r="J355" i="13"/>
  <c r="M332" i="13"/>
  <c r="J332" i="13"/>
  <c r="G332" i="13"/>
  <c r="M275" i="13"/>
  <c r="J275" i="13"/>
  <c r="G275" i="13"/>
  <c r="M354" i="13"/>
  <c r="J354" i="13"/>
  <c r="G354" i="13"/>
  <c r="M331" i="13"/>
  <c r="J331" i="13"/>
  <c r="M296" i="13"/>
  <c r="G296" i="13"/>
  <c r="J296" i="13"/>
  <c r="M262" i="13"/>
  <c r="J262" i="13"/>
  <c r="G262" i="13"/>
  <c r="M250" i="13"/>
  <c r="J250" i="13"/>
  <c r="G356" i="13"/>
  <c r="M341" i="13"/>
  <c r="G341" i="13"/>
  <c r="J341" i="13"/>
  <c r="M318" i="13"/>
  <c r="J318" i="13"/>
  <c r="G318" i="13"/>
  <c r="M295" i="13"/>
  <c r="J295" i="13"/>
  <c r="G295" i="13"/>
  <c r="M285" i="13"/>
  <c r="G285" i="13"/>
  <c r="J285" i="13"/>
  <c r="M261" i="13"/>
  <c r="J261" i="13"/>
  <c r="M228" i="13"/>
  <c r="J228" i="13"/>
  <c r="G228" i="13"/>
  <c r="M352" i="13"/>
  <c r="J352" i="13"/>
  <c r="M317" i="13"/>
  <c r="G317" i="13"/>
  <c r="M306" i="13"/>
  <c r="J306" i="13"/>
  <c r="G306" i="13"/>
  <c r="M272" i="13"/>
  <c r="G272" i="13"/>
  <c r="M260" i="13"/>
  <c r="J260" i="13"/>
  <c r="G260" i="13"/>
  <c r="M239" i="13"/>
  <c r="J239" i="13"/>
  <c r="G239" i="13"/>
  <c r="M227" i="13"/>
  <c r="J227" i="13"/>
  <c r="G227" i="13"/>
  <c r="G352" i="13"/>
  <c r="M363" i="13"/>
  <c r="J363" i="13"/>
  <c r="G363" i="13"/>
  <c r="M305" i="13"/>
  <c r="G305" i="13"/>
  <c r="J305" i="13"/>
  <c r="M283" i="13"/>
  <c r="J283" i="13"/>
  <c r="G283" i="13"/>
  <c r="M271" i="13"/>
  <c r="J271" i="13"/>
  <c r="G271" i="13"/>
  <c r="M238" i="13"/>
  <c r="G238" i="13"/>
  <c r="J321" i="13"/>
  <c r="G286" i="13"/>
  <c r="J317" i="13"/>
  <c r="G328" i="13"/>
  <c r="G250" i="13"/>
  <c r="M368" i="13"/>
  <c r="J368" i="13"/>
  <c r="M298" i="13"/>
  <c r="J298" i="13"/>
  <c r="G298" i="13"/>
  <c r="M343" i="13"/>
  <c r="J343" i="13"/>
  <c r="G343" i="13"/>
  <c r="M251" i="13"/>
  <c r="G251" i="13"/>
  <c r="J251" i="13"/>
  <c r="M366" i="13"/>
  <c r="J366" i="13"/>
  <c r="G366" i="13"/>
  <c r="M274" i="13"/>
  <c r="G274" i="13"/>
  <c r="M353" i="13"/>
  <c r="G353" i="13"/>
  <c r="J353" i="13"/>
  <c r="M273" i="13"/>
  <c r="G273" i="13"/>
  <c r="M284" i="13"/>
  <c r="J284" i="13"/>
  <c r="M351" i="13"/>
  <c r="J351" i="13"/>
  <c r="G351" i="13"/>
  <c r="M259" i="13"/>
  <c r="J259" i="13"/>
  <c r="G259" i="13"/>
  <c r="M248" i="13"/>
  <c r="J248" i="13"/>
  <c r="J287" i="13"/>
  <c r="J218" i="13"/>
  <c r="M339" i="13"/>
  <c r="J339" i="13"/>
  <c r="G339" i="13"/>
  <c r="M293" i="13"/>
  <c r="G293" i="13"/>
  <c r="J293" i="13"/>
  <c r="M361" i="13"/>
  <c r="G361" i="13"/>
  <c r="G310" i="13"/>
  <c r="J371" i="13"/>
  <c r="M350" i="13"/>
  <c r="G350" i="13"/>
  <c r="J350" i="13"/>
  <c r="M304" i="13"/>
  <c r="J304" i="13"/>
  <c r="M237" i="13"/>
  <c r="G237" i="13"/>
  <c r="M348" i="13"/>
  <c r="J348" i="13"/>
  <c r="M325" i="13"/>
  <c r="J325" i="13"/>
  <c r="M302" i="13"/>
  <c r="G302" i="13"/>
  <c r="J302" i="13"/>
  <c r="M291" i="13"/>
  <c r="J291" i="13"/>
  <c r="G291" i="13"/>
  <c r="M280" i="13"/>
  <c r="J280" i="13"/>
  <c r="G280" i="13"/>
  <c r="M268" i="13"/>
  <c r="J268" i="13"/>
  <c r="M256" i="13"/>
  <c r="J256" i="13"/>
  <c r="G256" i="13"/>
  <c r="M246" i="13"/>
  <c r="J246" i="13"/>
  <c r="G246" i="13"/>
  <c r="M235" i="13"/>
  <c r="J235" i="13"/>
  <c r="G235" i="13"/>
  <c r="G268" i="13"/>
  <c r="M362" i="13"/>
  <c r="G362" i="13"/>
  <c r="M327" i="13"/>
  <c r="J327" i="13"/>
  <c r="G327" i="13"/>
  <c r="M315" i="13"/>
  <c r="J315" i="13"/>
  <c r="G315" i="13"/>
  <c r="M282" i="13"/>
  <c r="J282" i="13"/>
  <c r="G282" i="13"/>
  <c r="M270" i="13"/>
  <c r="J270" i="13"/>
  <c r="G270" i="13"/>
  <c r="M258" i="13"/>
  <c r="J258" i="13"/>
  <c r="G258" i="13"/>
  <c r="J171" i="13"/>
  <c r="M349" i="13"/>
  <c r="J349" i="13"/>
  <c r="M372" i="13"/>
  <c r="J372" i="13"/>
  <c r="M360" i="13"/>
  <c r="G360" i="13"/>
  <c r="M337" i="13"/>
  <c r="G337" i="13"/>
  <c r="M359" i="13"/>
  <c r="G359" i="13"/>
  <c r="M346" i="13"/>
  <c r="G346" i="13"/>
  <c r="M335" i="13"/>
  <c r="M323" i="13"/>
  <c r="G323" i="13"/>
  <c r="M311" i="13"/>
  <c r="J311" i="13"/>
  <c r="M300" i="13"/>
  <c r="J300" i="13"/>
  <c r="G300" i="13"/>
  <c r="M278" i="13"/>
  <c r="G278" i="13"/>
  <c r="J278" i="13"/>
  <c r="M266" i="13"/>
  <c r="G266" i="13"/>
  <c r="G304" i="13"/>
  <c r="J362" i="13"/>
  <c r="J289" i="13"/>
  <c r="M369" i="13"/>
  <c r="M357" i="13"/>
  <c r="G357" i="13"/>
  <c r="J357" i="13"/>
  <c r="M345" i="13"/>
  <c r="G345" i="13"/>
  <c r="M334" i="13"/>
  <c r="J334" i="13"/>
  <c r="M322" i="13"/>
  <c r="G322" i="13"/>
  <c r="M299" i="13"/>
  <c r="G299" i="13"/>
  <c r="M288" i="13"/>
  <c r="M277" i="13"/>
  <c r="J277" i="13"/>
  <c r="G277" i="13"/>
  <c r="M265" i="13"/>
  <c r="G265" i="13"/>
  <c r="M253" i="13"/>
  <c r="G253" i="13"/>
  <c r="J253" i="13"/>
  <c r="M243" i="13"/>
  <c r="J243" i="13"/>
  <c r="G243" i="13"/>
  <c r="M232" i="13"/>
  <c r="J232" i="13"/>
  <c r="G232" i="13"/>
  <c r="J361" i="13"/>
  <c r="J323" i="13"/>
  <c r="J288" i="13"/>
  <c r="M338" i="13"/>
  <c r="G338" i="13"/>
  <c r="M326" i="13"/>
  <c r="G326" i="13"/>
  <c r="M314" i="13"/>
  <c r="G314" i="13"/>
  <c r="J314" i="13"/>
  <c r="M303" i="13"/>
  <c r="J303" i="13"/>
  <c r="G303" i="13"/>
  <c r="M292" i="13"/>
  <c r="J292" i="13"/>
  <c r="M281" i="13"/>
  <c r="G281" i="13"/>
  <c r="M269" i="13"/>
  <c r="G269" i="13"/>
  <c r="M257" i="13"/>
  <c r="G257" i="13"/>
  <c r="J257" i="13"/>
  <c r="M247" i="13"/>
  <c r="J247" i="13"/>
  <c r="M370" i="13"/>
  <c r="J370" i="13"/>
  <c r="M347" i="13"/>
  <c r="J347" i="13"/>
  <c r="M336" i="13"/>
  <c r="J336" i="13"/>
  <c r="M301" i="13"/>
  <c r="G301" i="13"/>
  <c r="M290" i="13"/>
  <c r="G290" i="13"/>
  <c r="M279" i="13"/>
  <c r="J279" i="13"/>
  <c r="G279" i="13"/>
  <c r="M267" i="13"/>
  <c r="J267" i="13"/>
  <c r="G267" i="13"/>
  <c r="M255" i="13"/>
  <c r="J255" i="13"/>
  <c r="G255" i="13"/>
  <c r="M245" i="13"/>
  <c r="G245" i="13"/>
  <c r="M234" i="13"/>
  <c r="J234" i="13"/>
  <c r="G234" i="13"/>
  <c r="M254" i="13"/>
  <c r="G254" i="13"/>
  <c r="M244" i="13"/>
  <c r="J244" i="13"/>
  <c r="M233" i="13"/>
  <c r="G233" i="13"/>
  <c r="G336" i="13"/>
  <c r="J324" i="13"/>
  <c r="J301" i="13"/>
  <c r="A2" i="12"/>
  <c r="B2" i="12" s="1"/>
  <c r="J222" i="13" l="1"/>
  <c r="J224" i="13"/>
  <c r="J203" i="13"/>
  <c r="J223" i="13"/>
  <c r="G204" i="13"/>
  <c r="F135" i="13"/>
  <c r="C135" i="13"/>
  <c r="M135" i="13" s="1"/>
  <c r="D135" i="13" a="1"/>
  <c r="D135" i="13" s="1"/>
  <c r="D78" i="13" a="1"/>
  <c r="D78" i="13" s="1"/>
  <c r="F78" i="13"/>
  <c r="C78" i="13"/>
  <c r="M78" i="13" s="1"/>
  <c r="D143" i="13" a="1"/>
  <c r="D143" i="13" s="1"/>
  <c r="F143" i="13"/>
  <c r="C143" i="13"/>
  <c r="M143" i="13" s="1"/>
  <c r="F54" i="13"/>
  <c r="D54" i="13" a="1"/>
  <c r="D54" i="13" s="1"/>
  <c r="C54" i="13"/>
  <c r="M54" i="13" s="1"/>
  <c r="D58" i="13" a="1"/>
  <c r="D58" i="13" s="1"/>
  <c r="F58" i="13"/>
  <c r="C58" i="13"/>
  <c r="M58" i="13" s="1"/>
  <c r="F215" i="13"/>
  <c r="D215" i="13" a="1"/>
  <c r="D215" i="13" s="1"/>
  <c r="C215" i="13"/>
  <c r="M215" i="13" s="1"/>
  <c r="D119" i="13" a="1"/>
  <c r="D119" i="13" s="1"/>
  <c r="F119" i="13"/>
  <c r="C119" i="13"/>
  <c r="M119" i="13" s="1"/>
  <c r="F38" i="13"/>
  <c r="C38" i="13"/>
  <c r="M38" i="13" s="1"/>
  <c r="D38" i="13" a="1"/>
  <c r="D38" i="13" s="1"/>
  <c r="F162" i="13"/>
  <c r="D162" i="13" a="1"/>
  <c r="D162" i="13" s="1"/>
  <c r="C162" i="13"/>
  <c r="M162" i="13" s="1"/>
  <c r="F199" i="13"/>
  <c r="C199" i="13"/>
  <c r="M199" i="13" s="1"/>
  <c r="D199" i="13" a="1"/>
  <c r="D199" i="13" s="1"/>
  <c r="C113" i="13"/>
  <c r="M113" i="13" s="1"/>
  <c r="D113" i="13" a="1"/>
  <c r="D113" i="13" s="1"/>
  <c r="F113" i="13"/>
  <c r="C167" i="13"/>
  <c r="M167" i="13" s="1"/>
  <c r="F167" i="13"/>
  <c r="D167" i="13" a="1"/>
  <c r="D167" i="13" s="1"/>
  <c r="F175" i="13"/>
  <c r="D175" i="13" a="1"/>
  <c r="D175" i="13" s="1"/>
  <c r="C175" i="13"/>
  <c r="M175" i="13" s="1"/>
  <c r="F85" i="13"/>
  <c r="D85" i="13" a="1"/>
  <c r="D85" i="13" s="1"/>
  <c r="C85" i="13"/>
  <c r="M85" i="13" s="1"/>
  <c r="C202" i="13"/>
  <c r="M202" i="13" s="1"/>
  <c r="F202" i="13"/>
  <c r="D202" i="13" a="1"/>
  <c r="D202" i="13" s="1"/>
  <c r="D104" i="13" a="1"/>
  <c r="D104" i="13" s="1"/>
  <c r="F104" i="13"/>
  <c r="C104" i="13"/>
  <c r="M104" i="13" s="1"/>
  <c r="D132" i="13" a="1"/>
  <c r="D132" i="13" s="1"/>
  <c r="F132" i="13"/>
  <c r="C132" i="13"/>
  <c r="M132" i="13" s="1"/>
  <c r="F76" i="13"/>
  <c r="D76" i="13" a="1"/>
  <c r="D76" i="13" s="1"/>
  <c r="C76" i="13"/>
  <c r="M76" i="13" s="1"/>
  <c r="C141" i="13"/>
  <c r="M141" i="13" s="1"/>
  <c r="D141" i="13" a="1"/>
  <c r="D141" i="13" s="1"/>
  <c r="F141" i="13"/>
  <c r="C48" i="13"/>
  <c r="M48" i="13" s="1"/>
  <c r="F48" i="13"/>
  <c r="D48" i="13" a="1"/>
  <c r="D48" i="13" s="1"/>
  <c r="F64" i="13"/>
  <c r="D64" i="13" a="1"/>
  <c r="D64" i="13" s="1"/>
  <c r="C64" i="13"/>
  <c r="M64" i="13" s="1"/>
  <c r="F213" i="13"/>
  <c r="C213" i="13"/>
  <c r="M213" i="13" s="1"/>
  <c r="D213" i="13" a="1"/>
  <c r="D213" i="13" s="1"/>
  <c r="C125" i="13"/>
  <c r="M125" i="13" s="1"/>
  <c r="D125" i="13" a="1"/>
  <c r="D125" i="13" s="1"/>
  <c r="F125" i="13"/>
  <c r="D39" i="13" a="1"/>
  <c r="D39" i="13" s="1"/>
  <c r="F39" i="13"/>
  <c r="C39" i="13"/>
  <c r="M39" i="13" s="1"/>
  <c r="F160" i="13"/>
  <c r="D160" i="13" a="1"/>
  <c r="D160" i="13" s="1"/>
  <c r="C160" i="13"/>
  <c r="M160" i="13" s="1"/>
  <c r="F194" i="13"/>
  <c r="D194" i="13" a="1"/>
  <c r="D194" i="13" s="1"/>
  <c r="C194" i="13"/>
  <c r="M194" i="13" s="1"/>
  <c r="F112" i="13"/>
  <c r="D112" i="13" a="1"/>
  <c r="D112" i="13" s="1"/>
  <c r="C112" i="13"/>
  <c r="M112" i="13" s="1"/>
  <c r="F172" i="13"/>
  <c r="C172" i="13"/>
  <c r="M172" i="13" s="1"/>
  <c r="D172" i="13" a="1"/>
  <c r="D172" i="13" s="1"/>
  <c r="F176" i="13"/>
  <c r="D176" i="13" a="1"/>
  <c r="D176" i="13" s="1"/>
  <c r="C176" i="13"/>
  <c r="M176" i="13" s="1"/>
  <c r="F88" i="13"/>
  <c r="C88" i="13"/>
  <c r="M88" i="13" s="1"/>
  <c r="D88" i="13" a="1"/>
  <c r="D88" i="13" s="1"/>
  <c r="D201" i="13" a="1"/>
  <c r="D201" i="13" s="1"/>
  <c r="F201" i="13"/>
  <c r="C201" i="13"/>
  <c r="M201" i="13" s="1"/>
  <c r="F103" i="13"/>
  <c r="C103" i="13"/>
  <c r="M103" i="13" s="1"/>
  <c r="D103" i="13" a="1"/>
  <c r="D103" i="13" s="1"/>
  <c r="G202" i="13"/>
  <c r="F131" i="13"/>
  <c r="D131" i="13" a="1"/>
  <c r="D131" i="13" s="1"/>
  <c r="C131" i="13"/>
  <c r="M131" i="13" s="1"/>
  <c r="D77" i="13" a="1"/>
  <c r="D77" i="13" s="1"/>
  <c r="F77" i="13"/>
  <c r="C77" i="13"/>
  <c r="M77" i="13" s="1"/>
  <c r="F137" i="13"/>
  <c r="C137" i="13"/>
  <c r="M137" i="13" s="1"/>
  <c r="D137" i="13" a="1"/>
  <c r="D137" i="13" s="1"/>
  <c r="F53" i="13"/>
  <c r="D53" i="13" a="1"/>
  <c r="D53" i="13" s="1"/>
  <c r="C53" i="13"/>
  <c r="C57" i="13"/>
  <c r="M57" i="13" s="1"/>
  <c r="F57" i="13"/>
  <c r="D57" i="13" a="1"/>
  <c r="D57" i="13" s="1"/>
  <c r="F210" i="13"/>
  <c r="D210" i="13" a="1"/>
  <c r="D210" i="13" s="1"/>
  <c r="C210" i="13"/>
  <c r="M210" i="13" s="1"/>
  <c r="D120" i="13" a="1"/>
  <c r="D120" i="13" s="1"/>
  <c r="F120" i="13"/>
  <c r="C120" i="13"/>
  <c r="M120" i="13" s="1"/>
  <c r="F44" i="13"/>
  <c r="D44" i="13" a="1"/>
  <c r="D44" i="13" s="1"/>
  <c r="C44" i="13"/>
  <c r="D159" i="13" a="1"/>
  <c r="D159" i="13" s="1"/>
  <c r="C159" i="13"/>
  <c r="M159" i="13" s="1"/>
  <c r="F159" i="13"/>
  <c r="D193" i="13" a="1"/>
  <c r="D193" i="13" s="1"/>
  <c r="C193" i="13"/>
  <c r="M193" i="13" s="1"/>
  <c r="F193" i="13"/>
  <c r="C111" i="13"/>
  <c r="M111" i="13" s="1"/>
  <c r="D111" i="13" a="1"/>
  <c r="D111" i="13" s="1"/>
  <c r="F111" i="13"/>
  <c r="C166" i="13"/>
  <c r="M166" i="13" s="1"/>
  <c r="F166" i="13"/>
  <c r="D166" i="13" a="1"/>
  <c r="D166" i="13" s="1"/>
  <c r="F181" i="13"/>
  <c r="C181" i="13"/>
  <c r="M181" i="13" s="1"/>
  <c r="D181" i="13" a="1"/>
  <c r="D181" i="13" s="1"/>
  <c r="F87" i="13"/>
  <c r="D87" i="13" a="1"/>
  <c r="D87" i="13" s="1"/>
  <c r="C87" i="13"/>
  <c r="M87" i="13" s="1"/>
  <c r="G208" i="13"/>
  <c r="F208" i="13"/>
  <c r="D208" i="13" a="1"/>
  <c r="D208" i="13" s="1"/>
  <c r="C208" i="13"/>
  <c r="M208" i="13" s="1"/>
  <c r="F109" i="13"/>
  <c r="C109" i="13"/>
  <c r="D109" i="13" a="1"/>
  <c r="D109" i="13" s="1"/>
  <c r="J215" i="13"/>
  <c r="G199" i="13"/>
  <c r="G48" i="13"/>
  <c r="D130" i="13" a="1"/>
  <c r="D130" i="13" s="1"/>
  <c r="F130" i="13"/>
  <c r="C130" i="13"/>
  <c r="M130" i="13" s="1"/>
  <c r="F35" i="13"/>
  <c r="D35" i="13" a="1"/>
  <c r="D35" i="13" s="1"/>
  <c r="C35" i="13"/>
  <c r="M35" i="13" s="1"/>
  <c r="D142" i="13" a="1"/>
  <c r="D142" i="13" s="1"/>
  <c r="C142" i="13"/>
  <c r="M142" i="13" s="1"/>
  <c r="F142" i="13"/>
  <c r="F52" i="13"/>
  <c r="D52" i="13" a="1"/>
  <c r="D52" i="13" s="1"/>
  <c r="C52" i="13"/>
  <c r="M52" i="13" s="1"/>
  <c r="D67" i="13" a="1"/>
  <c r="D67" i="13" s="1"/>
  <c r="C67" i="13"/>
  <c r="M67" i="13" s="1"/>
  <c r="F67" i="13"/>
  <c r="D209" i="13" a="1"/>
  <c r="D209" i="13" s="1"/>
  <c r="F209" i="13"/>
  <c r="C209" i="13"/>
  <c r="M209" i="13" s="1"/>
  <c r="F122" i="13"/>
  <c r="D122" i="13" a="1"/>
  <c r="D122" i="13" s="1"/>
  <c r="C122" i="13"/>
  <c r="M122" i="13" s="1"/>
  <c r="C154" i="13"/>
  <c r="M154" i="13" s="1"/>
  <c r="D154" i="13" a="1"/>
  <c r="D154" i="13" s="1"/>
  <c r="F154" i="13"/>
  <c r="D161" i="13" a="1"/>
  <c r="D161" i="13" s="1"/>
  <c r="C161" i="13"/>
  <c r="M161" i="13" s="1"/>
  <c r="F161" i="13"/>
  <c r="D92" i="13" a="1"/>
  <c r="D92" i="13" s="1"/>
  <c r="F92" i="13"/>
  <c r="C92" i="13"/>
  <c r="M92" i="13" s="1"/>
  <c r="D117" i="13" a="1"/>
  <c r="D117" i="13" s="1"/>
  <c r="C117" i="13"/>
  <c r="M117" i="13" s="1"/>
  <c r="F117" i="13"/>
  <c r="D170" i="13" a="1"/>
  <c r="D170" i="13" s="1"/>
  <c r="C170" i="13"/>
  <c r="M170" i="13" s="1"/>
  <c r="F170" i="13"/>
  <c r="D185" i="13" a="1"/>
  <c r="D185" i="13" s="1"/>
  <c r="F185" i="13"/>
  <c r="C185" i="13"/>
  <c r="M185" i="13" s="1"/>
  <c r="D86" i="13" a="1"/>
  <c r="D86" i="13" s="1"/>
  <c r="F86" i="13"/>
  <c r="C86" i="13"/>
  <c r="M86" i="13" s="1"/>
  <c r="D205" i="13" a="1"/>
  <c r="D205" i="13" s="1"/>
  <c r="C205" i="13"/>
  <c r="M205" i="13" s="1"/>
  <c r="F205" i="13"/>
  <c r="C226" i="13"/>
  <c r="M226" i="13" s="1"/>
  <c r="F226" i="13"/>
  <c r="D226" i="13" a="1"/>
  <c r="D226" i="13" s="1"/>
  <c r="G215" i="13"/>
  <c r="J199" i="13"/>
  <c r="J48" i="13"/>
  <c r="C129" i="13"/>
  <c r="M129" i="13" s="1"/>
  <c r="D129" i="13" a="1"/>
  <c r="D129" i="13" s="1"/>
  <c r="F129" i="13"/>
  <c r="D34" i="13" a="1"/>
  <c r="D34" i="13" s="1"/>
  <c r="C34" i="13"/>
  <c r="F34" i="13"/>
  <c r="C138" i="13"/>
  <c r="M138" i="13" s="1"/>
  <c r="F138" i="13"/>
  <c r="D138" i="13" a="1"/>
  <c r="D138" i="13" s="1"/>
  <c r="C50" i="13"/>
  <c r="M50" i="13" s="1"/>
  <c r="D50" i="13" a="1"/>
  <c r="D50" i="13" s="1"/>
  <c r="F50" i="13"/>
  <c r="F68" i="13"/>
  <c r="C68" i="13"/>
  <c r="M68" i="13" s="1"/>
  <c r="D68" i="13" a="1"/>
  <c r="D68" i="13" s="1"/>
  <c r="F214" i="13"/>
  <c r="D214" i="13" a="1"/>
  <c r="D214" i="13" s="1"/>
  <c r="C214" i="13"/>
  <c r="C127" i="13"/>
  <c r="M127" i="13" s="1"/>
  <c r="D127" i="13" a="1"/>
  <c r="D127" i="13" s="1"/>
  <c r="F127" i="13"/>
  <c r="F148" i="13"/>
  <c r="D148" i="13" a="1"/>
  <c r="D148" i="13" s="1"/>
  <c r="C148" i="13"/>
  <c r="M148" i="13" s="1"/>
  <c r="F156" i="13"/>
  <c r="D156" i="13" a="1"/>
  <c r="D156" i="13" s="1"/>
  <c r="C156" i="13"/>
  <c r="M156" i="13" s="1"/>
  <c r="J95" i="13"/>
  <c r="D95" i="13" a="1"/>
  <c r="D95" i="13" s="1"/>
  <c r="C95" i="13"/>
  <c r="M95" i="13" s="1"/>
  <c r="F95" i="13"/>
  <c r="G114" i="13"/>
  <c r="D114" i="13" a="1"/>
  <c r="D114" i="13" s="1"/>
  <c r="C114" i="13"/>
  <c r="M114" i="13" s="1"/>
  <c r="F114" i="13"/>
  <c r="J164" i="13"/>
  <c r="F164" i="13"/>
  <c r="C164" i="13"/>
  <c r="M164" i="13" s="1"/>
  <c r="D164" i="13" a="1"/>
  <c r="D164" i="13" s="1"/>
  <c r="F184" i="13"/>
  <c r="D184" i="13" a="1"/>
  <c r="D184" i="13" s="1"/>
  <c r="C184" i="13"/>
  <c r="M184" i="13" s="1"/>
  <c r="F89" i="13"/>
  <c r="D89" i="13" a="1"/>
  <c r="D89" i="13" s="1"/>
  <c r="C89" i="13"/>
  <c r="M89" i="13" s="1"/>
  <c r="F200" i="13"/>
  <c r="C200" i="13"/>
  <c r="M200" i="13" s="1"/>
  <c r="D200" i="13" a="1"/>
  <c r="D200" i="13" s="1"/>
  <c r="F221" i="13"/>
  <c r="C221" i="13"/>
  <c r="M221" i="13" s="1"/>
  <c r="D221" i="13" a="1"/>
  <c r="D221" i="13" s="1"/>
  <c r="F136" i="13"/>
  <c r="C136" i="13"/>
  <c r="M136" i="13" s="1"/>
  <c r="D136" i="13" a="1"/>
  <c r="D136" i="13" s="1"/>
  <c r="D29" i="13" a="1"/>
  <c r="D29" i="13" s="1"/>
  <c r="C29" i="13"/>
  <c r="M29" i="13" s="1"/>
  <c r="F29" i="13"/>
  <c r="D144" i="13" a="1"/>
  <c r="D144" i="13" s="1"/>
  <c r="F144" i="13"/>
  <c r="C144" i="13"/>
  <c r="M144" i="13" s="1"/>
  <c r="D51" i="13" a="1"/>
  <c r="D51" i="13" s="1"/>
  <c r="C51" i="13"/>
  <c r="M51" i="13" s="1"/>
  <c r="F51" i="13"/>
  <c r="D73" i="13" a="1"/>
  <c r="D73" i="13" s="1"/>
  <c r="F73" i="13"/>
  <c r="C73" i="13"/>
  <c r="M73" i="13" s="1"/>
  <c r="G216" i="13"/>
  <c r="C216" i="13"/>
  <c r="M216" i="13" s="1"/>
  <c r="D216" i="13" a="1"/>
  <c r="D216" i="13" s="1"/>
  <c r="F216" i="13"/>
  <c r="F121" i="13"/>
  <c r="C121" i="13"/>
  <c r="M121" i="13" s="1"/>
  <c r="D121" i="13" a="1"/>
  <c r="D121" i="13" s="1"/>
  <c r="C153" i="13"/>
  <c r="M153" i="13" s="1"/>
  <c r="D153" i="13" a="1"/>
  <c r="D153" i="13" s="1"/>
  <c r="F153" i="13"/>
  <c r="C155" i="13"/>
  <c r="M155" i="13" s="1"/>
  <c r="F155" i="13"/>
  <c r="D155" i="13" a="1"/>
  <c r="D155" i="13" s="1"/>
  <c r="C94" i="13"/>
  <c r="M94" i="13" s="1"/>
  <c r="F94" i="13"/>
  <c r="D94" i="13" a="1"/>
  <c r="D94" i="13" s="1"/>
  <c r="D118" i="13" a="1"/>
  <c r="D118" i="13" s="1"/>
  <c r="F118" i="13"/>
  <c r="C118" i="13"/>
  <c r="M118" i="13" s="1"/>
  <c r="D169" i="13" a="1"/>
  <c r="D169" i="13" s="1"/>
  <c r="C169" i="13"/>
  <c r="M169" i="13" s="1"/>
  <c r="F169" i="13"/>
  <c r="D183" i="13" a="1"/>
  <c r="D183" i="13" s="1"/>
  <c r="C183" i="13"/>
  <c r="M183" i="13" s="1"/>
  <c r="F183" i="13"/>
  <c r="D91" i="13" a="1"/>
  <c r="D91" i="13" s="1"/>
  <c r="C91" i="13"/>
  <c r="M91" i="13" s="1"/>
  <c r="F91" i="13"/>
  <c r="D206" i="13" a="1"/>
  <c r="D206" i="13" s="1"/>
  <c r="C206" i="13"/>
  <c r="M206" i="13" s="1"/>
  <c r="F206" i="13"/>
  <c r="F220" i="13"/>
  <c r="C220" i="13"/>
  <c r="M220" i="13" s="1"/>
  <c r="D220" i="13" a="1"/>
  <c r="D220" i="13" s="1"/>
  <c r="J202" i="13"/>
  <c r="D134" i="13" a="1"/>
  <c r="D134" i="13" s="1"/>
  <c r="F134" i="13"/>
  <c r="C134" i="13"/>
  <c r="M134" i="13" s="1"/>
  <c r="C79" i="13"/>
  <c r="M79" i="13" s="1"/>
  <c r="D79" i="13" a="1"/>
  <c r="D79" i="13" s="1"/>
  <c r="F79" i="13"/>
  <c r="C36" i="13"/>
  <c r="M36" i="13" s="1"/>
  <c r="F36" i="13"/>
  <c r="D36" i="13" a="1"/>
  <c r="D36" i="13" s="1"/>
  <c r="D145" i="13" a="1"/>
  <c r="D145" i="13" s="1"/>
  <c r="F145" i="13"/>
  <c r="C145" i="13"/>
  <c r="M145" i="13" s="1"/>
  <c r="D59" i="13" a="1"/>
  <c r="D59" i="13" s="1"/>
  <c r="F59" i="13"/>
  <c r="C59" i="13"/>
  <c r="M59" i="13" s="1"/>
  <c r="C66" i="13"/>
  <c r="M66" i="13" s="1"/>
  <c r="F66" i="13"/>
  <c r="D66" i="13" a="1"/>
  <c r="D66" i="13" s="1"/>
  <c r="J217" i="13"/>
  <c r="D217" i="13" a="1"/>
  <c r="D217" i="13" s="1"/>
  <c r="C217" i="13"/>
  <c r="M217" i="13" s="1"/>
  <c r="F217" i="13"/>
  <c r="F46" i="13"/>
  <c r="D46" i="13" a="1"/>
  <c r="D46" i="13" s="1"/>
  <c r="C46" i="13"/>
  <c r="M46" i="13" s="1"/>
  <c r="F149" i="13"/>
  <c r="D149" i="13" a="1"/>
  <c r="D149" i="13" s="1"/>
  <c r="C149" i="13"/>
  <c r="M149" i="13" s="1"/>
  <c r="D158" i="13" a="1"/>
  <c r="D158" i="13" s="1"/>
  <c r="C158" i="13"/>
  <c r="M158" i="13" s="1"/>
  <c r="F158" i="13"/>
  <c r="D195" i="13" a="1"/>
  <c r="D195" i="13" s="1"/>
  <c r="F195" i="13"/>
  <c r="C195" i="13"/>
  <c r="M195" i="13" s="1"/>
  <c r="F100" i="13"/>
  <c r="D100" i="13" a="1"/>
  <c r="D100" i="13" s="1"/>
  <c r="C100" i="13"/>
  <c r="M100" i="13" s="1"/>
  <c r="F116" i="13"/>
  <c r="C116" i="13"/>
  <c r="M116" i="13" s="1"/>
  <c r="D116" i="13" a="1"/>
  <c r="D116" i="13" s="1"/>
  <c r="D174" i="13" a="1"/>
  <c r="D174" i="13" s="1"/>
  <c r="C174" i="13"/>
  <c r="M174" i="13" s="1"/>
  <c r="F174" i="13"/>
  <c r="F189" i="13"/>
  <c r="D189" i="13" a="1"/>
  <c r="D189" i="13" s="1"/>
  <c r="C189" i="13"/>
  <c r="M189" i="13" s="1"/>
  <c r="D84" i="13" a="1"/>
  <c r="D84" i="13" s="1"/>
  <c r="F84" i="13"/>
  <c r="C84" i="13"/>
  <c r="M84" i="13" s="1"/>
  <c r="J101" i="13"/>
  <c r="C101" i="13"/>
  <c r="M101" i="13" s="1"/>
  <c r="F101" i="13"/>
  <c r="D101" i="13" a="1"/>
  <c r="D101" i="13" s="1"/>
  <c r="C219" i="13"/>
  <c r="M219" i="13" s="1"/>
  <c r="D219" i="13" a="1"/>
  <c r="D219" i="13" s="1"/>
  <c r="F219" i="13"/>
  <c r="G132" i="13"/>
  <c r="F21" i="13"/>
  <c r="D128" i="13" a="1"/>
  <c r="D128" i="13" s="1"/>
  <c r="F128" i="13"/>
  <c r="C128" i="13"/>
  <c r="M128" i="13" s="1"/>
  <c r="C80" i="13"/>
  <c r="M80" i="13" s="1"/>
  <c r="D80" i="13" a="1"/>
  <c r="D80" i="13" s="1"/>
  <c r="F80" i="13"/>
  <c r="C33" i="13"/>
  <c r="M33" i="13" s="1"/>
  <c r="D33" i="13" a="1"/>
  <c r="D33" i="13" s="1"/>
  <c r="F33" i="13"/>
  <c r="D140" i="13" a="1"/>
  <c r="D140" i="13" s="1"/>
  <c r="C140" i="13"/>
  <c r="M140" i="13" s="1"/>
  <c r="F140" i="13"/>
  <c r="F56" i="13"/>
  <c r="C56" i="13"/>
  <c r="M56" i="13" s="1"/>
  <c r="D56" i="13" a="1"/>
  <c r="D56" i="13" s="1"/>
  <c r="F72" i="13"/>
  <c r="C72" i="13"/>
  <c r="M72" i="13" s="1"/>
  <c r="D72" i="13" a="1"/>
  <c r="D72" i="13" s="1"/>
  <c r="G212" i="13"/>
  <c r="F212" i="13"/>
  <c r="D212" i="13" a="1"/>
  <c r="D212" i="13" s="1"/>
  <c r="C212" i="13"/>
  <c r="M212" i="13" s="1"/>
  <c r="D42" i="13" a="1"/>
  <c r="D42" i="13" s="1"/>
  <c r="F42" i="13"/>
  <c r="C42" i="13"/>
  <c r="M42" i="13" s="1"/>
  <c r="F147" i="13"/>
  <c r="D147" i="13" a="1"/>
  <c r="D147" i="13" s="1"/>
  <c r="C147" i="13"/>
  <c r="M147" i="13" s="1"/>
  <c r="F163" i="13"/>
  <c r="D163" i="13" a="1"/>
  <c r="D163" i="13" s="1"/>
  <c r="C163" i="13"/>
  <c r="M163" i="13" s="1"/>
  <c r="F196" i="13"/>
  <c r="D196" i="13" a="1"/>
  <c r="D196" i="13" s="1"/>
  <c r="C196" i="13"/>
  <c r="M196" i="13" s="1"/>
  <c r="C99" i="13"/>
  <c r="M99" i="13" s="1"/>
  <c r="F99" i="13"/>
  <c r="D99" i="13" a="1"/>
  <c r="D99" i="13" s="1"/>
  <c r="F110" i="13"/>
  <c r="C110" i="13"/>
  <c r="M110" i="13" s="1"/>
  <c r="D110" i="13" a="1"/>
  <c r="D110" i="13" s="1"/>
  <c r="D173" i="13" a="1"/>
  <c r="D173" i="13" s="1"/>
  <c r="F173" i="13"/>
  <c r="C173" i="13"/>
  <c r="M173" i="13" s="1"/>
  <c r="C190" i="13"/>
  <c r="M190" i="13" s="1"/>
  <c r="F190" i="13"/>
  <c r="D190" i="13" a="1"/>
  <c r="D190" i="13" s="1"/>
  <c r="F90" i="13"/>
  <c r="C90" i="13"/>
  <c r="M90" i="13" s="1"/>
  <c r="D90" i="13" a="1"/>
  <c r="D90" i="13" s="1"/>
  <c r="G107" i="13"/>
  <c r="D107" i="13" a="1"/>
  <c r="D107" i="13" s="1"/>
  <c r="F107" i="13"/>
  <c r="C107" i="13"/>
  <c r="M107" i="13" s="1"/>
  <c r="F225" i="13"/>
  <c r="D225" i="13" a="1"/>
  <c r="D225" i="13" s="1"/>
  <c r="C225" i="13"/>
  <c r="M225" i="13" s="1"/>
  <c r="G210" i="13"/>
  <c r="G213" i="13"/>
  <c r="J132" i="13"/>
  <c r="F27" i="13"/>
  <c r="F133" i="13"/>
  <c r="C133" i="13"/>
  <c r="M133" i="13" s="1"/>
  <c r="D133" i="13" a="1"/>
  <c r="D133" i="13" s="1"/>
  <c r="C75" i="13"/>
  <c r="M75" i="13" s="1"/>
  <c r="D75" i="13" a="1"/>
  <c r="D75" i="13" s="1"/>
  <c r="F75" i="13"/>
  <c r="D30" i="13" a="1"/>
  <c r="D30" i="13" s="1"/>
  <c r="C30" i="13"/>
  <c r="M30" i="13" s="1"/>
  <c r="F30" i="13"/>
  <c r="D139" i="13" a="1"/>
  <c r="D139" i="13" s="1"/>
  <c r="C139" i="13"/>
  <c r="M139" i="13" s="1"/>
  <c r="F139" i="13"/>
  <c r="G61" i="13"/>
  <c r="D61" i="13" a="1"/>
  <c r="D61" i="13" s="1"/>
  <c r="C61" i="13"/>
  <c r="M61" i="13" s="1"/>
  <c r="F61" i="13"/>
  <c r="C69" i="13"/>
  <c r="M69" i="13" s="1"/>
  <c r="F69" i="13"/>
  <c r="D69" i="13" a="1"/>
  <c r="D69" i="13" s="1"/>
  <c r="J211" i="13"/>
  <c r="F211" i="13"/>
  <c r="D211" i="13" a="1"/>
  <c r="D211" i="13" s="1"/>
  <c r="C211" i="13"/>
  <c r="M211" i="13" s="1"/>
  <c r="F40" i="13"/>
  <c r="D40" i="13" a="1"/>
  <c r="D40" i="13" s="1"/>
  <c r="C40" i="13"/>
  <c r="D150" i="13" a="1"/>
  <c r="D150" i="13" s="1"/>
  <c r="F150" i="13"/>
  <c r="C150" i="13"/>
  <c r="M150" i="13" s="1"/>
  <c r="C157" i="13"/>
  <c r="M157" i="13" s="1"/>
  <c r="F157" i="13"/>
  <c r="D157" i="13" a="1"/>
  <c r="D157" i="13" s="1"/>
  <c r="F198" i="13"/>
  <c r="D198" i="13" a="1"/>
  <c r="D198" i="13" s="1"/>
  <c r="C198" i="13"/>
  <c r="M198" i="13" s="1"/>
  <c r="C93" i="13"/>
  <c r="M93" i="13" s="1"/>
  <c r="F93" i="13"/>
  <c r="D93" i="13" a="1"/>
  <c r="D93" i="13" s="1"/>
  <c r="F115" i="13"/>
  <c r="C115" i="13"/>
  <c r="M115" i="13" s="1"/>
  <c r="D115" i="13" a="1"/>
  <c r="D115" i="13" s="1"/>
  <c r="D179" i="13" a="1"/>
  <c r="D179" i="13" s="1"/>
  <c r="F179" i="13"/>
  <c r="C179" i="13"/>
  <c r="M179" i="13" s="1"/>
  <c r="D186" i="13" a="1"/>
  <c r="D186" i="13" s="1"/>
  <c r="F186" i="13"/>
  <c r="C186" i="13"/>
  <c r="M186" i="13" s="1"/>
  <c r="F83" i="13"/>
  <c r="C83" i="13"/>
  <c r="M83" i="13" s="1"/>
  <c r="D83" i="13" a="1"/>
  <c r="D83" i="13" s="1"/>
  <c r="F106" i="13"/>
  <c r="C106" i="13"/>
  <c r="M106" i="13" s="1"/>
  <c r="D106" i="13" a="1"/>
  <c r="D106" i="13" s="1"/>
  <c r="F222" i="13"/>
  <c r="C222" i="13"/>
  <c r="M222" i="13" s="1"/>
  <c r="D222" i="13" a="1"/>
  <c r="D222" i="13" s="1"/>
  <c r="J210" i="13"/>
  <c r="G214" i="13"/>
  <c r="G219" i="13"/>
  <c r="G226" i="13"/>
  <c r="D74" i="13" a="1"/>
  <c r="D74" i="13" s="1"/>
  <c r="F74" i="13"/>
  <c r="C74" i="13"/>
  <c r="M74" i="13" s="1"/>
  <c r="F32" i="13"/>
  <c r="D32" i="13" a="1"/>
  <c r="D32" i="13" s="1"/>
  <c r="C32" i="13"/>
  <c r="M32" i="13" s="1"/>
  <c r="C47" i="13"/>
  <c r="M47" i="13" s="1"/>
  <c r="F47" i="13"/>
  <c r="D47" i="13" a="1"/>
  <c r="D47" i="13" s="1"/>
  <c r="C62" i="13"/>
  <c r="M62" i="13" s="1"/>
  <c r="D62" i="13" a="1"/>
  <c r="D62" i="13" s="1"/>
  <c r="F62" i="13"/>
  <c r="F71" i="13"/>
  <c r="C71" i="13"/>
  <c r="M71" i="13" s="1"/>
  <c r="D71" i="13" a="1"/>
  <c r="D71" i="13" s="1"/>
  <c r="F124" i="13"/>
  <c r="C124" i="13"/>
  <c r="M124" i="13" s="1"/>
  <c r="D124" i="13" a="1"/>
  <c r="D124" i="13" s="1"/>
  <c r="D41" i="13" a="1"/>
  <c r="D41" i="13" s="1"/>
  <c r="F41" i="13"/>
  <c r="C41" i="13"/>
  <c r="M41" i="13" s="1"/>
  <c r="D152" i="13" a="1"/>
  <c r="D152" i="13" s="1"/>
  <c r="C152" i="13"/>
  <c r="M152" i="13" s="1"/>
  <c r="F152" i="13"/>
  <c r="C192" i="13"/>
  <c r="M192" i="13" s="1"/>
  <c r="D192" i="13" a="1"/>
  <c r="D192" i="13" s="1"/>
  <c r="F192" i="13"/>
  <c r="D98" i="13" a="1"/>
  <c r="D98" i="13" s="1"/>
  <c r="C98" i="13"/>
  <c r="M98" i="13" s="1"/>
  <c r="F98" i="13"/>
  <c r="F165" i="13"/>
  <c r="C165" i="13"/>
  <c r="M165" i="13" s="1"/>
  <c r="D165" i="13" a="1"/>
  <c r="D165" i="13" s="1"/>
  <c r="D178" i="13" a="1"/>
  <c r="D178" i="13" s="1"/>
  <c r="C178" i="13"/>
  <c r="M178" i="13" s="1"/>
  <c r="F178" i="13"/>
  <c r="D187" i="13" a="1"/>
  <c r="D187" i="13" s="1"/>
  <c r="F187" i="13"/>
  <c r="C187" i="13"/>
  <c r="M187" i="13" s="1"/>
  <c r="D207" i="13" a="1"/>
  <c r="D207" i="13" s="1"/>
  <c r="C207" i="13"/>
  <c r="M207" i="13" s="1"/>
  <c r="F207" i="13"/>
  <c r="C108" i="13"/>
  <c r="M108" i="13" s="1"/>
  <c r="D108" i="13" a="1"/>
  <c r="D108" i="13" s="1"/>
  <c r="F108" i="13"/>
  <c r="F223" i="13"/>
  <c r="C223" i="13"/>
  <c r="M223" i="13" s="1"/>
  <c r="D223" i="13" a="1"/>
  <c r="D223" i="13" s="1"/>
  <c r="J221" i="13"/>
  <c r="G209" i="13"/>
  <c r="J225" i="13"/>
  <c r="J219" i="13"/>
  <c r="J226" i="13"/>
  <c r="G207" i="13"/>
  <c r="C82" i="13"/>
  <c r="M82" i="13" s="1"/>
  <c r="D82" i="13" a="1"/>
  <c r="D82" i="13" s="1"/>
  <c r="F82" i="13"/>
  <c r="F31" i="13"/>
  <c r="D31" i="13" a="1"/>
  <c r="D31" i="13" s="1"/>
  <c r="C31" i="13"/>
  <c r="M31" i="13" s="1"/>
  <c r="F55" i="13"/>
  <c r="C55" i="13"/>
  <c r="M55" i="13" s="1"/>
  <c r="D55" i="13" a="1"/>
  <c r="D55" i="13" s="1"/>
  <c r="D60" i="13" a="1"/>
  <c r="D60" i="13" s="1"/>
  <c r="C60" i="13"/>
  <c r="M60" i="13" s="1"/>
  <c r="F60" i="13"/>
  <c r="C65" i="13"/>
  <c r="M65" i="13" s="1"/>
  <c r="F65" i="13"/>
  <c r="D65" i="13" a="1"/>
  <c r="D65" i="13" s="1"/>
  <c r="F123" i="13"/>
  <c r="C123" i="13"/>
  <c r="M123" i="13" s="1"/>
  <c r="D123" i="13" a="1"/>
  <c r="D123" i="13" s="1"/>
  <c r="D43" i="13" a="1"/>
  <c r="D43" i="13" s="1"/>
  <c r="F43" i="13"/>
  <c r="C43" i="13"/>
  <c r="M43" i="13" s="1"/>
  <c r="F146" i="13"/>
  <c r="D146" i="13" a="1"/>
  <c r="D146" i="13" s="1"/>
  <c r="C146" i="13"/>
  <c r="M146" i="13" s="1"/>
  <c r="F197" i="13"/>
  <c r="D197" i="13" a="1"/>
  <c r="D197" i="13" s="1"/>
  <c r="C197" i="13"/>
  <c r="M197" i="13" s="1"/>
  <c r="F97" i="13"/>
  <c r="D97" i="13" a="1"/>
  <c r="D97" i="13" s="1"/>
  <c r="C97" i="13"/>
  <c r="M97" i="13" s="1"/>
  <c r="G171" i="13"/>
  <c r="F171" i="13"/>
  <c r="C171" i="13"/>
  <c r="M171" i="13" s="1"/>
  <c r="D171" i="13" a="1"/>
  <c r="D171" i="13" s="1"/>
  <c r="F180" i="13"/>
  <c r="C180" i="13"/>
  <c r="M180" i="13" s="1"/>
  <c r="D180" i="13" a="1"/>
  <c r="D180" i="13" s="1"/>
  <c r="F188" i="13"/>
  <c r="D188" i="13" a="1"/>
  <c r="D188" i="13" s="1"/>
  <c r="C188" i="13"/>
  <c r="M188" i="13" s="1"/>
  <c r="C204" i="13"/>
  <c r="M204" i="13" s="1"/>
  <c r="F204" i="13"/>
  <c r="D204" i="13" a="1"/>
  <c r="D204" i="13" s="1"/>
  <c r="C105" i="13"/>
  <c r="M105" i="13" s="1"/>
  <c r="F105" i="13"/>
  <c r="D105" i="13" a="1"/>
  <c r="D105" i="13" s="1"/>
  <c r="D224" i="13" a="1"/>
  <c r="D224" i="13" s="1"/>
  <c r="F224" i="13"/>
  <c r="C224" i="13"/>
  <c r="M224" i="13" s="1"/>
  <c r="G221" i="13"/>
  <c r="J220" i="13"/>
  <c r="J207" i="13"/>
  <c r="J125" i="13"/>
  <c r="J144" i="13"/>
  <c r="J213" i="13"/>
  <c r="J209" i="13"/>
  <c r="C81" i="13"/>
  <c r="D81" i="13" a="1"/>
  <c r="D81" i="13" s="1"/>
  <c r="F81" i="13"/>
  <c r="F37" i="13"/>
  <c r="C37" i="13"/>
  <c r="M37" i="13" s="1"/>
  <c r="D37" i="13" a="1"/>
  <c r="D37" i="13" s="1"/>
  <c r="C49" i="13"/>
  <c r="M49" i="13" s="1"/>
  <c r="D49" i="13" a="1"/>
  <c r="D49" i="13" s="1"/>
  <c r="F49" i="13"/>
  <c r="D63" i="13" a="1"/>
  <c r="D63" i="13" s="1"/>
  <c r="F63" i="13"/>
  <c r="C63" i="13"/>
  <c r="M63" i="13" s="1"/>
  <c r="F70" i="13"/>
  <c r="D70" i="13" a="1"/>
  <c r="D70" i="13" s="1"/>
  <c r="C70" i="13"/>
  <c r="M70" i="13" s="1"/>
  <c r="D126" i="13" a="1"/>
  <c r="D126" i="13" s="1"/>
  <c r="F126" i="13"/>
  <c r="C126" i="13"/>
  <c r="M126" i="13" s="1"/>
  <c r="C45" i="13"/>
  <c r="M45" i="13" s="1"/>
  <c r="F45" i="13"/>
  <c r="D45" i="13" a="1"/>
  <c r="D45" i="13" s="1"/>
  <c r="D151" i="13" a="1"/>
  <c r="D151" i="13" s="1"/>
  <c r="C151" i="13"/>
  <c r="M151" i="13" s="1"/>
  <c r="F151" i="13"/>
  <c r="C191" i="13"/>
  <c r="M191" i="13" s="1"/>
  <c r="D191" i="13" a="1"/>
  <c r="D191" i="13" s="1"/>
  <c r="F191" i="13"/>
  <c r="F96" i="13"/>
  <c r="D96" i="13" a="1"/>
  <c r="D96" i="13" s="1"/>
  <c r="C96" i="13"/>
  <c r="M96" i="13" s="1"/>
  <c r="C168" i="13"/>
  <c r="M168" i="13" s="1"/>
  <c r="F168" i="13"/>
  <c r="D168" i="13" a="1"/>
  <c r="D168" i="13" s="1"/>
  <c r="C177" i="13"/>
  <c r="M177" i="13" s="1"/>
  <c r="D177" i="13" a="1"/>
  <c r="D177" i="13" s="1"/>
  <c r="F177" i="13"/>
  <c r="F182" i="13"/>
  <c r="C182" i="13"/>
  <c r="M182" i="13" s="1"/>
  <c r="D182" i="13" a="1"/>
  <c r="D182" i="13" s="1"/>
  <c r="F203" i="13"/>
  <c r="C203" i="13"/>
  <c r="M203" i="13" s="1"/>
  <c r="D203" i="13" a="1"/>
  <c r="D203" i="13" s="1"/>
  <c r="F102" i="13"/>
  <c r="C102" i="13"/>
  <c r="M102" i="13" s="1"/>
  <c r="D102" i="13" a="1"/>
  <c r="D102" i="13" s="1"/>
  <c r="D218" i="13" a="1"/>
  <c r="D218" i="13" s="1"/>
  <c r="C218" i="13"/>
  <c r="M218" i="13" s="1"/>
  <c r="F218" i="13"/>
  <c r="B28" i="13"/>
  <c r="F28" i="13" s="1"/>
  <c r="B36" i="13"/>
  <c r="B66" i="13"/>
  <c r="B170" i="13"/>
  <c r="B21" i="13"/>
  <c r="C21" i="13" s="1"/>
  <c r="B140" i="13"/>
  <c r="B56" i="13"/>
  <c r="B121" i="13"/>
  <c r="B11" i="13"/>
  <c r="C11" i="13" s="1"/>
  <c r="D11" i="13" s="1" a="1"/>
  <c r="D11" i="13" s="1"/>
  <c r="B94" i="13"/>
  <c r="B118" i="13"/>
  <c r="B109" i="13"/>
  <c r="M109" i="13"/>
  <c r="B27" i="13"/>
  <c r="C27" i="13" s="1"/>
  <c r="D27" i="13" s="1" a="1"/>
  <c r="D27" i="13" s="1"/>
  <c r="B30" i="13"/>
  <c r="B69" i="13"/>
  <c r="B46" i="13"/>
  <c r="B100" i="13"/>
  <c r="B116" i="13"/>
  <c r="B226" i="13"/>
  <c r="J216" i="13"/>
  <c r="B26" i="13"/>
  <c r="C26" i="13" s="1"/>
  <c r="B32" i="13"/>
  <c r="B62" i="13"/>
  <c r="B71" i="13"/>
  <c r="B196" i="13"/>
  <c r="B99" i="13"/>
  <c r="B110" i="13"/>
  <c r="B221" i="13"/>
  <c r="B25" i="13"/>
  <c r="C25" i="13" s="1"/>
  <c r="B55" i="13"/>
  <c r="B60" i="13"/>
  <c r="B198" i="13"/>
  <c r="B93" i="13"/>
  <c r="B115" i="13"/>
  <c r="B220" i="13"/>
  <c r="J212" i="13"/>
  <c r="B24" i="13"/>
  <c r="C24" i="13" s="1"/>
  <c r="D24" i="13" s="1" a="1"/>
  <c r="D24" i="13" s="1"/>
  <c r="B2" i="13"/>
  <c r="F2" i="13" s="1"/>
  <c r="B49" i="13"/>
  <c r="B70" i="13"/>
  <c r="B152" i="13"/>
  <c r="B192" i="13"/>
  <c r="B98" i="13"/>
  <c r="G101" i="13"/>
  <c r="B219" i="13"/>
  <c r="G55" i="13"/>
  <c r="B8" i="13"/>
  <c r="F8" i="13" s="1"/>
  <c r="B78" i="13"/>
  <c r="B143" i="13"/>
  <c r="B123" i="13"/>
  <c r="B146" i="13"/>
  <c r="B97" i="13"/>
  <c r="B165" i="13"/>
  <c r="B178" i="13"/>
  <c r="B225" i="13"/>
  <c r="G95" i="13"/>
  <c r="J55" i="13"/>
  <c r="B76" i="13"/>
  <c r="B141" i="13"/>
  <c r="B64" i="13"/>
  <c r="B215" i="13"/>
  <c r="B45" i="13"/>
  <c r="B191" i="13"/>
  <c r="B96" i="13"/>
  <c r="B180" i="13"/>
  <c r="B106" i="13"/>
  <c r="G211" i="13"/>
  <c r="B20" i="13"/>
  <c r="F20" i="13" s="1"/>
  <c r="B136" i="13"/>
  <c r="B7" i="13"/>
  <c r="C7" i="13" s="1"/>
  <c r="D7" i="13" s="1" a="1"/>
  <c r="D7" i="13" s="1"/>
  <c r="B29" i="13"/>
  <c r="B144" i="13"/>
  <c r="B51" i="13"/>
  <c r="B73" i="13"/>
  <c r="M214" i="13"/>
  <c r="B214" i="13"/>
  <c r="J214" i="13"/>
  <c r="B122" i="13"/>
  <c r="B154" i="13"/>
  <c r="B161" i="13"/>
  <c r="B12" i="13"/>
  <c r="C12" i="13" s="1"/>
  <c r="D12" i="13" s="1" a="1"/>
  <c r="D12" i="13" s="1"/>
  <c r="B92" i="13"/>
  <c r="B117" i="13"/>
  <c r="B166" i="13"/>
  <c r="B181" i="13"/>
  <c r="B88" i="13"/>
  <c r="B202" i="13"/>
  <c r="B104" i="13"/>
  <c r="B145" i="13"/>
  <c r="B148" i="13"/>
  <c r="B114" i="13"/>
  <c r="B185" i="13"/>
  <c r="B72" i="13"/>
  <c r="B184" i="13"/>
  <c r="B75" i="13"/>
  <c r="B149" i="13"/>
  <c r="B205" i="13"/>
  <c r="B211" i="13"/>
  <c r="B189" i="13"/>
  <c r="B65" i="13"/>
  <c r="B206" i="13"/>
  <c r="J184" i="13"/>
  <c r="B179" i="13"/>
  <c r="B79" i="13"/>
  <c r="B127" i="13"/>
  <c r="B95" i="13"/>
  <c r="B201" i="13"/>
  <c r="B80" i="13"/>
  <c r="B153" i="13"/>
  <c r="B86" i="13"/>
  <c r="B61" i="13"/>
  <c r="B195" i="13"/>
  <c r="B183" i="13"/>
  <c r="B47" i="13"/>
  <c r="B163" i="13"/>
  <c r="B91" i="13"/>
  <c r="B82" i="13"/>
  <c r="B150" i="13"/>
  <c r="B173" i="13"/>
  <c r="G205" i="13"/>
  <c r="M81" i="13"/>
  <c r="B81" i="13"/>
  <c r="B124" i="13"/>
  <c r="B186" i="13"/>
  <c r="B135" i="13"/>
  <c r="B43" i="13"/>
  <c r="B107" i="13"/>
  <c r="B48" i="13"/>
  <c r="B16" i="13"/>
  <c r="F16" i="13" s="1"/>
  <c r="B188" i="13"/>
  <c r="G225" i="13"/>
  <c r="G164" i="13"/>
  <c r="J107" i="13"/>
  <c r="J205" i="13"/>
  <c r="J206" i="13"/>
  <c r="B131" i="13"/>
  <c r="B9" i="13"/>
  <c r="C9" i="13" s="1"/>
  <c r="D9" i="13" s="1" a="1"/>
  <c r="D9" i="13" s="1"/>
  <c r="B77" i="13"/>
  <c r="B137" i="13"/>
  <c r="M53" i="13"/>
  <c r="B53" i="13"/>
  <c r="B57" i="13"/>
  <c r="B213" i="13"/>
  <c r="B119" i="13"/>
  <c r="B38" i="13"/>
  <c r="B162" i="13"/>
  <c r="B15" i="13"/>
  <c r="F15" i="13" s="1"/>
  <c r="B199" i="13"/>
  <c r="B113" i="13"/>
  <c r="B168" i="13"/>
  <c r="B177" i="13"/>
  <c r="B182" i="13"/>
  <c r="B207" i="13"/>
  <c r="B108" i="13"/>
  <c r="B223" i="13"/>
  <c r="B134" i="13"/>
  <c r="B216" i="13"/>
  <c r="B18" i="13"/>
  <c r="F18" i="13" s="1"/>
  <c r="B103" i="13"/>
  <c r="B128" i="13"/>
  <c r="B217" i="13"/>
  <c r="B208" i="13"/>
  <c r="B139" i="13"/>
  <c r="B158" i="13"/>
  <c r="B89" i="13"/>
  <c r="B10" i="13"/>
  <c r="C10" i="13" s="1"/>
  <c r="D10" i="13" s="1" a="1"/>
  <c r="D10" i="13" s="1"/>
  <c r="B147" i="13"/>
  <c r="B200" i="13"/>
  <c r="B31" i="13"/>
  <c r="B157" i="13"/>
  <c r="B84" i="13"/>
  <c r="B37" i="13"/>
  <c r="B41" i="13"/>
  <c r="B90" i="13"/>
  <c r="B54" i="13"/>
  <c r="B197" i="13"/>
  <c r="B83" i="13"/>
  <c r="B3" i="13"/>
  <c r="F3" i="13" s="1"/>
  <c r="B126" i="13"/>
  <c r="B171" i="13"/>
  <c r="G81" i="13"/>
  <c r="G206" i="13"/>
  <c r="B22" i="13"/>
  <c r="F22" i="13" s="1"/>
  <c r="B130" i="13"/>
  <c r="B5" i="13"/>
  <c r="F5" i="13" s="1"/>
  <c r="B35" i="13"/>
  <c r="B142" i="13"/>
  <c r="B52" i="13"/>
  <c r="B67" i="13"/>
  <c r="B210" i="13"/>
  <c r="B125" i="13"/>
  <c r="B39" i="13"/>
  <c r="B160" i="13"/>
  <c r="B17" i="13"/>
  <c r="F17" i="13" s="1"/>
  <c r="B194" i="13"/>
  <c r="B112" i="13"/>
  <c r="B167" i="13"/>
  <c r="B175" i="13"/>
  <c r="B204" i="13"/>
  <c r="B105" i="13"/>
  <c r="B224" i="13"/>
  <c r="B59" i="13"/>
  <c r="B156" i="13"/>
  <c r="B87" i="13"/>
  <c r="B33" i="13"/>
  <c r="B155" i="13"/>
  <c r="B164" i="13"/>
  <c r="B133" i="13"/>
  <c r="B212" i="13"/>
  <c r="B169" i="13"/>
  <c r="B74" i="13"/>
  <c r="B42" i="13"/>
  <c r="B174" i="13"/>
  <c r="J208" i="13"/>
  <c r="B6" i="13"/>
  <c r="C6" i="13" s="1"/>
  <c r="D6" i="13" s="1" a="1"/>
  <c r="D6" i="13" s="1"/>
  <c r="B40" i="13"/>
  <c r="B190" i="13"/>
  <c r="G184" i="13"/>
  <c r="B63" i="13"/>
  <c r="B14" i="13"/>
  <c r="F14" i="13" s="1"/>
  <c r="B101" i="13"/>
  <c r="J186" i="13"/>
  <c r="B58" i="13"/>
  <c r="B13" i="13"/>
  <c r="F13" i="13" s="1"/>
  <c r="B187" i="13"/>
  <c r="B132" i="13"/>
  <c r="B151" i="13"/>
  <c r="B222" i="13"/>
  <c r="G217" i="13"/>
  <c r="B23" i="13"/>
  <c r="C23" i="13" s="1"/>
  <c r="B129" i="13"/>
  <c r="B4" i="13"/>
  <c r="C4" i="13" s="1"/>
  <c r="D4" i="13" s="1" a="1"/>
  <c r="D4" i="13" s="1"/>
  <c r="B34" i="13"/>
  <c r="B138" i="13"/>
  <c r="B50" i="13"/>
  <c r="B68" i="13"/>
  <c r="B209" i="13"/>
  <c r="B120" i="13"/>
  <c r="M44" i="13"/>
  <c r="B44" i="13"/>
  <c r="B159" i="13"/>
  <c r="B19" i="13"/>
  <c r="F19" i="13" s="1"/>
  <c r="B193" i="13"/>
  <c r="B111" i="13"/>
  <c r="B172" i="13"/>
  <c r="B176" i="13"/>
  <c r="B85" i="13"/>
  <c r="B203" i="13"/>
  <c r="B102" i="13"/>
  <c r="B218" i="13"/>
  <c r="G65" i="13"/>
  <c r="J65" i="13"/>
  <c r="G137" i="13"/>
  <c r="J137" i="13"/>
  <c r="J58" i="13"/>
  <c r="G58" i="13"/>
  <c r="G189" i="13"/>
  <c r="J189" i="13"/>
  <c r="J183" i="13"/>
  <c r="G183" i="13"/>
  <c r="G41" i="13"/>
  <c r="J41" i="13"/>
  <c r="G194" i="13"/>
  <c r="J194" i="13"/>
  <c r="J131" i="13"/>
  <c r="G131" i="13"/>
  <c r="J40" i="13"/>
  <c r="G40" i="13"/>
  <c r="G149" i="13"/>
  <c r="J149" i="13"/>
  <c r="J180" i="13"/>
  <c r="G180" i="13"/>
  <c r="G35" i="13"/>
  <c r="J35" i="13"/>
  <c r="J200" i="13"/>
  <c r="G200" i="13"/>
  <c r="G134" i="13"/>
  <c r="J134" i="13"/>
  <c r="J36" i="13"/>
  <c r="G36" i="13"/>
  <c r="J43" i="13"/>
  <c r="G43" i="13"/>
  <c r="J45" i="13"/>
  <c r="G45" i="13"/>
  <c r="J162" i="13"/>
  <c r="G162" i="13"/>
  <c r="G170" i="13"/>
  <c r="J170" i="13"/>
  <c r="G50" i="13"/>
  <c r="J50" i="13"/>
  <c r="G105" i="13"/>
  <c r="J105" i="13"/>
  <c r="G129" i="13"/>
  <c r="J129" i="13"/>
  <c r="G166" i="13"/>
  <c r="J166" i="13"/>
  <c r="G158" i="13"/>
  <c r="J158" i="13"/>
  <c r="G49" i="13"/>
  <c r="J49" i="13"/>
  <c r="J147" i="13"/>
  <c r="G147" i="13"/>
  <c r="G53" i="13"/>
  <c r="J53" i="13"/>
  <c r="J37" i="13"/>
  <c r="G37" i="13"/>
  <c r="J70" i="13"/>
  <c r="G70" i="13"/>
  <c r="J59" i="13"/>
  <c r="G59" i="13"/>
  <c r="J64" i="13"/>
  <c r="G64" i="13"/>
  <c r="J135" i="13"/>
  <c r="G135" i="13"/>
  <c r="J127" i="13"/>
  <c r="G127" i="13"/>
  <c r="G177" i="13"/>
  <c r="J177" i="13"/>
  <c r="J88" i="13"/>
  <c r="G88" i="13"/>
  <c r="G57" i="13"/>
  <c r="J57" i="13"/>
  <c r="J151" i="13"/>
  <c r="G151" i="13"/>
  <c r="G38" i="13"/>
  <c r="J38" i="13"/>
  <c r="J79" i="13"/>
  <c r="G79" i="13"/>
  <c r="J198" i="13"/>
  <c r="G198" i="13"/>
  <c r="G89" i="13"/>
  <c r="J89" i="13"/>
  <c r="G179" i="13"/>
  <c r="J179" i="13"/>
  <c r="J108" i="13"/>
  <c r="G108" i="13"/>
  <c r="G34" i="13"/>
  <c r="J34" i="13"/>
  <c r="G181" i="13"/>
  <c r="J181" i="13"/>
  <c r="J39" i="13"/>
  <c r="G39" i="13"/>
  <c r="G69" i="13"/>
  <c r="J69" i="13"/>
  <c r="J92" i="13"/>
  <c r="G92" i="13"/>
  <c r="J142" i="13"/>
  <c r="G142" i="13"/>
  <c r="J187" i="13"/>
  <c r="G187" i="13"/>
  <c r="G185" i="13"/>
  <c r="J185" i="13"/>
  <c r="G62" i="13"/>
  <c r="J62" i="13"/>
  <c r="G130" i="13"/>
  <c r="J130" i="13"/>
  <c r="G191" i="13"/>
  <c r="J191" i="13"/>
  <c r="J80" i="13"/>
  <c r="G80" i="13"/>
  <c r="G33" i="13"/>
  <c r="J33" i="13"/>
  <c r="G146" i="13"/>
  <c r="J146" i="13"/>
  <c r="J100" i="13"/>
  <c r="G100" i="13"/>
  <c r="J174" i="13"/>
  <c r="G174" i="13"/>
  <c r="J94" i="13"/>
  <c r="G94" i="13"/>
  <c r="J169" i="13"/>
  <c r="G169" i="13"/>
  <c r="G29" i="13"/>
  <c r="J29" i="13"/>
  <c r="G56" i="13"/>
  <c r="J56" i="13"/>
  <c r="J115" i="13"/>
  <c r="G115" i="13"/>
  <c r="J123" i="13"/>
  <c r="G123" i="13"/>
  <c r="G77" i="13"/>
  <c r="J77" i="13"/>
  <c r="J156" i="13"/>
  <c r="G156" i="13"/>
  <c r="J112" i="13"/>
  <c r="G112" i="13"/>
  <c r="J93" i="13"/>
  <c r="G93" i="13"/>
  <c r="J126" i="13"/>
  <c r="G126" i="13"/>
  <c r="G197" i="13"/>
  <c r="J197" i="13"/>
  <c r="J133" i="13"/>
  <c r="G133" i="13"/>
  <c r="J190" i="13"/>
  <c r="G190" i="13"/>
  <c r="J138" i="13"/>
  <c r="G138" i="13"/>
  <c r="G106" i="13"/>
  <c r="J106" i="13"/>
  <c r="G83" i="13"/>
  <c r="J83" i="13"/>
  <c r="J201" i="13"/>
  <c r="G201" i="13"/>
  <c r="J136" i="13"/>
  <c r="G136" i="13"/>
  <c r="J31" i="13"/>
  <c r="G31" i="13"/>
  <c r="J67" i="13"/>
  <c r="G67" i="13"/>
  <c r="G143" i="13"/>
  <c r="J143" i="13"/>
  <c r="J96" i="13"/>
  <c r="G96" i="13"/>
  <c r="J195" i="13"/>
  <c r="G195" i="13"/>
  <c r="J159" i="13"/>
  <c r="G159" i="13"/>
  <c r="J188" i="13"/>
  <c r="G188" i="13"/>
  <c r="J32" i="13"/>
  <c r="G32" i="13"/>
  <c r="J66" i="13"/>
  <c r="G66" i="13"/>
  <c r="J140" i="13"/>
  <c r="G140" i="13"/>
  <c r="J63" i="13"/>
  <c r="G63" i="13"/>
  <c r="G72" i="13"/>
  <c r="J72" i="13"/>
  <c r="G182" i="13"/>
  <c r="J182" i="13"/>
  <c r="J30" i="13"/>
  <c r="G30" i="13"/>
  <c r="G145" i="13"/>
  <c r="J145" i="13"/>
  <c r="J196" i="13"/>
  <c r="G196" i="13"/>
  <c r="J175" i="13"/>
  <c r="G175" i="13"/>
  <c r="G193" i="13"/>
  <c r="J193" i="13"/>
  <c r="J87" i="13"/>
  <c r="G87" i="13"/>
  <c r="J120" i="13"/>
  <c r="G120" i="13"/>
  <c r="J176" i="13"/>
  <c r="G176" i="13"/>
  <c r="J51" i="13"/>
  <c r="G51" i="13"/>
  <c r="J99" i="13"/>
  <c r="G99" i="13"/>
  <c r="J42" i="13"/>
  <c r="G42" i="13"/>
  <c r="G82" i="13"/>
  <c r="J82" i="13"/>
  <c r="G173" i="13"/>
  <c r="J173" i="13"/>
  <c r="J91" i="13"/>
  <c r="G91" i="13"/>
  <c r="J168" i="13"/>
  <c r="G168" i="13"/>
  <c r="J52" i="13"/>
  <c r="G52" i="13"/>
  <c r="J116" i="13"/>
  <c r="G116" i="13"/>
  <c r="J124" i="13"/>
  <c r="G124" i="13"/>
  <c r="G157" i="13"/>
  <c r="J157" i="13"/>
  <c r="G113" i="13"/>
  <c r="J113" i="13"/>
  <c r="J148" i="13"/>
  <c r="G148" i="13"/>
  <c r="J103" i="13"/>
  <c r="G103" i="13"/>
  <c r="G97" i="13"/>
  <c r="J97" i="13"/>
  <c r="J44" i="13"/>
  <c r="G44" i="13"/>
  <c r="J104" i="13"/>
  <c r="G104" i="13"/>
  <c r="J163" i="13"/>
  <c r="G163" i="13"/>
  <c r="J60" i="13"/>
  <c r="G60" i="13"/>
  <c r="G110" i="13"/>
  <c r="J110" i="13"/>
  <c r="G118" i="13"/>
  <c r="J118" i="13"/>
  <c r="G122" i="13"/>
  <c r="J122" i="13"/>
  <c r="J78" i="13"/>
  <c r="G78" i="13"/>
  <c r="G155" i="13"/>
  <c r="J155" i="13"/>
  <c r="G85" i="13"/>
  <c r="J85" i="13"/>
  <c r="G86" i="13"/>
  <c r="J86" i="13"/>
  <c r="J150" i="13"/>
  <c r="G150" i="13"/>
  <c r="J90" i="13"/>
  <c r="G90" i="13"/>
  <c r="J102" i="13"/>
  <c r="G102" i="13"/>
  <c r="J167" i="13"/>
  <c r="G167" i="13"/>
  <c r="G74" i="13"/>
  <c r="J74" i="13"/>
  <c r="J109" i="13"/>
  <c r="G109" i="13"/>
  <c r="J117" i="13"/>
  <c r="G117" i="13"/>
  <c r="G128" i="13"/>
  <c r="J128" i="13"/>
  <c r="J76" i="13"/>
  <c r="G76" i="13"/>
  <c r="G161" i="13"/>
  <c r="J161" i="13"/>
  <c r="J152" i="13"/>
  <c r="G152" i="13"/>
  <c r="J68" i="13"/>
  <c r="G68" i="13"/>
  <c r="J84" i="13"/>
  <c r="G84" i="13"/>
  <c r="G71" i="13"/>
  <c r="J71" i="13"/>
  <c r="J153" i="13"/>
  <c r="G153" i="13"/>
  <c r="J160" i="13"/>
  <c r="G160" i="13"/>
  <c r="G141" i="13"/>
  <c r="J141" i="13"/>
  <c r="J178" i="13"/>
  <c r="G178" i="13"/>
  <c r="J192" i="13"/>
  <c r="G192" i="13"/>
  <c r="J172" i="13"/>
  <c r="G172" i="13"/>
  <c r="G47" i="13"/>
  <c r="J47" i="13"/>
  <c r="G46" i="13"/>
  <c r="J46" i="13"/>
  <c r="G98" i="13"/>
  <c r="J98" i="13"/>
  <c r="G119" i="13"/>
  <c r="J119" i="13"/>
  <c r="J111" i="13"/>
  <c r="G111" i="13"/>
  <c r="G121" i="13"/>
  <c r="J121" i="13"/>
  <c r="G165" i="13"/>
  <c r="J165" i="13"/>
  <c r="J75" i="13"/>
  <c r="G75" i="13"/>
  <c r="J154" i="13"/>
  <c r="G154" i="13"/>
  <c r="J139" i="13"/>
  <c r="G139" i="13"/>
  <c r="G73" i="13"/>
  <c r="J73" i="13"/>
  <c r="J54" i="13"/>
  <c r="G54" i="13"/>
  <c r="M40" i="13"/>
  <c r="M34" i="13"/>
  <c r="F6" i="13" l="1"/>
  <c r="C17" i="13"/>
  <c r="D17" i="13" s="1" a="1"/>
  <c r="D17" i="13" s="1"/>
  <c r="C20" i="13"/>
  <c r="D20" i="13" s="1" a="1"/>
  <c r="D20" i="13" s="1"/>
  <c r="F4" i="13"/>
  <c r="C3" i="13"/>
  <c r="D3" i="13" s="1" a="1"/>
  <c r="D3" i="13" s="1"/>
  <c r="C18" i="13"/>
  <c r="D18" i="13" s="1" a="1"/>
  <c r="D18" i="13" s="1"/>
  <c r="F10" i="13"/>
  <c r="F7" i="13"/>
  <c r="F23" i="13"/>
  <c r="C5" i="13"/>
  <c r="D5" i="13" s="1" a="1"/>
  <c r="D5" i="13" s="1"/>
  <c r="F25" i="13"/>
  <c r="F26" i="13"/>
  <c r="C22" i="13"/>
  <c r="D22" i="13" s="1" a="1"/>
  <c r="D22" i="13" s="1"/>
  <c r="C16" i="13"/>
  <c r="D16" i="13" s="1" a="1"/>
  <c r="D16" i="13" s="1"/>
  <c r="C15" i="13"/>
  <c r="D15" i="13" s="1" a="1"/>
  <c r="D15" i="13" s="1"/>
  <c r="C19" i="13"/>
  <c r="D19" i="13" s="1" a="1"/>
  <c r="D19" i="13" s="1"/>
  <c r="C2" i="13"/>
  <c r="D2" i="13" s="1" a="1"/>
  <c r="D2" i="13" s="1"/>
  <c r="C8" i="13"/>
  <c r="D8" i="13" s="1" a="1"/>
  <c r="D8" i="13" s="1"/>
  <c r="C13" i="13"/>
  <c r="D13" i="13" s="1" a="1"/>
  <c r="D13" i="13" s="1"/>
  <c r="C28" i="13"/>
  <c r="F11" i="13"/>
  <c r="F9" i="13"/>
  <c r="F24" i="13"/>
  <c r="C14" i="13"/>
  <c r="D14" i="13" s="1" a="1"/>
  <c r="D14" i="13" s="1"/>
  <c r="F12" i="13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K420" i="12" l="1"/>
  <c r="I420" i="12"/>
  <c r="G420" i="12"/>
  <c r="E420" i="12"/>
  <c r="B420" i="12"/>
  <c r="F420" i="12" s="1" a="1"/>
  <c r="F420" i="12" s="1"/>
  <c r="C420" i="12"/>
  <c r="J420" i="12"/>
  <c r="K336" i="12"/>
  <c r="G336" i="12"/>
  <c r="I336" i="12"/>
  <c r="J336" i="12"/>
  <c r="B336" i="12"/>
  <c r="F336" i="12" s="1" a="1"/>
  <c r="F336" i="12" s="1"/>
  <c r="E336" i="12"/>
  <c r="C336" i="12"/>
  <c r="K252" i="12"/>
  <c r="I252" i="12"/>
  <c r="J252" i="12"/>
  <c r="G252" i="12"/>
  <c r="B252" i="12"/>
  <c r="F252" i="12" s="1" a="1"/>
  <c r="F252" i="12" s="1"/>
  <c r="C252" i="12"/>
  <c r="E252" i="12"/>
  <c r="K84" i="12"/>
  <c r="G84" i="12"/>
  <c r="J84" i="12"/>
  <c r="I84" i="12"/>
  <c r="E84" i="12"/>
  <c r="B84" i="12"/>
  <c r="F84" i="12" s="1" a="1"/>
  <c r="F84" i="12" s="1"/>
  <c r="C84" i="12"/>
  <c r="K347" i="12"/>
  <c r="J347" i="12"/>
  <c r="I347" i="12"/>
  <c r="G347" i="12"/>
  <c r="C347" i="12"/>
  <c r="B347" i="12"/>
  <c r="F347" i="12" s="1" a="1"/>
  <c r="F347" i="12" s="1"/>
  <c r="E347" i="12"/>
  <c r="K287" i="12"/>
  <c r="J287" i="12"/>
  <c r="I287" i="12"/>
  <c r="E287" i="12"/>
  <c r="B287" i="12"/>
  <c r="F287" i="12" s="1" a="1"/>
  <c r="F287" i="12" s="1"/>
  <c r="G287" i="12"/>
  <c r="C287" i="12"/>
  <c r="K227" i="12"/>
  <c r="J227" i="12"/>
  <c r="I227" i="12"/>
  <c r="C227" i="12"/>
  <c r="E227" i="12"/>
  <c r="G227" i="12"/>
  <c r="B227" i="12"/>
  <c r="F227" i="12" s="1" a="1"/>
  <c r="F227" i="12" s="1"/>
  <c r="K167" i="12"/>
  <c r="J167" i="12"/>
  <c r="I167" i="12"/>
  <c r="E167" i="12"/>
  <c r="B167" i="12"/>
  <c r="F167" i="12" s="1" a="1"/>
  <c r="F167" i="12" s="1"/>
  <c r="G167" i="12"/>
  <c r="C167" i="12"/>
  <c r="K131" i="12"/>
  <c r="J131" i="12"/>
  <c r="B131" i="12"/>
  <c r="F131" i="12" s="1" a="1"/>
  <c r="F131" i="12" s="1"/>
  <c r="I131" i="12"/>
  <c r="G131" i="12"/>
  <c r="C131" i="12"/>
  <c r="E131" i="12"/>
  <c r="K47" i="12"/>
  <c r="J47" i="12"/>
  <c r="I47" i="12"/>
  <c r="G47" i="12"/>
  <c r="B47" i="12"/>
  <c r="F47" i="12" s="1" a="1"/>
  <c r="F47" i="12" s="1"/>
  <c r="C47" i="12"/>
  <c r="E47" i="12"/>
  <c r="G382" i="12"/>
  <c r="E382" i="12"/>
  <c r="K382" i="12"/>
  <c r="I382" i="12"/>
  <c r="B382" i="12"/>
  <c r="F382" i="12" s="1" a="1"/>
  <c r="F382" i="12" s="1"/>
  <c r="J382" i="12"/>
  <c r="C382" i="12"/>
  <c r="G286" i="12"/>
  <c r="K286" i="12"/>
  <c r="J286" i="12"/>
  <c r="B286" i="12"/>
  <c r="F286" i="12" s="1" a="1"/>
  <c r="F286" i="12" s="1"/>
  <c r="I286" i="12"/>
  <c r="E286" i="12"/>
  <c r="C286" i="12"/>
  <c r="G82" i="12"/>
  <c r="K82" i="12"/>
  <c r="J82" i="12"/>
  <c r="E82" i="12"/>
  <c r="B82" i="12"/>
  <c r="F82" i="12" s="1" a="1"/>
  <c r="F82" i="12" s="1"/>
  <c r="C82" i="12"/>
  <c r="I82" i="12"/>
  <c r="K381" i="12"/>
  <c r="J381" i="12"/>
  <c r="E381" i="12"/>
  <c r="G381" i="12"/>
  <c r="C381" i="12"/>
  <c r="B381" i="12"/>
  <c r="F381" i="12" s="1" a="1"/>
  <c r="F381" i="12" s="1"/>
  <c r="I381" i="12"/>
  <c r="I321" i="12"/>
  <c r="K321" i="12"/>
  <c r="J321" i="12"/>
  <c r="E321" i="12"/>
  <c r="G321" i="12"/>
  <c r="C321" i="12"/>
  <c r="B321" i="12"/>
  <c r="F321" i="12" s="1" a="1"/>
  <c r="F321" i="12" s="1"/>
  <c r="K273" i="12"/>
  <c r="I273" i="12"/>
  <c r="C273" i="12"/>
  <c r="E273" i="12"/>
  <c r="G273" i="12"/>
  <c r="J273" i="12"/>
  <c r="B273" i="12"/>
  <c r="F273" i="12" s="1" a="1"/>
  <c r="F273" i="12" s="1"/>
  <c r="J225" i="12"/>
  <c r="K225" i="12"/>
  <c r="G225" i="12"/>
  <c r="E225" i="12"/>
  <c r="I225" i="12"/>
  <c r="B225" i="12"/>
  <c r="F225" i="12" s="1" a="1"/>
  <c r="F225" i="12" s="1"/>
  <c r="C225" i="12"/>
  <c r="K189" i="12"/>
  <c r="J189" i="12"/>
  <c r="I189" i="12"/>
  <c r="C189" i="12"/>
  <c r="G189" i="12"/>
  <c r="E189" i="12"/>
  <c r="B189" i="12"/>
  <c r="F189" i="12" s="1" a="1"/>
  <c r="F189" i="12" s="1"/>
  <c r="J153" i="12"/>
  <c r="K153" i="12"/>
  <c r="I153" i="12"/>
  <c r="G153" i="12"/>
  <c r="E153" i="12"/>
  <c r="C153" i="12"/>
  <c r="B153" i="12"/>
  <c r="F153" i="12" s="1" a="1"/>
  <c r="F153" i="12" s="1"/>
  <c r="J117" i="12"/>
  <c r="K117" i="12"/>
  <c r="G117" i="12"/>
  <c r="E117" i="12"/>
  <c r="B117" i="12"/>
  <c r="F117" i="12" s="1" a="1"/>
  <c r="F117" i="12" s="1"/>
  <c r="I117" i="12"/>
  <c r="C117" i="12"/>
  <c r="J81" i="12"/>
  <c r="K81" i="12"/>
  <c r="G81" i="12"/>
  <c r="I81" i="12"/>
  <c r="B81" i="12"/>
  <c r="F81" i="12" s="1" a="1"/>
  <c r="F81" i="12" s="1"/>
  <c r="C81" i="12"/>
  <c r="E81" i="12"/>
  <c r="K45" i="12"/>
  <c r="I45" i="12"/>
  <c r="J45" i="12"/>
  <c r="G45" i="12"/>
  <c r="E45" i="12"/>
  <c r="B45" i="12"/>
  <c r="F45" i="12" s="1" a="1"/>
  <c r="F45" i="12" s="1"/>
  <c r="C45" i="12"/>
  <c r="K416" i="12"/>
  <c r="J416" i="12"/>
  <c r="G416" i="12"/>
  <c r="B416" i="12"/>
  <c r="F416" i="12" s="1" a="1"/>
  <c r="F416" i="12" s="1"/>
  <c r="C416" i="12"/>
  <c r="E416" i="12"/>
  <c r="I416" i="12"/>
  <c r="K212" i="12"/>
  <c r="J212" i="12"/>
  <c r="E212" i="12"/>
  <c r="G212" i="12"/>
  <c r="I212" i="12"/>
  <c r="C212" i="12"/>
  <c r="B212" i="12"/>
  <c r="F212" i="12" s="1" a="1"/>
  <c r="F212" i="12" s="1"/>
  <c r="J295" i="12"/>
  <c r="K295" i="12"/>
  <c r="I295" i="12"/>
  <c r="E295" i="12"/>
  <c r="B295" i="12"/>
  <c r="F295" i="12" s="1" a="1"/>
  <c r="F295" i="12" s="1"/>
  <c r="G295" i="12"/>
  <c r="C295" i="12"/>
  <c r="J235" i="12"/>
  <c r="K235" i="12"/>
  <c r="E235" i="12"/>
  <c r="B235" i="12"/>
  <c r="F235" i="12" s="1" a="1"/>
  <c r="F235" i="12" s="1"/>
  <c r="I235" i="12"/>
  <c r="G235" i="12"/>
  <c r="C235" i="12"/>
  <c r="J175" i="12"/>
  <c r="K175" i="12"/>
  <c r="G175" i="12"/>
  <c r="I175" i="12"/>
  <c r="E175" i="12"/>
  <c r="B175" i="12"/>
  <c r="F175" i="12" s="1" a="1"/>
  <c r="F175" i="12" s="1"/>
  <c r="C175" i="12"/>
  <c r="J115" i="12"/>
  <c r="K115" i="12"/>
  <c r="I115" i="12"/>
  <c r="G115" i="12"/>
  <c r="B115" i="12"/>
  <c r="F115" i="12" s="1" a="1"/>
  <c r="F115" i="12" s="1"/>
  <c r="E115" i="12"/>
  <c r="C115" i="12"/>
  <c r="J103" i="12"/>
  <c r="I103" i="12"/>
  <c r="G103" i="12"/>
  <c r="K103" i="12"/>
  <c r="E103" i="12"/>
  <c r="C103" i="12"/>
  <c r="B103" i="12"/>
  <c r="F103" i="12" s="1" a="1"/>
  <c r="F103" i="12" s="1"/>
  <c r="J79" i="12"/>
  <c r="K79" i="12"/>
  <c r="E79" i="12"/>
  <c r="B79" i="12"/>
  <c r="F79" i="12" s="1" a="1"/>
  <c r="F79" i="12" s="1"/>
  <c r="G79" i="12"/>
  <c r="C79" i="12"/>
  <c r="I79" i="12"/>
  <c r="J31" i="12"/>
  <c r="I31" i="12"/>
  <c r="G31" i="12"/>
  <c r="E31" i="12"/>
  <c r="B31" i="12"/>
  <c r="F31" i="12" s="1" a="1"/>
  <c r="F31" i="12" s="1"/>
  <c r="C31" i="12"/>
  <c r="K31" i="12"/>
  <c r="K348" i="12"/>
  <c r="J348" i="12"/>
  <c r="I348" i="12"/>
  <c r="G348" i="12"/>
  <c r="E348" i="12"/>
  <c r="C348" i="12"/>
  <c r="B348" i="12"/>
  <c r="F348" i="12" s="1" a="1"/>
  <c r="F348" i="12" s="1"/>
  <c r="K276" i="12"/>
  <c r="J276" i="12"/>
  <c r="I276" i="12"/>
  <c r="E276" i="12"/>
  <c r="B276" i="12"/>
  <c r="F276" i="12" s="1" a="1"/>
  <c r="F276" i="12" s="1"/>
  <c r="G276" i="12"/>
  <c r="C276" i="12"/>
  <c r="K216" i="12"/>
  <c r="J216" i="12"/>
  <c r="I216" i="12"/>
  <c r="G216" i="12"/>
  <c r="E216" i="12"/>
  <c r="B216" i="12"/>
  <c r="F216" i="12" s="1" a="1"/>
  <c r="F216" i="12" s="1"/>
  <c r="C216" i="12"/>
  <c r="K180" i="12"/>
  <c r="I180" i="12"/>
  <c r="J180" i="12"/>
  <c r="G180" i="12"/>
  <c r="C180" i="12"/>
  <c r="E180" i="12"/>
  <c r="B180" i="12"/>
  <c r="F180" i="12" s="1" a="1"/>
  <c r="F180" i="12" s="1"/>
  <c r="K144" i="12"/>
  <c r="J144" i="12"/>
  <c r="B144" i="12"/>
  <c r="F144" i="12" s="1" a="1"/>
  <c r="F144" i="12" s="1"/>
  <c r="I144" i="12"/>
  <c r="E144" i="12"/>
  <c r="C144" i="12"/>
  <c r="G144" i="12"/>
  <c r="K108" i="12"/>
  <c r="J108" i="12"/>
  <c r="G108" i="12"/>
  <c r="C108" i="12"/>
  <c r="I108" i="12"/>
  <c r="E108" i="12"/>
  <c r="B108" i="12"/>
  <c r="F108" i="12" s="1" a="1"/>
  <c r="F108" i="12" s="1"/>
  <c r="K36" i="12"/>
  <c r="J36" i="12"/>
  <c r="G36" i="12"/>
  <c r="I36" i="12"/>
  <c r="C36" i="12"/>
  <c r="E36" i="12"/>
  <c r="B36" i="12"/>
  <c r="F36" i="12" s="1" a="1"/>
  <c r="F36" i="12" s="1"/>
  <c r="K419" i="12"/>
  <c r="J419" i="12"/>
  <c r="I419" i="12"/>
  <c r="G419" i="12"/>
  <c r="E419" i="12"/>
  <c r="C419" i="12"/>
  <c r="B419" i="12"/>
  <c r="F419" i="12" s="1" a="1"/>
  <c r="F419" i="12" s="1"/>
  <c r="K323" i="12"/>
  <c r="J323" i="12"/>
  <c r="I323" i="12"/>
  <c r="G323" i="12"/>
  <c r="E323" i="12"/>
  <c r="C323" i="12"/>
  <c r="B323" i="12"/>
  <c r="F323" i="12" s="1" a="1"/>
  <c r="F323" i="12" s="1"/>
  <c r="K83" i="12"/>
  <c r="J83" i="12"/>
  <c r="I83" i="12"/>
  <c r="G83" i="12"/>
  <c r="E83" i="12"/>
  <c r="B83" i="12"/>
  <c r="F83" i="12" s="1" a="1"/>
  <c r="F83" i="12" s="1"/>
  <c r="C83" i="12"/>
  <c r="K346" i="12"/>
  <c r="G346" i="12"/>
  <c r="J346" i="12"/>
  <c r="I346" i="12"/>
  <c r="C346" i="12"/>
  <c r="E346" i="12"/>
  <c r="B346" i="12"/>
  <c r="F346" i="12" s="1" a="1"/>
  <c r="F346" i="12" s="1"/>
  <c r="G262" i="12"/>
  <c r="J262" i="12"/>
  <c r="B262" i="12"/>
  <c r="F262" i="12" s="1" a="1"/>
  <c r="F262" i="12" s="1"/>
  <c r="K262" i="12"/>
  <c r="C262" i="12"/>
  <c r="E262" i="12"/>
  <c r="I262" i="12"/>
  <c r="K190" i="12"/>
  <c r="G190" i="12"/>
  <c r="J190" i="12"/>
  <c r="E190" i="12"/>
  <c r="I190" i="12"/>
  <c r="C190" i="12"/>
  <c r="B190" i="12"/>
  <c r="F190" i="12" s="1" a="1"/>
  <c r="F190" i="12" s="1"/>
  <c r="I142" i="12"/>
  <c r="G142" i="12"/>
  <c r="J142" i="12"/>
  <c r="K142" i="12"/>
  <c r="B142" i="12"/>
  <c r="F142" i="12" s="1" a="1"/>
  <c r="F142" i="12" s="1"/>
  <c r="E142" i="12"/>
  <c r="C142" i="12"/>
  <c r="K106" i="12"/>
  <c r="G106" i="12"/>
  <c r="E106" i="12"/>
  <c r="J106" i="12"/>
  <c r="I106" i="12"/>
  <c r="B106" i="12"/>
  <c r="F106" i="12" s="1" a="1"/>
  <c r="F106" i="12" s="1"/>
  <c r="C106" i="12"/>
  <c r="J46" i="12"/>
  <c r="K46" i="12"/>
  <c r="G46" i="12"/>
  <c r="I46" i="12"/>
  <c r="B46" i="12"/>
  <c r="F46" i="12" s="1" a="1"/>
  <c r="F46" i="12" s="1"/>
  <c r="C46" i="12"/>
  <c r="E46" i="12"/>
  <c r="J405" i="12"/>
  <c r="K405" i="12"/>
  <c r="I405" i="12"/>
  <c r="G405" i="12"/>
  <c r="E405" i="12"/>
  <c r="B405" i="12"/>
  <c r="F405" i="12" s="1" a="1"/>
  <c r="F405" i="12" s="1"/>
  <c r="C405" i="12"/>
  <c r="J333" i="12"/>
  <c r="G333" i="12"/>
  <c r="I333" i="12"/>
  <c r="K333" i="12"/>
  <c r="B333" i="12"/>
  <c r="F333" i="12" s="1" a="1"/>
  <c r="F333" i="12" s="1"/>
  <c r="E333" i="12"/>
  <c r="C333" i="12"/>
  <c r="I237" i="12"/>
  <c r="J237" i="12"/>
  <c r="E237" i="12"/>
  <c r="K237" i="12"/>
  <c r="B237" i="12"/>
  <c r="F237" i="12" s="1" a="1"/>
  <c r="F237" i="12" s="1"/>
  <c r="G237" i="12"/>
  <c r="C237" i="12"/>
  <c r="E93" i="12"/>
  <c r="I93" i="12"/>
  <c r="G93" i="12"/>
  <c r="B93" i="12"/>
  <c r="F93" i="12" s="1" a="1"/>
  <c r="F93" i="12" s="1"/>
  <c r="J93" i="12"/>
  <c r="C93" i="12"/>
  <c r="K93" i="12"/>
  <c r="K392" i="12"/>
  <c r="E392" i="12"/>
  <c r="B392" i="12"/>
  <c r="F392" i="12" s="1" a="1"/>
  <c r="F392" i="12" s="1"/>
  <c r="G392" i="12"/>
  <c r="I392" i="12"/>
  <c r="C392" i="12"/>
  <c r="J392" i="12"/>
  <c r="K320" i="12"/>
  <c r="J320" i="12"/>
  <c r="G320" i="12"/>
  <c r="I320" i="12"/>
  <c r="B320" i="12"/>
  <c r="F320" i="12" s="1" a="1"/>
  <c r="F320" i="12" s="1"/>
  <c r="C320" i="12"/>
  <c r="E320" i="12"/>
  <c r="K236" i="12"/>
  <c r="B236" i="12"/>
  <c r="F236" i="12" s="1" a="1"/>
  <c r="F236" i="12" s="1"/>
  <c r="I236" i="12"/>
  <c r="C236" i="12"/>
  <c r="J236" i="12"/>
  <c r="G236" i="12"/>
  <c r="E236" i="12"/>
  <c r="K176" i="12"/>
  <c r="E176" i="12"/>
  <c r="J176" i="12"/>
  <c r="I176" i="12"/>
  <c r="G176" i="12"/>
  <c r="B176" i="12"/>
  <c r="F176" i="12" s="1" a="1"/>
  <c r="F176" i="12" s="1"/>
  <c r="C176" i="12"/>
  <c r="K128" i="12"/>
  <c r="E128" i="12"/>
  <c r="I128" i="12"/>
  <c r="B128" i="12"/>
  <c r="F128" i="12" s="1" a="1"/>
  <c r="F128" i="12" s="1"/>
  <c r="C128" i="12"/>
  <c r="G128" i="12"/>
  <c r="J128" i="12"/>
  <c r="K44" i="12"/>
  <c r="J44" i="12"/>
  <c r="I44" i="12"/>
  <c r="E44" i="12"/>
  <c r="G44" i="12"/>
  <c r="B44" i="12"/>
  <c r="F44" i="12" s="1" a="1"/>
  <c r="F44" i="12" s="1"/>
  <c r="C44" i="12"/>
  <c r="J379" i="12"/>
  <c r="I379" i="12"/>
  <c r="G379" i="12"/>
  <c r="K379" i="12"/>
  <c r="E379" i="12"/>
  <c r="B379" i="12"/>
  <c r="F379" i="12" s="1" a="1"/>
  <c r="F379" i="12" s="1"/>
  <c r="C379" i="12"/>
  <c r="J283" i="12"/>
  <c r="K283" i="12"/>
  <c r="G283" i="12"/>
  <c r="I283" i="12"/>
  <c r="B283" i="12"/>
  <c r="F283" i="12" s="1" a="1"/>
  <c r="F283" i="12" s="1"/>
  <c r="E283" i="12"/>
  <c r="C283" i="12"/>
  <c r="J127" i="12"/>
  <c r="K127" i="12"/>
  <c r="I127" i="12"/>
  <c r="E127" i="12"/>
  <c r="C127" i="12"/>
  <c r="B127" i="12"/>
  <c r="F127" i="12" s="1" a="1"/>
  <c r="F127" i="12" s="1"/>
  <c r="G127" i="12"/>
  <c r="E330" i="12"/>
  <c r="I330" i="12"/>
  <c r="K330" i="12"/>
  <c r="J330" i="12"/>
  <c r="G330" i="12"/>
  <c r="C330" i="12"/>
  <c r="B330" i="12"/>
  <c r="F330" i="12" s="1" a="1"/>
  <c r="F330" i="12" s="1"/>
  <c r="K384" i="12"/>
  <c r="J384" i="12"/>
  <c r="G384" i="12"/>
  <c r="B384" i="12"/>
  <c r="F384" i="12" s="1" a="1"/>
  <c r="F384" i="12" s="1"/>
  <c r="I384" i="12"/>
  <c r="C384" i="12"/>
  <c r="E384" i="12"/>
  <c r="K288" i="12"/>
  <c r="I288" i="12"/>
  <c r="B288" i="12"/>
  <c r="F288" i="12" s="1" a="1"/>
  <c r="F288" i="12" s="1"/>
  <c r="C288" i="12"/>
  <c r="G288" i="12"/>
  <c r="E288" i="12"/>
  <c r="J288" i="12"/>
  <c r="K60" i="12"/>
  <c r="I60" i="12"/>
  <c r="G60" i="12"/>
  <c r="B60" i="12"/>
  <c r="F60" i="12" s="1" a="1"/>
  <c r="F60" i="12" s="1"/>
  <c r="J60" i="12"/>
  <c r="E60" i="12"/>
  <c r="C60" i="12"/>
  <c r="K371" i="12"/>
  <c r="J371" i="12"/>
  <c r="I371" i="12"/>
  <c r="G371" i="12"/>
  <c r="E371" i="12"/>
  <c r="C371" i="12"/>
  <c r="B371" i="12"/>
  <c r="F371" i="12" s="1" a="1"/>
  <c r="F371" i="12" s="1"/>
  <c r="K263" i="12"/>
  <c r="J263" i="12"/>
  <c r="I263" i="12"/>
  <c r="E263" i="12"/>
  <c r="C263" i="12"/>
  <c r="G263" i="12"/>
  <c r="B263" i="12"/>
  <c r="F263" i="12" s="1" a="1"/>
  <c r="F263" i="12" s="1"/>
  <c r="K95" i="12"/>
  <c r="J95" i="12"/>
  <c r="I95" i="12"/>
  <c r="G95" i="12"/>
  <c r="E95" i="12"/>
  <c r="B95" i="12"/>
  <c r="F95" i="12" s="1" a="1"/>
  <c r="F95" i="12" s="1"/>
  <c r="C95" i="12"/>
  <c r="G394" i="12"/>
  <c r="K394" i="12"/>
  <c r="I394" i="12"/>
  <c r="J394" i="12"/>
  <c r="E394" i="12"/>
  <c r="B394" i="12"/>
  <c r="F394" i="12" s="1" a="1"/>
  <c r="F394" i="12" s="1"/>
  <c r="C394" i="12"/>
  <c r="G322" i="12"/>
  <c r="K322" i="12"/>
  <c r="J322" i="12"/>
  <c r="I322" i="12"/>
  <c r="B322" i="12"/>
  <c r="F322" i="12" s="1" a="1"/>
  <c r="F322" i="12" s="1"/>
  <c r="E322" i="12"/>
  <c r="C322" i="12"/>
  <c r="G226" i="12"/>
  <c r="J226" i="12"/>
  <c r="K226" i="12"/>
  <c r="I226" i="12"/>
  <c r="E226" i="12"/>
  <c r="C226" i="12"/>
  <c r="B226" i="12"/>
  <c r="F226" i="12" s="1" a="1"/>
  <c r="F226" i="12" s="1"/>
  <c r="I70" i="12"/>
  <c r="G70" i="12"/>
  <c r="K70" i="12"/>
  <c r="J70" i="12"/>
  <c r="E70" i="12"/>
  <c r="C70" i="12"/>
  <c r="B70" i="12"/>
  <c r="F70" i="12" s="1" a="1"/>
  <c r="F70" i="12" s="1"/>
  <c r="J369" i="12"/>
  <c r="E369" i="12"/>
  <c r="I369" i="12"/>
  <c r="G369" i="12"/>
  <c r="B369" i="12"/>
  <c r="F369" i="12" s="1" a="1"/>
  <c r="F369" i="12" s="1"/>
  <c r="K369" i="12"/>
  <c r="C369" i="12"/>
  <c r="K285" i="12"/>
  <c r="J285" i="12"/>
  <c r="G285" i="12"/>
  <c r="B285" i="12"/>
  <c r="F285" i="12" s="1" a="1"/>
  <c r="F285" i="12" s="1"/>
  <c r="C285" i="12"/>
  <c r="E285" i="12"/>
  <c r="I285" i="12"/>
  <c r="I165" i="12"/>
  <c r="K165" i="12"/>
  <c r="G165" i="12"/>
  <c r="C165" i="12"/>
  <c r="E165" i="12"/>
  <c r="J165" i="12"/>
  <c r="B165" i="12"/>
  <c r="F165" i="12" s="1" a="1"/>
  <c r="F165" i="12" s="1"/>
  <c r="K296" i="12"/>
  <c r="I296" i="12"/>
  <c r="G296" i="12"/>
  <c r="E296" i="12"/>
  <c r="B296" i="12"/>
  <c r="F296" i="12" s="1" a="1"/>
  <c r="F296" i="12" s="1"/>
  <c r="C296" i="12"/>
  <c r="J296" i="12"/>
  <c r="K80" i="12"/>
  <c r="E80" i="12"/>
  <c r="I80" i="12"/>
  <c r="G80" i="12"/>
  <c r="B80" i="12"/>
  <c r="F80" i="12" s="1" a="1"/>
  <c r="F80" i="12" s="1"/>
  <c r="J80" i="12"/>
  <c r="C80" i="12"/>
  <c r="J319" i="12"/>
  <c r="K319" i="12"/>
  <c r="G319" i="12"/>
  <c r="E319" i="12"/>
  <c r="B319" i="12"/>
  <c r="F319" i="12" s="1" a="1"/>
  <c r="F319" i="12" s="1"/>
  <c r="C319" i="12"/>
  <c r="I319" i="12"/>
  <c r="J259" i="12"/>
  <c r="I259" i="12"/>
  <c r="G259" i="12"/>
  <c r="C259" i="12"/>
  <c r="B259" i="12"/>
  <c r="F259" i="12" s="1" a="1"/>
  <c r="F259" i="12" s="1"/>
  <c r="K259" i="12"/>
  <c r="E259" i="12"/>
  <c r="J187" i="12"/>
  <c r="K187" i="12"/>
  <c r="I187" i="12"/>
  <c r="G187" i="12"/>
  <c r="E187" i="12"/>
  <c r="C187" i="12"/>
  <c r="B187" i="12"/>
  <c r="F187" i="12" s="1" a="1"/>
  <c r="F187" i="12" s="1"/>
  <c r="J139" i="12"/>
  <c r="K139" i="12"/>
  <c r="G139" i="12"/>
  <c r="I139" i="12"/>
  <c r="E139" i="12"/>
  <c r="C139" i="12"/>
  <c r="B139" i="12"/>
  <c r="F139" i="12" s="1" a="1"/>
  <c r="F139" i="12" s="1"/>
  <c r="J43" i="12"/>
  <c r="K43" i="12"/>
  <c r="G43" i="12"/>
  <c r="I43" i="12"/>
  <c r="E43" i="12"/>
  <c r="B43" i="12"/>
  <c r="F43" i="12" s="1" a="1"/>
  <c r="F43" i="12" s="1"/>
  <c r="C43" i="12"/>
  <c r="K426" i="12"/>
  <c r="I426" i="12"/>
  <c r="E426" i="12"/>
  <c r="G426" i="12"/>
  <c r="J426" i="12"/>
  <c r="C426" i="12"/>
  <c r="B426" i="12"/>
  <c r="F426" i="12" s="1" a="1"/>
  <c r="F426" i="12" s="1"/>
  <c r="K402" i="12"/>
  <c r="E402" i="12"/>
  <c r="I402" i="12"/>
  <c r="G402" i="12"/>
  <c r="J402" i="12"/>
  <c r="C402" i="12"/>
  <c r="B402" i="12"/>
  <c r="F402" i="12" s="1" a="1"/>
  <c r="F402" i="12" s="1"/>
  <c r="K378" i="12"/>
  <c r="E378" i="12"/>
  <c r="J378" i="12"/>
  <c r="B378" i="12"/>
  <c r="F378" i="12" s="1" a="1"/>
  <c r="F378" i="12" s="1"/>
  <c r="G378" i="12"/>
  <c r="I378" i="12"/>
  <c r="C378" i="12"/>
  <c r="J354" i="12"/>
  <c r="K354" i="12"/>
  <c r="I354" i="12"/>
  <c r="E354" i="12"/>
  <c r="G354" i="12"/>
  <c r="C354" i="12"/>
  <c r="B354" i="12"/>
  <c r="F354" i="12" s="1" a="1"/>
  <c r="F354" i="12" s="1"/>
  <c r="K306" i="12"/>
  <c r="G306" i="12"/>
  <c r="E306" i="12"/>
  <c r="C306" i="12"/>
  <c r="I306" i="12"/>
  <c r="J306" i="12"/>
  <c r="B306" i="12"/>
  <c r="F306" i="12" s="1" a="1"/>
  <c r="F306" i="12" s="1"/>
  <c r="J282" i="12"/>
  <c r="E282" i="12"/>
  <c r="K282" i="12"/>
  <c r="G282" i="12"/>
  <c r="I282" i="12"/>
  <c r="C282" i="12"/>
  <c r="B282" i="12"/>
  <c r="F282" i="12" s="1" a="1"/>
  <c r="F282" i="12" s="1"/>
  <c r="K270" i="12"/>
  <c r="E270" i="12"/>
  <c r="I270" i="12"/>
  <c r="J270" i="12"/>
  <c r="B270" i="12"/>
  <c r="F270" i="12" s="1" a="1"/>
  <c r="F270" i="12" s="1"/>
  <c r="C270" i="12"/>
  <c r="G270" i="12"/>
  <c r="J246" i="12"/>
  <c r="E246" i="12"/>
  <c r="G246" i="12"/>
  <c r="K246" i="12"/>
  <c r="I246" i="12"/>
  <c r="B246" i="12"/>
  <c r="F246" i="12" s="1" a="1"/>
  <c r="F246" i="12" s="1"/>
  <c r="C246" i="12"/>
  <c r="K234" i="12"/>
  <c r="E234" i="12"/>
  <c r="G234" i="12"/>
  <c r="J234" i="12"/>
  <c r="B234" i="12"/>
  <c r="F234" i="12" s="1" a="1"/>
  <c r="F234" i="12" s="1"/>
  <c r="I234" i="12"/>
  <c r="C234" i="12"/>
  <c r="K210" i="12"/>
  <c r="J210" i="12"/>
  <c r="E210" i="12"/>
  <c r="G210" i="12"/>
  <c r="B210" i="12"/>
  <c r="F210" i="12" s="1" a="1"/>
  <c r="F210" i="12" s="1"/>
  <c r="C210" i="12"/>
  <c r="I210" i="12"/>
  <c r="J198" i="12"/>
  <c r="K198" i="12"/>
  <c r="I198" i="12"/>
  <c r="E198" i="12"/>
  <c r="G198" i="12"/>
  <c r="B198" i="12"/>
  <c r="F198" i="12" s="1" a="1"/>
  <c r="F198" i="12" s="1"/>
  <c r="C198" i="12"/>
  <c r="J186" i="12"/>
  <c r="B186" i="12"/>
  <c r="F186" i="12" s="1" a="1"/>
  <c r="F186" i="12" s="1"/>
  <c r="I186" i="12"/>
  <c r="K186" i="12"/>
  <c r="C186" i="12"/>
  <c r="G186" i="12"/>
  <c r="E186" i="12"/>
  <c r="J174" i="12"/>
  <c r="G174" i="12"/>
  <c r="I174" i="12"/>
  <c r="K174" i="12"/>
  <c r="B174" i="12"/>
  <c r="F174" i="12" s="1" a="1"/>
  <c r="F174" i="12" s="1"/>
  <c r="C174" i="12"/>
  <c r="E174" i="12"/>
  <c r="I150" i="12"/>
  <c r="K150" i="12"/>
  <c r="G150" i="12"/>
  <c r="J150" i="12"/>
  <c r="B150" i="12"/>
  <c r="F150" i="12" s="1" a="1"/>
  <c r="F150" i="12" s="1"/>
  <c r="C150" i="12"/>
  <c r="E150" i="12"/>
  <c r="I114" i="12"/>
  <c r="K114" i="12"/>
  <c r="J114" i="12"/>
  <c r="B114" i="12"/>
  <c r="F114" i="12" s="1" a="1"/>
  <c r="F114" i="12" s="1"/>
  <c r="C114" i="12"/>
  <c r="E114" i="12"/>
  <c r="G114" i="12"/>
  <c r="I90" i="12"/>
  <c r="K90" i="12"/>
  <c r="J90" i="12"/>
  <c r="G90" i="12"/>
  <c r="B90" i="12"/>
  <c r="F90" i="12" s="1" a="1"/>
  <c r="F90" i="12" s="1"/>
  <c r="E90" i="12"/>
  <c r="C90" i="12"/>
  <c r="I66" i="12"/>
  <c r="K66" i="12"/>
  <c r="J66" i="12"/>
  <c r="E66" i="12"/>
  <c r="B66" i="12"/>
  <c r="F66" i="12" s="1" a="1"/>
  <c r="F66" i="12" s="1"/>
  <c r="C66" i="12"/>
  <c r="G66" i="12"/>
  <c r="I42" i="12"/>
  <c r="K42" i="12"/>
  <c r="G42" i="12"/>
  <c r="E42" i="12"/>
  <c r="B42" i="12"/>
  <c r="F42" i="12" s="1" a="1"/>
  <c r="F42" i="12" s="1"/>
  <c r="J42" i="12"/>
  <c r="C42" i="12"/>
  <c r="J425" i="12"/>
  <c r="K425" i="12"/>
  <c r="B425" i="12"/>
  <c r="F425" i="12" s="1" a="1"/>
  <c r="F425" i="12" s="1"/>
  <c r="I425" i="12"/>
  <c r="G425" i="12"/>
  <c r="E425" i="12"/>
  <c r="C425" i="12"/>
  <c r="I413" i="12"/>
  <c r="B413" i="12"/>
  <c r="F413" i="12" s="1" a="1"/>
  <c r="F413" i="12" s="1"/>
  <c r="J413" i="12"/>
  <c r="K413" i="12"/>
  <c r="C413" i="12"/>
  <c r="G413" i="12"/>
  <c r="E413" i="12"/>
  <c r="K401" i="12"/>
  <c r="J401" i="12"/>
  <c r="B401" i="12"/>
  <c r="F401" i="12" s="1" a="1"/>
  <c r="F401" i="12" s="1"/>
  <c r="G401" i="12"/>
  <c r="I401" i="12"/>
  <c r="E401" i="12"/>
  <c r="C401" i="12"/>
  <c r="K389" i="12"/>
  <c r="B389" i="12"/>
  <c r="F389" i="12" s="1" a="1"/>
  <c r="F389" i="12" s="1"/>
  <c r="G389" i="12"/>
  <c r="I389" i="12"/>
  <c r="J389" i="12"/>
  <c r="C389" i="12"/>
  <c r="E389" i="12"/>
  <c r="K377" i="12"/>
  <c r="B377" i="12"/>
  <c r="F377" i="12" s="1" a="1"/>
  <c r="F377" i="12" s="1"/>
  <c r="J377" i="12"/>
  <c r="E377" i="12"/>
  <c r="G377" i="12"/>
  <c r="I377" i="12"/>
  <c r="C377" i="12"/>
  <c r="B365" i="12"/>
  <c r="F365" i="12" s="1" a="1"/>
  <c r="F365" i="12" s="1"/>
  <c r="E365" i="12"/>
  <c r="C365" i="12"/>
  <c r="I365" i="12"/>
  <c r="G365" i="12"/>
  <c r="K365" i="12"/>
  <c r="J365" i="12"/>
  <c r="K353" i="12"/>
  <c r="J353" i="12"/>
  <c r="B353" i="12"/>
  <c r="F353" i="12" s="1" a="1"/>
  <c r="F353" i="12" s="1"/>
  <c r="I353" i="12"/>
  <c r="G353" i="12"/>
  <c r="E353" i="12"/>
  <c r="C353" i="12"/>
  <c r="I341" i="12"/>
  <c r="K341" i="12"/>
  <c r="B341" i="12"/>
  <c r="F341" i="12" s="1" a="1"/>
  <c r="F341" i="12" s="1"/>
  <c r="J341" i="12"/>
  <c r="C341" i="12"/>
  <c r="G341" i="12"/>
  <c r="E341" i="12"/>
  <c r="B329" i="12"/>
  <c r="F329" i="12" s="1" a="1"/>
  <c r="F329" i="12" s="1"/>
  <c r="J329" i="12"/>
  <c r="E329" i="12"/>
  <c r="K329" i="12"/>
  <c r="C329" i="12"/>
  <c r="G329" i="12"/>
  <c r="I329" i="12"/>
  <c r="K317" i="12"/>
  <c r="B317" i="12"/>
  <c r="F317" i="12" s="1" a="1"/>
  <c r="F317" i="12" s="1"/>
  <c r="G317" i="12"/>
  <c r="J317" i="12"/>
  <c r="I317" i="12"/>
  <c r="C317" i="12"/>
  <c r="E317" i="12"/>
  <c r="B305" i="12"/>
  <c r="F305" i="12" s="1" a="1"/>
  <c r="F305" i="12" s="1"/>
  <c r="J305" i="12"/>
  <c r="I305" i="12"/>
  <c r="K305" i="12"/>
  <c r="E305" i="12"/>
  <c r="G305" i="12"/>
  <c r="C305" i="12"/>
  <c r="I293" i="12"/>
  <c r="K293" i="12"/>
  <c r="J293" i="12"/>
  <c r="G293" i="12"/>
  <c r="B293" i="12"/>
  <c r="F293" i="12" s="1" a="1"/>
  <c r="F293" i="12" s="1"/>
  <c r="E293" i="12"/>
  <c r="C293" i="12"/>
  <c r="I281" i="12"/>
  <c r="J281" i="12"/>
  <c r="B281" i="12"/>
  <c r="F281" i="12" s="1" a="1"/>
  <c r="F281" i="12" s="1"/>
  <c r="K281" i="12"/>
  <c r="G281" i="12"/>
  <c r="C281" i="12"/>
  <c r="E281" i="12"/>
  <c r="I269" i="12"/>
  <c r="B269" i="12"/>
  <c r="F269" i="12" s="1" a="1"/>
  <c r="F269" i="12" s="1"/>
  <c r="K269" i="12"/>
  <c r="G269" i="12"/>
  <c r="J269" i="12"/>
  <c r="E269" i="12"/>
  <c r="C269" i="12"/>
  <c r="I257" i="12"/>
  <c r="K257" i="12"/>
  <c r="B257" i="12"/>
  <c r="F257" i="12" s="1" a="1"/>
  <c r="F257" i="12" s="1"/>
  <c r="C257" i="12"/>
  <c r="E257" i="12"/>
  <c r="J257" i="12"/>
  <c r="G257" i="12"/>
  <c r="I245" i="12"/>
  <c r="K245" i="12"/>
  <c r="J245" i="12"/>
  <c r="B245" i="12"/>
  <c r="F245" i="12" s="1" a="1"/>
  <c r="F245" i="12" s="1"/>
  <c r="E245" i="12"/>
  <c r="G245" i="12"/>
  <c r="C245" i="12"/>
  <c r="K233" i="12"/>
  <c r="I233" i="12"/>
  <c r="J233" i="12"/>
  <c r="B233" i="12"/>
  <c r="F233" i="12" s="1" a="1"/>
  <c r="F233" i="12" s="1"/>
  <c r="G233" i="12"/>
  <c r="E233" i="12"/>
  <c r="C233" i="12"/>
  <c r="I221" i="12"/>
  <c r="K221" i="12"/>
  <c r="G221" i="12"/>
  <c r="B221" i="12"/>
  <c r="F221" i="12" s="1" a="1"/>
  <c r="F221" i="12" s="1"/>
  <c r="C221" i="12"/>
  <c r="E221" i="12"/>
  <c r="J221" i="12"/>
  <c r="K209" i="12"/>
  <c r="I209" i="12"/>
  <c r="B209" i="12"/>
  <c r="F209" i="12" s="1" a="1"/>
  <c r="F209" i="12" s="1"/>
  <c r="J209" i="12"/>
  <c r="E209" i="12"/>
  <c r="G209" i="12"/>
  <c r="C209" i="12"/>
  <c r="I197" i="12"/>
  <c r="E197" i="12"/>
  <c r="B197" i="12"/>
  <c r="F197" i="12" s="1" a="1"/>
  <c r="F197" i="12" s="1"/>
  <c r="G197" i="12"/>
  <c r="K197" i="12"/>
  <c r="C197" i="12"/>
  <c r="J197" i="12"/>
  <c r="I185" i="12"/>
  <c r="K185" i="12"/>
  <c r="B185" i="12"/>
  <c r="F185" i="12" s="1" a="1"/>
  <c r="F185" i="12" s="1"/>
  <c r="J185" i="12"/>
  <c r="G185" i="12"/>
  <c r="E185" i="12"/>
  <c r="C185" i="12"/>
  <c r="K173" i="12"/>
  <c r="I173" i="12"/>
  <c r="B173" i="12"/>
  <c r="F173" i="12" s="1" a="1"/>
  <c r="F173" i="12" s="1"/>
  <c r="J173" i="12"/>
  <c r="G173" i="12"/>
  <c r="E173" i="12"/>
  <c r="C173" i="12"/>
  <c r="I161" i="12"/>
  <c r="J161" i="12"/>
  <c r="B161" i="12"/>
  <c r="F161" i="12" s="1" a="1"/>
  <c r="F161" i="12" s="1"/>
  <c r="E161" i="12"/>
  <c r="G161" i="12"/>
  <c r="C161" i="12"/>
  <c r="K161" i="12"/>
  <c r="K149" i="12"/>
  <c r="G149" i="12"/>
  <c r="B149" i="12"/>
  <c r="F149" i="12" s="1" a="1"/>
  <c r="F149" i="12" s="1"/>
  <c r="J149" i="12"/>
  <c r="I149" i="12"/>
  <c r="E149" i="12"/>
  <c r="C149" i="12"/>
  <c r="J137" i="12"/>
  <c r="B137" i="12"/>
  <c r="F137" i="12" s="1" a="1"/>
  <c r="F137" i="12" s="1"/>
  <c r="K137" i="12"/>
  <c r="G137" i="12"/>
  <c r="I137" i="12"/>
  <c r="C137" i="12"/>
  <c r="E137" i="12"/>
  <c r="J125" i="12"/>
  <c r="B125" i="12"/>
  <c r="F125" i="12" s="1" a="1"/>
  <c r="F125" i="12" s="1"/>
  <c r="I125" i="12"/>
  <c r="K125" i="12"/>
  <c r="C125" i="12"/>
  <c r="G125" i="12"/>
  <c r="E125" i="12"/>
  <c r="B113" i="12"/>
  <c r="F113" i="12" s="1" a="1"/>
  <c r="F113" i="12" s="1"/>
  <c r="I113" i="12"/>
  <c r="K113" i="12"/>
  <c r="J113" i="12"/>
  <c r="E113" i="12"/>
  <c r="G113" i="12"/>
  <c r="C113" i="12"/>
  <c r="K101" i="12"/>
  <c r="B101" i="12"/>
  <c r="F101" i="12" s="1" a="1"/>
  <c r="F101" i="12" s="1"/>
  <c r="J101" i="12"/>
  <c r="G101" i="12"/>
  <c r="I101" i="12"/>
  <c r="E101" i="12"/>
  <c r="C101" i="12"/>
  <c r="K89" i="12"/>
  <c r="I89" i="12"/>
  <c r="B89" i="12"/>
  <c r="F89" i="12" s="1" a="1"/>
  <c r="F89" i="12" s="1"/>
  <c r="E89" i="12"/>
  <c r="C89" i="12"/>
  <c r="J89" i="12"/>
  <c r="G89" i="12"/>
  <c r="K77" i="12"/>
  <c r="J77" i="12"/>
  <c r="G77" i="12"/>
  <c r="B77" i="12"/>
  <c r="F77" i="12" s="1" a="1"/>
  <c r="F77" i="12" s="1"/>
  <c r="I77" i="12"/>
  <c r="E77" i="12"/>
  <c r="C77" i="12"/>
  <c r="K65" i="12"/>
  <c r="B65" i="12"/>
  <c r="F65" i="12" s="1" a="1"/>
  <c r="F65" i="12" s="1"/>
  <c r="G65" i="12"/>
  <c r="E65" i="12"/>
  <c r="J65" i="12"/>
  <c r="I65" i="12"/>
  <c r="C65" i="12"/>
  <c r="J53" i="12"/>
  <c r="K53" i="12"/>
  <c r="E53" i="12"/>
  <c r="B53" i="12"/>
  <c r="F53" i="12" s="1" a="1"/>
  <c r="F53" i="12" s="1"/>
  <c r="G53" i="12"/>
  <c r="C53" i="12"/>
  <c r="I53" i="12"/>
  <c r="K41" i="12"/>
  <c r="B41" i="12"/>
  <c r="F41" i="12" s="1" a="1"/>
  <c r="F41" i="12" s="1"/>
  <c r="I41" i="12"/>
  <c r="E41" i="12"/>
  <c r="G41" i="12"/>
  <c r="C41" i="12"/>
  <c r="J41" i="12"/>
  <c r="K29" i="12"/>
  <c r="J29" i="12"/>
  <c r="B29" i="12"/>
  <c r="F29" i="12" s="1" a="1"/>
  <c r="F29" i="12" s="1"/>
  <c r="I29" i="12"/>
  <c r="C29" i="12"/>
  <c r="G29" i="12"/>
  <c r="E29" i="12"/>
  <c r="K408" i="12"/>
  <c r="E408" i="12"/>
  <c r="J408" i="12"/>
  <c r="I408" i="12"/>
  <c r="B408" i="12"/>
  <c r="F408" i="12" s="1" a="1"/>
  <c r="F408" i="12" s="1"/>
  <c r="G408" i="12"/>
  <c r="C408" i="12"/>
  <c r="K132" i="12"/>
  <c r="J132" i="12"/>
  <c r="E132" i="12"/>
  <c r="G132" i="12"/>
  <c r="B132" i="12"/>
  <c r="F132" i="12" s="1" a="1"/>
  <c r="F132" i="12" s="1"/>
  <c r="I132" i="12"/>
  <c r="C132" i="12"/>
  <c r="K395" i="12"/>
  <c r="J395" i="12"/>
  <c r="I395" i="12"/>
  <c r="E395" i="12"/>
  <c r="B395" i="12"/>
  <c r="F395" i="12" s="1" a="1"/>
  <c r="F395" i="12" s="1"/>
  <c r="G395" i="12"/>
  <c r="C395" i="12"/>
  <c r="K335" i="12"/>
  <c r="J335" i="12"/>
  <c r="I335" i="12"/>
  <c r="G335" i="12"/>
  <c r="E335" i="12"/>
  <c r="B335" i="12"/>
  <c r="F335" i="12" s="1" a="1"/>
  <c r="F335" i="12" s="1"/>
  <c r="C335" i="12"/>
  <c r="K275" i="12"/>
  <c r="J275" i="12"/>
  <c r="I275" i="12"/>
  <c r="G275" i="12"/>
  <c r="B275" i="12"/>
  <c r="F275" i="12" s="1" a="1"/>
  <c r="F275" i="12" s="1"/>
  <c r="C275" i="12"/>
  <c r="E275" i="12"/>
  <c r="K203" i="12"/>
  <c r="J203" i="12"/>
  <c r="I203" i="12"/>
  <c r="G203" i="12"/>
  <c r="E203" i="12"/>
  <c r="B203" i="12"/>
  <c r="F203" i="12" s="1" a="1"/>
  <c r="F203" i="12" s="1"/>
  <c r="C203" i="12"/>
  <c r="K71" i="12"/>
  <c r="J71" i="12"/>
  <c r="G71" i="12"/>
  <c r="I71" i="12"/>
  <c r="B71" i="12"/>
  <c r="F71" i="12" s="1" a="1"/>
  <c r="F71" i="12" s="1"/>
  <c r="C71" i="12"/>
  <c r="E71" i="12"/>
  <c r="G358" i="12"/>
  <c r="J358" i="12"/>
  <c r="I358" i="12"/>
  <c r="E358" i="12"/>
  <c r="B358" i="12"/>
  <c r="F358" i="12" s="1" a="1"/>
  <c r="F358" i="12" s="1"/>
  <c r="K358" i="12"/>
  <c r="C358" i="12"/>
  <c r="G298" i="12"/>
  <c r="J298" i="12"/>
  <c r="K298" i="12"/>
  <c r="I298" i="12"/>
  <c r="B298" i="12"/>
  <c r="F298" i="12" s="1" a="1"/>
  <c r="F298" i="12" s="1"/>
  <c r="C298" i="12"/>
  <c r="E298" i="12"/>
  <c r="K250" i="12"/>
  <c r="G250" i="12"/>
  <c r="J250" i="12"/>
  <c r="I250" i="12"/>
  <c r="C250" i="12"/>
  <c r="B250" i="12"/>
  <c r="F250" i="12" s="1" a="1"/>
  <c r="F250" i="12" s="1"/>
  <c r="E250" i="12"/>
  <c r="K202" i="12"/>
  <c r="G202" i="12"/>
  <c r="I202" i="12"/>
  <c r="J202" i="12"/>
  <c r="E202" i="12"/>
  <c r="B202" i="12"/>
  <c r="F202" i="12" s="1" a="1"/>
  <c r="F202" i="12" s="1"/>
  <c r="C202" i="12"/>
  <c r="G154" i="12"/>
  <c r="I154" i="12"/>
  <c r="K154" i="12"/>
  <c r="E154" i="12"/>
  <c r="J154" i="12"/>
  <c r="C154" i="12"/>
  <c r="B154" i="12"/>
  <c r="F154" i="12" s="1" a="1"/>
  <c r="F154" i="12" s="1"/>
  <c r="G118" i="12"/>
  <c r="K118" i="12"/>
  <c r="B118" i="12"/>
  <c r="F118" i="12" s="1" a="1"/>
  <c r="F118" i="12" s="1"/>
  <c r="I118" i="12"/>
  <c r="C118" i="12"/>
  <c r="E118" i="12"/>
  <c r="J118" i="12"/>
  <c r="J58" i="12"/>
  <c r="K58" i="12"/>
  <c r="G58" i="12"/>
  <c r="E58" i="12"/>
  <c r="I58" i="12"/>
  <c r="C58" i="12"/>
  <c r="B58" i="12"/>
  <c r="F58" i="12" s="1" a="1"/>
  <c r="F58" i="12" s="1"/>
  <c r="I417" i="12"/>
  <c r="G417" i="12"/>
  <c r="E417" i="12"/>
  <c r="C417" i="12"/>
  <c r="J417" i="12"/>
  <c r="B417" i="12"/>
  <c r="F417" i="12" s="1" a="1"/>
  <c r="F417" i="12" s="1"/>
  <c r="K417" i="12"/>
  <c r="K357" i="12"/>
  <c r="G357" i="12"/>
  <c r="C357" i="12"/>
  <c r="E357" i="12"/>
  <c r="B357" i="12"/>
  <c r="F357" i="12" s="1" a="1"/>
  <c r="F357" i="12" s="1"/>
  <c r="I357" i="12"/>
  <c r="J357" i="12"/>
  <c r="I309" i="12"/>
  <c r="J309" i="12"/>
  <c r="E309" i="12"/>
  <c r="G309" i="12"/>
  <c r="B309" i="12"/>
  <c r="F309" i="12" s="1" a="1"/>
  <c r="F309" i="12" s="1"/>
  <c r="K309" i="12"/>
  <c r="C309" i="12"/>
  <c r="J261" i="12"/>
  <c r="K261" i="12"/>
  <c r="I261" i="12"/>
  <c r="E261" i="12"/>
  <c r="C261" i="12"/>
  <c r="G261" i="12"/>
  <c r="B261" i="12"/>
  <c r="F261" i="12" s="1" a="1"/>
  <c r="F261" i="12" s="1"/>
  <c r="K213" i="12"/>
  <c r="J213" i="12"/>
  <c r="G213" i="12"/>
  <c r="I213" i="12"/>
  <c r="B213" i="12"/>
  <c r="F213" i="12" s="1" a="1"/>
  <c r="F213" i="12" s="1"/>
  <c r="E213" i="12"/>
  <c r="C213" i="12"/>
  <c r="J177" i="12"/>
  <c r="I177" i="12"/>
  <c r="G177" i="12"/>
  <c r="K177" i="12"/>
  <c r="E177" i="12"/>
  <c r="B177" i="12"/>
  <c r="F177" i="12" s="1" a="1"/>
  <c r="F177" i="12" s="1"/>
  <c r="C177" i="12"/>
  <c r="K129" i="12"/>
  <c r="I129" i="12"/>
  <c r="J129" i="12"/>
  <c r="G129" i="12"/>
  <c r="E129" i="12"/>
  <c r="B129" i="12"/>
  <c r="F129" i="12" s="1" a="1"/>
  <c r="F129" i="12" s="1"/>
  <c r="C129" i="12"/>
  <c r="K105" i="12"/>
  <c r="I105" i="12"/>
  <c r="B105" i="12"/>
  <c r="F105" i="12" s="1" a="1"/>
  <c r="F105" i="12" s="1"/>
  <c r="J105" i="12"/>
  <c r="E105" i="12"/>
  <c r="C105" i="12"/>
  <c r="G105" i="12"/>
  <c r="K69" i="12"/>
  <c r="J69" i="12"/>
  <c r="I69" i="12"/>
  <c r="G69" i="12"/>
  <c r="B69" i="12"/>
  <c r="F69" i="12" s="1" a="1"/>
  <c r="F69" i="12" s="1"/>
  <c r="C69" i="12"/>
  <c r="E69" i="12"/>
  <c r="J33" i="12"/>
  <c r="I33" i="12"/>
  <c r="K33" i="12"/>
  <c r="E33" i="12"/>
  <c r="G33" i="12"/>
  <c r="C33" i="12"/>
  <c r="B33" i="12"/>
  <c r="F33" i="12" s="1" a="1"/>
  <c r="F33" i="12" s="1"/>
  <c r="K344" i="12"/>
  <c r="J344" i="12"/>
  <c r="I344" i="12"/>
  <c r="G344" i="12"/>
  <c r="C344" i="12"/>
  <c r="B344" i="12"/>
  <c r="F344" i="12" s="1" a="1"/>
  <c r="F344" i="12" s="1"/>
  <c r="E344" i="12"/>
  <c r="K260" i="12"/>
  <c r="G260" i="12"/>
  <c r="J260" i="12"/>
  <c r="C260" i="12"/>
  <c r="B260" i="12"/>
  <c r="F260" i="12" s="1" a="1"/>
  <c r="F260" i="12" s="1"/>
  <c r="E260" i="12"/>
  <c r="I260" i="12"/>
  <c r="K68" i="12"/>
  <c r="E68" i="12"/>
  <c r="G68" i="12"/>
  <c r="J68" i="12"/>
  <c r="I68" i="12"/>
  <c r="C68" i="12"/>
  <c r="B68" i="12"/>
  <c r="F68" i="12" s="1" a="1"/>
  <c r="F68" i="12" s="1"/>
  <c r="J355" i="12"/>
  <c r="I355" i="12"/>
  <c r="K355" i="12"/>
  <c r="E355" i="12"/>
  <c r="G355" i="12"/>
  <c r="B355" i="12"/>
  <c r="F355" i="12" s="1" a="1"/>
  <c r="F355" i="12" s="1"/>
  <c r="C355" i="12"/>
  <c r="J211" i="12"/>
  <c r="K211" i="12"/>
  <c r="G211" i="12"/>
  <c r="E211" i="12"/>
  <c r="B211" i="12"/>
  <c r="F211" i="12" s="1" a="1"/>
  <c r="F211" i="12" s="1"/>
  <c r="C211" i="12"/>
  <c r="I211" i="12"/>
  <c r="J151" i="12"/>
  <c r="K151" i="12"/>
  <c r="I151" i="12"/>
  <c r="E151" i="12"/>
  <c r="B151" i="12"/>
  <c r="F151" i="12" s="1" a="1"/>
  <c r="F151" i="12" s="1"/>
  <c r="G151" i="12"/>
  <c r="C151" i="12"/>
  <c r="J55" i="12"/>
  <c r="K55" i="12"/>
  <c r="E55" i="12"/>
  <c r="G55" i="12"/>
  <c r="I55" i="12"/>
  <c r="C55" i="12"/>
  <c r="B55" i="12"/>
  <c r="F55" i="12" s="1" a="1"/>
  <c r="F55" i="12" s="1"/>
  <c r="J414" i="12"/>
  <c r="E414" i="12"/>
  <c r="G414" i="12"/>
  <c r="K414" i="12"/>
  <c r="I414" i="12"/>
  <c r="C414" i="12"/>
  <c r="B414" i="12"/>
  <c r="F414" i="12" s="1" a="1"/>
  <c r="F414" i="12" s="1"/>
  <c r="J390" i="12"/>
  <c r="E390" i="12"/>
  <c r="I390" i="12"/>
  <c r="G390" i="12"/>
  <c r="B390" i="12"/>
  <c r="F390" i="12" s="1" a="1"/>
  <c r="F390" i="12" s="1"/>
  <c r="C390" i="12"/>
  <c r="K390" i="12"/>
  <c r="J366" i="12"/>
  <c r="K366" i="12"/>
  <c r="E366" i="12"/>
  <c r="G366" i="12"/>
  <c r="C366" i="12"/>
  <c r="I366" i="12"/>
  <c r="B366" i="12"/>
  <c r="F366" i="12" s="1" a="1"/>
  <c r="F366" i="12" s="1"/>
  <c r="E342" i="12"/>
  <c r="K342" i="12"/>
  <c r="I342" i="12"/>
  <c r="J342" i="12"/>
  <c r="B342" i="12"/>
  <c r="F342" i="12" s="1" a="1"/>
  <c r="F342" i="12" s="1"/>
  <c r="G342" i="12"/>
  <c r="C342" i="12"/>
  <c r="J318" i="12"/>
  <c r="K318" i="12"/>
  <c r="E318" i="12"/>
  <c r="G318" i="12"/>
  <c r="B318" i="12"/>
  <c r="F318" i="12" s="1" a="1"/>
  <c r="F318" i="12" s="1"/>
  <c r="C318" i="12"/>
  <c r="I318" i="12"/>
  <c r="K294" i="12"/>
  <c r="E294" i="12"/>
  <c r="I294" i="12"/>
  <c r="G294" i="12"/>
  <c r="B294" i="12"/>
  <c r="F294" i="12" s="1" a="1"/>
  <c r="F294" i="12" s="1"/>
  <c r="C294" i="12"/>
  <c r="J294" i="12"/>
  <c r="K258" i="12"/>
  <c r="J258" i="12"/>
  <c r="E258" i="12"/>
  <c r="I258" i="12"/>
  <c r="G258" i="12"/>
  <c r="B258" i="12"/>
  <c r="F258" i="12" s="1" a="1"/>
  <c r="F258" i="12" s="1"/>
  <c r="C258" i="12"/>
  <c r="E222" i="12"/>
  <c r="I222" i="12"/>
  <c r="K222" i="12"/>
  <c r="C222" i="12"/>
  <c r="J222" i="12"/>
  <c r="B222" i="12"/>
  <c r="F222" i="12" s="1" a="1"/>
  <c r="F222" i="12" s="1"/>
  <c r="G222" i="12"/>
  <c r="K162" i="12"/>
  <c r="G162" i="12"/>
  <c r="J162" i="12"/>
  <c r="C162" i="12"/>
  <c r="I162" i="12"/>
  <c r="E162" i="12"/>
  <c r="B162" i="12"/>
  <c r="F162" i="12" s="1" a="1"/>
  <c r="F162" i="12" s="1"/>
  <c r="I138" i="12"/>
  <c r="J138" i="12"/>
  <c r="K138" i="12"/>
  <c r="G138" i="12"/>
  <c r="E138" i="12"/>
  <c r="C138" i="12"/>
  <c r="B138" i="12"/>
  <c r="F138" i="12" s="1" a="1"/>
  <c r="F138" i="12" s="1"/>
  <c r="I126" i="12"/>
  <c r="K126" i="12"/>
  <c r="J126" i="12"/>
  <c r="E126" i="12"/>
  <c r="B126" i="12"/>
  <c r="F126" i="12" s="1" a="1"/>
  <c r="F126" i="12" s="1"/>
  <c r="G126" i="12"/>
  <c r="C126" i="12"/>
  <c r="I102" i="12"/>
  <c r="J102" i="12"/>
  <c r="K102" i="12"/>
  <c r="G102" i="12"/>
  <c r="C102" i="12"/>
  <c r="E102" i="12"/>
  <c r="B102" i="12"/>
  <c r="F102" i="12" s="1" a="1"/>
  <c r="F102" i="12" s="1"/>
  <c r="I78" i="12"/>
  <c r="K78" i="12"/>
  <c r="J78" i="12"/>
  <c r="G78" i="12"/>
  <c r="E78" i="12"/>
  <c r="B78" i="12"/>
  <c r="F78" i="12" s="1" a="1"/>
  <c r="F78" i="12" s="1"/>
  <c r="C78" i="12"/>
  <c r="I54" i="12"/>
  <c r="K54" i="12"/>
  <c r="J54" i="12"/>
  <c r="B54" i="12"/>
  <c r="F54" i="12" s="1" a="1"/>
  <c r="F54" i="12" s="1"/>
  <c r="G54" i="12"/>
  <c r="C54" i="12"/>
  <c r="E54" i="12"/>
  <c r="I30" i="12"/>
  <c r="J30" i="12"/>
  <c r="E30" i="12"/>
  <c r="G30" i="12"/>
  <c r="B30" i="12"/>
  <c r="F30" i="12" s="1" a="1"/>
  <c r="F30" i="12" s="1"/>
  <c r="K30" i="12"/>
  <c r="C30" i="12"/>
  <c r="K424" i="12"/>
  <c r="G424" i="12"/>
  <c r="I424" i="12"/>
  <c r="J424" i="12"/>
  <c r="E424" i="12"/>
  <c r="B424" i="12"/>
  <c r="F424" i="12" s="1" a="1"/>
  <c r="F424" i="12" s="1"/>
  <c r="C424" i="12"/>
  <c r="K412" i="12"/>
  <c r="J412" i="12"/>
  <c r="G412" i="12"/>
  <c r="E412" i="12"/>
  <c r="I412" i="12"/>
  <c r="C412" i="12"/>
  <c r="B412" i="12"/>
  <c r="F412" i="12" s="1" a="1"/>
  <c r="F412" i="12" s="1"/>
  <c r="I400" i="12"/>
  <c r="C400" i="12"/>
  <c r="K400" i="12"/>
  <c r="J400" i="12"/>
  <c r="E400" i="12"/>
  <c r="G400" i="12"/>
  <c r="B400" i="12"/>
  <c r="F400" i="12" s="1" a="1"/>
  <c r="F400" i="12" s="1"/>
  <c r="J388" i="12"/>
  <c r="C388" i="12"/>
  <c r="I388" i="12"/>
  <c r="G388" i="12"/>
  <c r="E388" i="12"/>
  <c r="B388" i="12"/>
  <c r="F388" i="12" s="1" a="1"/>
  <c r="F388" i="12" s="1"/>
  <c r="K388" i="12"/>
  <c r="J376" i="12"/>
  <c r="K376" i="12"/>
  <c r="C376" i="12"/>
  <c r="G376" i="12"/>
  <c r="E376" i="12"/>
  <c r="I376" i="12"/>
  <c r="B376" i="12"/>
  <c r="F376" i="12" s="1" a="1"/>
  <c r="F376" i="12" s="1"/>
  <c r="C364" i="12"/>
  <c r="K364" i="12"/>
  <c r="J364" i="12"/>
  <c r="I364" i="12"/>
  <c r="E364" i="12"/>
  <c r="G364" i="12"/>
  <c r="B364" i="12"/>
  <c r="F364" i="12" s="1" a="1"/>
  <c r="F364" i="12" s="1"/>
  <c r="C352" i="12"/>
  <c r="J352" i="12"/>
  <c r="K352" i="12"/>
  <c r="I352" i="12"/>
  <c r="G352" i="12"/>
  <c r="B352" i="12"/>
  <c r="F352" i="12" s="1" a="1"/>
  <c r="F352" i="12" s="1"/>
  <c r="E352" i="12"/>
  <c r="J340" i="12"/>
  <c r="C340" i="12"/>
  <c r="G340" i="12"/>
  <c r="B340" i="12"/>
  <c r="F340" i="12" s="1" a="1"/>
  <c r="F340" i="12" s="1"/>
  <c r="K340" i="12"/>
  <c r="I340" i="12"/>
  <c r="E340" i="12"/>
  <c r="K328" i="12"/>
  <c r="I328" i="12"/>
  <c r="J328" i="12"/>
  <c r="C328" i="12"/>
  <c r="G328" i="12"/>
  <c r="B328" i="12"/>
  <c r="F328" i="12" s="1" a="1"/>
  <c r="F328" i="12" s="1"/>
  <c r="E328" i="12"/>
  <c r="K316" i="12"/>
  <c r="J316" i="12"/>
  <c r="C316" i="12"/>
  <c r="E316" i="12"/>
  <c r="G316" i="12"/>
  <c r="I316" i="12"/>
  <c r="B316" i="12"/>
  <c r="F316" i="12" s="1" a="1"/>
  <c r="F316" i="12" s="1"/>
  <c r="J304" i="12"/>
  <c r="C304" i="12"/>
  <c r="I304" i="12"/>
  <c r="B304" i="12"/>
  <c r="F304" i="12" s="1" a="1"/>
  <c r="F304" i="12" s="1"/>
  <c r="G304" i="12"/>
  <c r="K304" i="12"/>
  <c r="E304" i="12"/>
  <c r="K292" i="12"/>
  <c r="C292" i="12"/>
  <c r="I292" i="12"/>
  <c r="E292" i="12"/>
  <c r="G292" i="12"/>
  <c r="J292" i="12"/>
  <c r="B292" i="12"/>
  <c r="F292" i="12" s="1" a="1"/>
  <c r="F292" i="12" s="1"/>
  <c r="J280" i="12"/>
  <c r="K280" i="12"/>
  <c r="I280" i="12"/>
  <c r="G280" i="12"/>
  <c r="C280" i="12"/>
  <c r="B280" i="12"/>
  <c r="F280" i="12" s="1" a="1"/>
  <c r="F280" i="12" s="1"/>
  <c r="E280" i="12"/>
  <c r="J268" i="12"/>
  <c r="C268" i="12"/>
  <c r="I268" i="12"/>
  <c r="G268" i="12"/>
  <c r="B268" i="12"/>
  <c r="F268" i="12" s="1" a="1"/>
  <c r="F268" i="12" s="1"/>
  <c r="E268" i="12"/>
  <c r="K268" i="12"/>
  <c r="K256" i="12"/>
  <c r="C256" i="12"/>
  <c r="I256" i="12"/>
  <c r="B256" i="12"/>
  <c r="F256" i="12" s="1" a="1"/>
  <c r="F256" i="12" s="1"/>
  <c r="E256" i="12"/>
  <c r="J256" i="12"/>
  <c r="G256" i="12"/>
  <c r="I244" i="12"/>
  <c r="K244" i="12"/>
  <c r="C244" i="12"/>
  <c r="J244" i="12"/>
  <c r="G244" i="12"/>
  <c r="E244" i="12"/>
  <c r="B244" i="12"/>
  <c r="F244" i="12" s="1" a="1"/>
  <c r="F244" i="12" s="1"/>
  <c r="K232" i="12"/>
  <c r="J232" i="12"/>
  <c r="C232" i="12"/>
  <c r="G232" i="12"/>
  <c r="I232" i="12"/>
  <c r="B232" i="12"/>
  <c r="F232" i="12" s="1" a="1"/>
  <c r="F232" i="12" s="1"/>
  <c r="E232" i="12"/>
  <c r="K220" i="12"/>
  <c r="C220" i="12"/>
  <c r="I220" i="12"/>
  <c r="E220" i="12"/>
  <c r="G220" i="12"/>
  <c r="B220" i="12"/>
  <c r="F220" i="12" s="1" a="1"/>
  <c r="F220" i="12" s="1"/>
  <c r="J220" i="12"/>
  <c r="G208" i="12"/>
  <c r="K208" i="12"/>
  <c r="I208" i="12"/>
  <c r="C208" i="12"/>
  <c r="J208" i="12"/>
  <c r="B208" i="12"/>
  <c r="F208" i="12" s="1" a="1"/>
  <c r="F208" i="12" s="1"/>
  <c r="E208" i="12"/>
  <c r="J196" i="12"/>
  <c r="K196" i="12"/>
  <c r="C196" i="12"/>
  <c r="B196" i="12"/>
  <c r="F196" i="12" s="1" a="1"/>
  <c r="F196" i="12" s="1"/>
  <c r="I196" i="12"/>
  <c r="G196" i="12"/>
  <c r="E196" i="12"/>
  <c r="K184" i="12"/>
  <c r="E184" i="12"/>
  <c r="C184" i="12"/>
  <c r="I184" i="12"/>
  <c r="B184" i="12"/>
  <c r="F184" i="12" s="1" a="1"/>
  <c r="F184" i="12" s="1"/>
  <c r="J184" i="12"/>
  <c r="G184" i="12"/>
  <c r="K172" i="12"/>
  <c r="I172" i="12"/>
  <c r="J172" i="12"/>
  <c r="C172" i="12"/>
  <c r="G172" i="12"/>
  <c r="B172" i="12"/>
  <c r="F172" i="12" s="1" a="1"/>
  <c r="F172" i="12" s="1"/>
  <c r="E172" i="12"/>
  <c r="J160" i="12"/>
  <c r="C160" i="12"/>
  <c r="K160" i="12"/>
  <c r="E160" i="12"/>
  <c r="G160" i="12"/>
  <c r="I160" i="12"/>
  <c r="B160" i="12"/>
  <c r="F160" i="12" s="1" a="1"/>
  <c r="F160" i="12" s="1"/>
  <c r="K148" i="12"/>
  <c r="I148" i="12"/>
  <c r="C148" i="12"/>
  <c r="J148" i="12"/>
  <c r="E148" i="12"/>
  <c r="G148" i="12"/>
  <c r="B148" i="12"/>
  <c r="F148" i="12" s="1" a="1"/>
  <c r="F148" i="12" s="1"/>
  <c r="G136" i="12"/>
  <c r="C136" i="12"/>
  <c r="I136" i="12"/>
  <c r="E136" i="12"/>
  <c r="B136" i="12"/>
  <c r="F136" i="12" s="1" a="1"/>
  <c r="F136" i="12" s="1"/>
  <c r="J136" i="12"/>
  <c r="K136" i="12"/>
  <c r="J124" i="12"/>
  <c r="C124" i="12"/>
  <c r="I124" i="12"/>
  <c r="K124" i="12"/>
  <c r="G124" i="12"/>
  <c r="B124" i="12"/>
  <c r="F124" i="12" s="1" a="1"/>
  <c r="F124" i="12" s="1"/>
  <c r="E124" i="12"/>
  <c r="K112" i="12"/>
  <c r="J112" i="12"/>
  <c r="C112" i="12"/>
  <c r="E112" i="12"/>
  <c r="G112" i="12"/>
  <c r="I112" i="12"/>
  <c r="B112" i="12"/>
  <c r="F112" i="12" s="1" a="1"/>
  <c r="F112" i="12" s="1"/>
  <c r="C100" i="12"/>
  <c r="G100" i="12"/>
  <c r="I100" i="12"/>
  <c r="K100" i="12"/>
  <c r="B100" i="12"/>
  <c r="F100" i="12" s="1" a="1"/>
  <c r="F100" i="12" s="1"/>
  <c r="J100" i="12"/>
  <c r="E100" i="12"/>
  <c r="K88" i="12"/>
  <c r="J88" i="12"/>
  <c r="C88" i="12"/>
  <c r="I88" i="12"/>
  <c r="E88" i="12"/>
  <c r="B88" i="12"/>
  <c r="F88" i="12" s="1" a="1"/>
  <c r="F88" i="12" s="1"/>
  <c r="G88" i="12"/>
  <c r="I76" i="12"/>
  <c r="C76" i="12"/>
  <c r="J76" i="12"/>
  <c r="K76" i="12"/>
  <c r="G76" i="12"/>
  <c r="E76" i="12"/>
  <c r="B76" i="12"/>
  <c r="F76" i="12" s="1" a="1"/>
  <c r="F76" i="12" s="1"/>
  <c r="I64" i="12"/>
  <c r="G64" i="12"/>
  <c r="C64" i="12"/>
  <c r="K64" i="12"/>
  <c r="J64" i="12"/>
  <c r="E64" i="12"/>
  <c r="B64" i="12"/>
  <c r="F64" i="12" s="1" a="1"/>
  <c r="F64" i="12" s="1"/>
  <c r="J52" i="12"/>
  <c r="K52" i="12"/>
  <c r="C52" i="12"/>
  <c r="I52" i="12"/>
  <c r="B52" i="12"/>
  <c r="F52" i="12" s="1" a="1"/>
  <c r="F52" i="12" s="1"/>
  <c r="E52" i="12"/>
  <c r="G52" i="12"/>
  <c r="K40" i="12"/>
  <c r="J40" i="12"/>
  <c r="I40" i="12"/>
  <c r="E40" i="12"/>
  <c r="C40" i="12"/>
  <c r="B40" i="12"/>
  <c r="F40" i="12" s="1" a="1"/>
  <c r="F40" i="12" s="1"/>
  <c r="G40" i="12"/>
  <c r="K28" i="12"/>
  <c r="J28" i="12"/>
  <c r="I28" i="12"/>
  <c r="C28" i="12"/>
  <c r="G28" i="12"/>
  <c r="E28" i="12"/>
  <c r="B28" i="12"/>
  <c r="F28" i="12" s="1" a="1"/>
  <c r="F28" i="12" s="1"/>
  <c r="K396" i="12"/>
  <c r="I396" i="12"/>
  <c r="J396" i="12"/>
  <c r="G396" i="12"/>
  <c r="E396" i="12"/>
  <c r="C396" i="12"/>
  <c r="B396" i="12"/>
  <c r="F396" i="12" s="1" a="1"/>
  <c r="F396" i="12" s="1"/>
  <c r="K360" i="12"/>
  <c r="I360" i="12"/>
  <c r="C360" i="12"/>
  <c r="E360" i="12"/>
  <c r="B360" i="12"/>
  <c r="F360" i="12" s="1" a="1"/>
  <c r="F360" i="12" s="1"/>
  <c r="J360" i="12"/>
  <c r="G360" i="12"/>
  <c r="K324" i="12"/>
  <c r="I324" i="12"/>
  <c r="E324" i="12"/>
  <c r="J324" i="12"/>
  <c r="C324" i="12"/>
  <c r="G324" i="12"/>
  <c r="B324" i="12"/>
  <c r="F324" i="12" s="1" a="1"/>
  <c r="F324" i="12" s="1"/>
  <c r="K300" i="12"/>
  <c r="J300" i="12"/>
  <c r="G300" i="12"/>
  <c r="I300" i="12"/>
  <c r="B300" i="12"/>
  <c r="F300" i="12" s="1" a="1"/>
  <c r="F300" i="12" s="1"/>
  <c r="C300" i="12"/>
  <c r="E300" i="12"/>
  <c r="K264" i="12"/>
  <c r="J264" i="12"/>
  <c r="E264" i="12"/>
  <c r="G264" i="12"/>
  <c r="I264" i="12"/>
  <c r="C264" i="12"/>
  <c r="B264" i="12"/>
  <c r="F264" i="12" s="1" a="1"/>
  <c r="F264" i="12" s="1"/>
  <c r="K228" i="12"/>
  <c r="G228" i="12"/>
  <c r="B228" i="12"/>
  <c r="F228" i="12" s="1" a="1"/>
  <c r="F228" i="12" s="1"/>
  <c r="C228" i="12"/>
  <c r="J228" i="12"/>
  <c r="E228" i="12"/>
  <c r="I228" i="12"/>
  <c r="K204" i="12"/>
  <c r="J204" i="12"/>
  <c r="C204" i="12"/>
  <c r="G204" i="12"/>
  <c r="I204" i="12"/>
  <c r="E204" i="12"/>
  <c r="B204" i="12"/>
  <c r="F204" i="12" s="1" a="1"/>
  <c r="F204" i="12" s="1"/>
  <c r="K168" i="12"/>
  <c r="J168" i="12"/>
  <c r="I168" i="12"/>
  <c r="G168" i="12"/>
  <c r="E168" i="12"/>
  <c r="C168" i="12"/>
  <c r="B168" i="12"/>
  <c r="F168" i="12" s="1" a="1"/>
  <c r="F168" i="12" s="1"/>
  <c r="K96" i="12"/>
  <c r="J96" i="12"/>
  <c r="I96" i="12"/>
  <c r="B96" i="12"/>
  <c r="F96" i="12" s="1" a="1"/>
  <c r="F96" i="12" s="1"/>
  <c r="E96" i="12"/>
  <c r="C96" i="12"/>
  <c r="G96" i="12"/>
  <c r="K407" i="12"/>
  <c r="J407" i="12"/>
  <c r="I407" i="12"/>
  <c r="E407" i="12"/>
  <c r="B407" i="12"/>
  <c r="F407" i="12" s="1" a="1"/>
  <c r="F407" i="12" s="1"/>
  <c r="C407" i="12"/>
  <c r="G407" i="12"/>
  <c r="K359" i="12"/>
  <c r="J359" i="12"/>
  <c r="I359" i="12"/>
  <c r="G359" i="12"/>
  <c r="C359" i="12"/>
  <c r="E359" i="12"/>
  <c r="B359" i="12"/>
  <c r="F359" i="12" s="1" a="1"/>
  <c r="F359" i="12" s="1"/>
  <c r="K299" i="12"/>
  <c r="J299" i="12"/>
  <c r="I299" i="12"/>
  <c r="G299" i="12"/>
  <c r="B299" i="12"/>
  <c r="F299" i="12" s="1" a="1"/>
  <c r="F299" i="12" s="1"/>
  <c r="C299" i="12"/>
  <c r="E299" i="12"/>
  <c r="K251" i="12"/>
  <c r="J251" i="12"/>
  <c r="I251" i="12"/>
  <c r="E251" i="12"/>
  <c r="G251" i="12"/>
  <c r="B251" i="12"/>
  <c r="F251" i="12" s="1" a="1"/>
  <c r="F251" i="12" s="1"/>
  <c r="C251" i="12"/>
  <c r="K239" i="12"/>
  <c r="J239" i="12"/>
  <c r="I239" i="12"/>
  <c r="G239" i="12"/>
  <c r="E239" i="12"/>
  <c r="C239" i="12"/>
  <c r="B239" i="12"/>
  <c r="F239" i="12" s="1" a="1"/>
  <c r="F239" i="12" s="1"/>
  <c r="K215" i="12"/>
  <c r="J215" i="12"/>
  <c r="I215" i="12"/>
  <c r="G215" i="12"/>
  <c r="E215" i="12"/>
  <c r="B215" i="12"/>
  <c r="F215" i="12" s="1" a="1"/>
  <c r="F215" i="12" s="1"/>
  <c r="C215" i="12"/>
  <c r="K179" i="12"/>
  <c r="J179" i="12"/>
  <c r="I179" i="12"/>
  <c r="G179" i="12"/>
  <c r="E179" i="12"/>
  <c r="B179" i="12"/>
  <c r="F179" i="12" s="1" a="1"/>
  <c r="F179" i="12" s="1"/>
  <c r="C179" i="12"/>
  <c r="K155" i="12"/>
  <c r="J155" i="12"/>
  <c r="I155" i="12"/>
  <c r="E155" i="12"/>
  <c r="G155" i="12"/>
  <c r="C155" i="12"/>
  <c r="B155" i="12"/>
  <c r="F155" i="12" s="1" a="1"/>
  <c r="F155" i="12" s="1"/>
  <c r="K143" i="12"/>
  <c r="J143" i="12"/>
  <c r="I143" i="12"/>
  <c r="G143" i="12"/>
  <c r="E143" i="12"/>
  <c r="C143" i="12"/>
  <c r="B143" i="12"/>
  <c r="F143" i="12" s="1" a="1"/>
  <c r="F143" i="12" s="1"/>
  <c r="K119" i="12"/>
  <c r="J119" i="12"/>
  <c r="I119" i="12"/>
  <c r="E119" i="12"/>
  <c r="G119" i="12"/>
  <c r="C119" i="12"/>
  <c r="B119" i="12"/>
  <c r="F119" i="12" s="1" a="1"/>
  <c r="F119" i="12" s="1"/>
  <c r="K107" i="12"/>
  <c r="J107" i="12"/>
  <c r="I107" i="12"/>
  <c r="G107" i="12"/>
  <c r="C107" i="12"/>
  <c r="B107" i="12"/>
  <c r="F107" i="12" s="1" a="1"/>
  <c r="F107" i="12" s="1"/>
  <c r="E107" i="12"/>
  <c r="K35" i="12"/>
  <c r="J35" i="12"/>
  <c r="I35" i="12"/>
  <c r="E35" i="12"/>
  <c r="G35" i="12"/>
  <c r="C35" i="12"/>
  <c r="B35" i="12"/>
  <c r="F35" i="12" s="1" a="1"/>
  <c r="F35" i="12" s="1"/>
  <c r="G418" i="12"/>
  <c r="J418" i="12"/>
  <c r="K418" i="12"/>
  <c r="C418" i="12"/>
  <c r="E418" i="12"/>
  <c r="I418" i="12"/>
  <c r="B418" i="12"/>
  <c r="F418" i="12" s="1" a="1"/>
  <c r="F418" i="12" s="1"/>
  <c r="G370" i="12"/>
  <c r="I370" i="12"/>
  <c r="E370" i="12"/>
  <c r="K370" i="12"/>
  <c r="J370" i="12"/>
  <c r="C370" i="12"/>
  <c r="B370" i="12"/>
  <c r="F370" i="12" s="1" a="1"/>
  <c r="F370" i="12" s="1"/>
  <c r="K334" i="12"/>
  <c r="G334" i="12"/>
  <c r="I334" i="12"/>
  <c r="E334" i="12"/>
  <c r="B334" i="12"/>
  <c r="F334" i="12" s="1" a="1"/>
  <c r="F334" i="12" s="1"/>
  <c r="J334" i="12"/>
  <c r="C334" i="12"/>
  <c r="K310" i="12"/>
  <c r="G310" i="12"/>
  <c r="J310" i="12"/>
  <c r="E310" i="12"/>
  <c r="C310" i="12"/>
  <c r="I310" i="12"/>
  <c r="B310" i="12"/>
  <c r="F310" i="12" s="1" a="1"/>
  <c r="F310" i="12" s="1"/>
  <c r="K274" i="12"/>
  <c r="G274" i="12"/>
  <c r="I274" i="12"/>
  <c r="J274" i="12"/>
  <c r="E274" i="12"/>
  <c r="C274" i="12"/>
  <c r="B274" i="12"/>
  <c r="F274" i="12" s="1" a="1"/>
  <c r="F274" i="12" s="1"/>
  <c r="G238" i="12"/>
  <c r="J238" i="12"/>
  <c r="E238" i="12"/>
  <c r="K238" i="12"/>
  <c r="C238" i="12"/>
  <c r="I238" i="12"/>
  <c r="B238" i="12"/>
  <c r="F238" i="12" s="1" a="1"/>
  <c r="F238" i="12" s="1"/>
  <c r="G214" i="12"/>
  <c r="J214" i="12"/>
  <c r="I214" i="12"/>
  <c r="K214" i="12"/>
  <c r="B214" i="12"/>
  <c r="F214" i="12" s="1" a="1"/>
  <c r="F214" i="12" s="1"/>
  <c r="C214" i="12"/>
  <c r="E214" i="12"/>
  <c r="G178" i="12"/>
  <c r="J178" i="12"/>
  <c r="I178" i="12"/>
  <c r="B178" i="12"/>
  <c r="F178" i="12" s="1" a="1"/>
  <c r="F178" i="12" s="1"/>
  <c r="K178" i="12"/>
  <c r="E178" i="12"/>
  <c r="C178" i="12"/>
  <c r="K166" i="12"/>
  <c r="G166" i="12"/>
  <c r="J166" i="12"/>
  <c r="B166" i="12"/>
  <c r="F166" i="12" s="1" a="1"/>
  <c r="F166" i="12" s="1"/>
  <c r="E166" i="12"/>
  <c r="C166" i="12"/>
  <c r="I166" i="12"/>
  <c r="K130" i="12"/>
  <c r="G130" i="12"/>
  <c r="I130" i="12"/>
  <c r="J130" i="12"/>
  <c r="B130" i="12"/>
  <c r="F130" i="12" s="1" a="1"/>
  <c r="F130" i="12" s="1"/>
  <c r="E130" i="12"/>
  <c r="C130" i="12"/>
  <c r="G94" i="12"/>
  <c r="J94" i="12"/>
  <c r="I94" i="12"/>
  <c r="E94" i="12"/>
  <c r="B94" i="12"/>
  <c r="F94" i="12" s="1" a="1"/>
  <c r="F94" i="12" s="1"/>
  <c r="K94" i="12"/>
  <c r="C94" i="12"/>
  <c r="J34" i="12"/>
  <c r="G34" i="12"/>
  <c r="K34" i="12"/>
  <c r="C34" i="12"/>
  <c r="E34" i="12"/>
  <c r="B34" i="12"/>
  <c r="F34" i="12" s="1" a="1"/>
  <c r="F34" i="12" s="1"/>
  <c r="I34" i="12"/>
  <c r="K393" i="12"/>
  <c r="I393" i="12"/>
  <c r="C393" i="12"/>
  <c r="B393" i="12"/>
  <c r="F393" i="12" s="1" a="1"/>
  <c r="F393" i="12" s="1"/>
  <c r="E393" i="12"/>
  <c r="J393" i="12"/>
  <c r="G393" i="12"/>
  <c r="J297" i="12"/>
  <c r="G297" i="12"/>
  <c r="K297" i="12"/>
  <c r="I297" i="12"/>
  <c r="B297" i="12"/>
  <c r="F297" i="12" s="1" a="1"/>
  <c r="F297" i="12" s="1"/>
  <c r="C297" i="12"/>
  <c r="E297" i="12"/>
  <c r="K404" i="12"/>
  <c r="J404" i="12"/>
  <c r="G404" i="12"/>
  <c r="B404" i="12"/>
  <c r="F404" i="12" s="1" a="1"/>
  <c r="F404" i="12" s="1"/>
  <c r="I404" i="12"/>
  <c r="E404" i="12"/>
  <c r="C404" i="12"/>
  <c r="K380" i="12"/>
  <c r="I380" i="12"/>
  <c r="J380" i="12"/>
  <c r="C380" i="12"/>
  <c r="G380" i="12"/>
  <c r="E380" i="12"/>
  <c r="B380" i="12"/>
  <c r="F380" i="12" s="1" a="1"/>
  <c r="F380" i="12" s="1"/>
  <c r="K368" i="12"/>
  <c r="G368" i="12"/>
  <c r="I368" i="12"/>
  <c r="J368" i="12"/>
  <c r="E368" i="12"/>
  <c r="B368" i="12"/>
  <c r="F368" i="12" s="1" a="1"/>
  <c r="F368" i="12" s="1"/>
  <c r="C368" i="12"/>
  <c r="K332" i="12"/>
  <c r="J332" i="12"/>
  <c r="G332" i="12"/>
  <c r="I332" i="12"/>
  <c r="E332" i="12"/>
  <c r="B332" i="12"/>
  <c r="F332" i="12" s="1" a="1"/>
  <c r="F332" i="12" s="1"/>
  <c r="C332" i="12"/>
  <c r="K308" i="12"/>
  <c r="I308" i="12"/>
  <c r="J308" i="12"/>
  <c r="E308" i="12"/>
  <c r="C308" i="12"/>
  <c r="B308" i="12"/>
  <c r="F308" i="12" s="1" a="1"/>
  <c r="F308" i="12" s="1"/>
  <c r="G308" i="12"/>
  <c r="K272" i="12"/>
  <c r="E272" i="12"/>
  <c r="B272" i="12"/>
  <c r="F272" i="12" s="1" a="1"/>
  <c r="F272" i="12" s="1"/>
  <c r="J272" i="12"/>
  <c r="I272" i="12"/>
  <c r="C272" i="12"/>
  <c r="G272" i="12"/>
  <c r="K248" i="12"/>
  <c r="J248" i="12"/>
  <c r="G248" i="12"/>
  <c r="I248" i="12"/>
  <c r="E248" i="12"/>
  <c r="B248" i="12"/>
  <c r="F248" i="12" s="1" a="1"/>
  <c r="F248" i="12" s="1"/>
  <c r="C248" i="12"/>
  <c r="K200" i="12"/>
  <c r="E200" i="12"/>
  <c r="G200" i="12"/>
  <c r="I200" i="12"/>
  <c r="J200" i="12"/>
  <c r="B200" i="12"/>
  <c r="F200" i="12" s="1" a="1"/>
  <c r="F200" i="12" s="1"/>
  <c r="C200" i="12"/>
  <c r="K188" i="12"/>
  <c r="E188" i="12"/>
  <c r="G188" i="12"/>
  <c r="I188" i="12"/>
  <c r="J188" i="12"/>
  <c r="C188" i="12"/>
  <c r="B188" i="12"/>
  <c r="F188" i="12" s="1" a="1"/>
  <c r="F188" i="12" s="1"/>
  <c r="K152" i="12"/>
  <c r="E152" i="12"/>
  <c r="I152" i="12"/>
  <c r="J152" i="12"/>
  <c r="B152" i="12"/>
  <c r="F152" i="12" s="1" a="1"/>
  <c r="F152" i="12" s="1"/>
  <c r="G152" i="12"/>
  <c r="C152" i="12"/>
  <c r="K140" i="12"/>
  <c r="E140" i="12"/>
  <c r="J140" i="12"/>
  <c r="G140" i="12"/>
  <c r="C140" i="12"/>
  <c r="I140" i="12"/>
  <c r="B140" i="12"/>
  <c r="F140" i="12" s="1" a="1"/>
  <c r="F140" i="12" s="1"/>
  <c r="K104" i="12"/>
  <c r="E104" i="12"/>
  <c r="J104" i="12"/>
  <c r="I104" i="12"/>
  <c r="G104" i="12"/>
  <c r="C104" i="12"/>
  <c r="B104" i="12"/>
  <c r="F104" i="12" s="1" a="1"/>
  <c r="F104" i="12" s="1"/>
  <c r="K92" i="12"/>
  <c r="E92" i="12"/>
  <c r="I92" i="12"/>
  <c r="J92" i="12"/>
  <c r="B92" i="12"/>
  <c r="F92" i="12" s="1" a="1"/>
  <c r="F92" i="12" s="1"/>
  <c r="C92" i="12"/>
  <c r="G92" i="12"/>
  <c r="K32" i="12"/>
  <c r="E32" i="12"/>
  <c r="I32" i="12"/>
  <c r="J32" i="12"/>
  <c r="G32" i="12"/>
  <c r="B32" i="12"/>
  <c r="F32" i="12" s="1" a="1"/>
  <c r="F32" i="12" s="1"/>
  <c r="C32" i="12"/>
  <c r="J427" i="12"/>
  <c r="I427" i="12"/>
  <c r="K427" i="12"/>
  <c r="G427" i="12"/>
  <c r="E427" i="12"/>
  <c r="B427" i="12"/>
  <c r="F427" i="12" s="1" a="1"/>
  <c r="F427" i="12" s="1"/>
  <c r="C427" i="12"/>
  <c r="J415" i="12"/>
  <c r="K415" i="12"/>
  <c r="G415" i="12"/>
  <c r="B415" i="12"/>
  <c r="F415" i="12" s="1" a="1"/>
  <c r="F415" i="12" s="1"/>
  <c r="E415" i="12"/>
  <c r="I415" i="12"/>
  <c r="C415" i="12"/>
  <c r="J391" i="12"/>
  <c r="K391" i="12"/>
  <c r="I391" i="12"/>
  <c r="G391" i="12"/>
  <c r="B391" i="12"/>
  <c r="F391" i="12" s="1" a="1"/>
  <c r="F391" i="12" s="1"/>
  <c r="C391" i="12"/>
  <c r="E391" i="12"/>
  <c r="J367" i="12"/>
  <c r="K367" i="12"/>
  <c r="I367" i="12"/>
  <c r="G367" i="12"/>
  <c r="C367" i="12"/>
  <c r="E367" i="12"/>
  <c r="B367" i="12"/>
  <c r="F367" i="12" s="1" a="1"/>
  <c r="F367" i="12" s="1"/>
  <c r="J343" i="12"/>
  <c r="E343" i="12"/>
  <c r="K343" i="12"/>
  <c r="B343" i="12"/>
  <c r="F343" i="12" s="1" a="1"/>
  <c r="F343" i="12" s="1"/>
  <c r="C343" i="12"/>
  <c r="I343" i="12"/>
  <c r="G343" i="12"/>
  <c r="J307" i="12"/>
  <c r="K307" i="12"/>
  <c r="I307" i="12"/>
  <c r="E307" i="12"/>
  <c r="G307" i="12"/>
  <c r="C307" i="12"/>
  <c r="B307" i="12"/>
  <c r="F307" i="12" s="1" a="1"/>
  <c r="F307" i="12" s="1"/>
  <c r="J271" i="12"/>
  <c r="K271" i="12"/>
  <c r="I271" i="12"/>
  <c r="B271" i="12"/>
  <c r="F271" i="12" s="1" a="1"/>
  <c r="F271" i="12" s="1"/>
  <c r="G271" i="12"/>
  <c r="C271" i="12"/>
  <c r="E271" i="12"/>
  <c r="J247" i="12"/>
  <c r="G247" i="12"/>
  <c r="I247" i="12"/>
  <c r="K247" i="12"/>
  <c r="E247" i="12"/>
  <c r="B247" i="12"/>
  <c r="F247" i="12" s="1" a="1"/>
  <c r="F247" i="12" s="1"/>
  <c r="C247" i="12"/>
  <c r="J199" i="12"/>
  <c r="I199" i="12"/>
  <c r="E199" i="12"/>
  <c r="G199" i="12"/>
  <c r="K199" i="12"/>
  <c r="B199" i="12"/>
  <c r="F199" i="12" s="1" a="1"/>
  <c r="F199" i="12" s="1"/>
  <c r="C199" i="12"/>
  <c r="J163" i="12"/>
  <c r="K163" i="12"/>
  <c r="I163" i="12"/>
  <c r="G163" i="12"/>
  <c r="B163" i="12"/>
  <c r="F163" i="12" s="1" a="1"/>
  <c r="F163" i="12" s="1"/>
  <c r="E163" i="12"/>
  <c r="C163" i="12"/>
  <c r="J67" i="12"/>
  <c r="K67" i="12"/>
  <c r="E67" i="12"/>
  <c r="B67" i="12"/>
  <c r="F67" i="12" s="1" a="1"/>
  <c r="F67" i="12" s="1"/>
  <c r="G67" i="12"/>
  <c r="I67" i="12"/>
  <c r="C67" i="12"/>
  <c r="I423" i="12"/>
  <c r="B423" i="12"/>
  <c r="F423" i="12" s="1" a="1"/>
  <c r="F423" i="12" s="1"/>
  <c r="G423" i="12"/>
  <c r="E423" i="12"/>
  <c r="J423" i="12"/>
  <c r="C423" i="12"/>
  <c r="K423" i="12"/>
  <c r="G411" i="12"/>
  <c r="I411" i="12"/>
  <c r="J411" i="12"/>
  <c r="K411" i="12"/>
  <c r="E411" i="12"/>
  <c r="B411" i="12"/>
  <c r="F411" i="12" s="1" a="1"/>
  <c r="F411" i="12" s="1"/>
  <c r="C411" i="12"/>
  <c r="K399" i="12"/>
  <c r="J399" i="12"/>
  <c r="C399" i="12"/>
  <c r="B399" i="12"/>
  <c r="F399" i="12" s="1" a="1"/>
  <c r="F399" i="12" s="1"/>
  <c r="I399" i="12"/>
  <c r="E399" i="12"/>
  <c r="G399" i="12"/>
  <c r="I387" i="12"/>
  <c r="J387" i="12"/>
  <c r="K387" i="12"/>
  <c r="G387" i="12"/>
  <c r="E387" i="12"/>
  <c r="B387" i="12"/>
  <c r="F387" i="12" s="1" a="1"/>
  <c r="F387" i="12" s="1"/>
  <c r="C387" i="12"/>
  <c r="K375" i="12"/>
  <c r="G375" i="12"/>
  <c r="J375" i="12"/>
  <c r="I375" i="12"/>
  <c r="E375" i="12"/>
  <c r="B375" i="12"/>
  <c r="F375" i="12" s="1" a="1"/>
  <c r="F375" i="12" s="1"/>
  <c r="C375" i="12"/>
  <c r="J363" i="12"/>
  <c r="K363" i="12"/>
  <c r="I363" i="12"/>
  <c r="G363" i="12"/>
  <c r="E363" i="12"/>
  <c r="B363" i="12"/>
  <c r="F363" i="12" s="1" a="1"/>
  <c r="F363" i="12" s="1"/>
  <c r="C363" i="12"/>
  <c r="K351" i="12"/>
  <c r="I351" i="12"/>
  <c r="G351" i="12"/>
  <c r="J351" i="12"/>
  <c r="E351" i="12"/>
  <c r="B351" i="12"/>
  <c r="F351" i="12" s="1" a="1"/>
  <c r="F351" i="12" s="1"/>
  <c r="C351" i="12"/>
  <c r="K339" i="12"/>
  <c r="J339" i="12"/>
  <c r="I339" i="12"/>
  <c r="E339" i="12"/>
  <c r="C339" i="12"/>
  <c r="G339" i="12"/>
  <c r="B339" i="12"/>
  <c r="F339" i="12" s="1" a="1"/>
  <c r="F339" i="12" s="1"/>
  <c r="B327" i="12"/>
  <c r="F327" i="12" s="1" a="1"/>
  <c r="F327" i="12" s="1"/>
  <c r="C327" i="12"/>
  <c r="G327" i="12"/>
  <c r="I327" i="12"/>
  <c r="K327" i="12"/>
  <c r="J327" i="12"/>
  <c r="E327" i="12"/>
  <c r="J315" i="12"/>
  <c r="I315" i="12"/>
  <c r="K315" i="12"/>
  <c r="G315" i="12"/>
  <c r="B315" i="12"/>
  <c r="F315" i="12" s="1" a="1"/>
  <c r="F315" i="12" s="1"/>
  <c r="E315" i="12"/>
  <c r="C315" i="12"/>
  <c r="I291" i="12"/>
  <c r="J291" i="12"/>
  <c r="K291" i="12"/>
  <c r="G291" i="12"/>
  <c r="C291" i="12"/>
  <c r="E291" i="12"/>
  <c r="B291" i="12"/>
  <c r="F291" i="12" s="1" a="1"/>
  <c r="F291" i="12" s="1"/>
  <c r="J279" i="12"/>
  <c r="G279" i="12"/>
  <c r="I279" i="12"/>
  <c r="B279" i="12"/>
  <c r="F279" i="12" s="1" a="1"/>
  <c r="F279" i="12" s="1"/>
  <c r="E279" i="12"/>
  <c r="C279" i="12"/>
  <c r="K279" i="12"/>
  <c r="K267" i="12"/>
  <c r="J267" i="12"/>
  <c r="G267" i="12"/>
  <c r="I267" i="12"/>
  <c r="B267" i="12"/>
  <c r="F267" i="12" s="1" a="1"/>
  <c r="F267" i="12" s="1"/>
  <c r="E267" i="12"/>
  <c r="C267" i="12"/>
  <c r="K255" i="12"/>
  <c r="G255" i="12"/>
  <c r="B255" i="12"/>
  <c r="F255" i="12" s="1" a="1"/>
  <c r="F255" i="12" s="1"/>
  <c r="E255" i="12"/>
  <c r="J255" i="12"/>
  <c r="C255" i="12"/>
  <c r="I255" i="12"/>
  <c r="J243" i="12"/>
  <c r="I243" i="12"/>
  <c r="G243" i="12"/>
  <c r="C243" i="12"/>
  <c r="K243" i="12"/>
  <c r="E243" i="12"/>
  <c r="B243" i="12"/>
  <c r="F243" i="12" s="1" a="1"/>
  <c r="F243" i="12" s="1"/>
  <c r="K231" i="12"/>
  <c r="G231" i="12"/>
  <c r="I231" i="12"/>
  <c r="B231" i="12"/>
  <c r="F231" i="12" s="1" a="1"/>
  <c r="F231" i="12" s="1"/>
  <c r="J231" i="12"/>
  <c r="E231" i="12"/>
  <c r="C231" i="12"/>
  <c r="K219" i="12"/>
  <c r="I219" i="12"/>
  <c r="J219" i="12"/>
  <c r="E219" i="12"/>
  <c r="G219" i="12"/>
  <c r="B219" i="12"/>
  <c r="F219" i="12" s="1" a="1"/>
  <c r="F219" i="12" s="1"/>
  <c r="C219" i="12"/>
  <c r="J207" i="12"/>
  <c r="K207" i="12"/>
  <c r="G207" i="12"/>
  <c r="C207" i="12"/>
  <c r="B207" i="12"/>
  <c r="F207" i="12" s="1" a="1"/>
  <c r="F207" i="12" s="1"/>
  <c r="I207" i="12"/>
  <c r="E207" i="12"/>
  <c r="K195" i="12"/>
  <c r="J195" i="12"/>
  <c r="G195" i="12"/>
  <c r="C195" i="12"/>
  <c r="E195" i="12"/>
  <c r="B195" i="12"/>
  <c r="F195" i="12" s="1" a="1"/>
  <c r="F195" i="12" s="1"/>
  <c r="I195" i="12"/>
  <c r="K183" i="12"/>
  <c r="E183" i="12"/>
  <c r="B183" i="12"/>
  <c r="F183" i="12" s="1" a="1"/>
  <c r="F183" i="12" s="1"/>
  <c r="J183" i="12"/>
  <c r="C183" i="12"/>
  <c r="I183" i="12"/>
  <c r="G183" i="12"/>
  <c r="K171" i="12"/>
  <c r="E171" i="12"/>
  <c r="I171" i="12"/>
  <c r="J171" i="12"/>
  <c r="B171" i="12"/>
  <c r="F171" i="12" s="1" a="1"/>
  <c r="F171" i="12" s="1"/>
  <c r="C171" i="12"/>
  <c r="G171" i="12"/>
  <c r="J159" i="12"/>
  <c r="K159" i="12"/>
  <c r="G159" i="12"/>
  <c r="C159" i="12"/>
  <c r="B159" i="12"/>
  <c r="F159" i="12" s="1" a="1"/>
  <c r="F159" i="12" s="1"/>
  <c r="E159" i="12"/>
  <c r="I159" i="12"/>
  <c r="K147" i="12"/>
  <c r="J147" i="12"/>
  <c r="G147" i="12"/>
  <c r="B147" i="12"/>
  <c r="F147" i="12" s="1" a="1"/>
  <c r="F147" i="12" s="1"/>
  <c r="E147" i="12"/>
  <c r="I147" i="12"/>
  <c r="C147" i="12"/>
  <c r="I135" i="12"/>
  <c r="J135" i="12"/>
  <c r="G135" i="12"/>
  <c r="K135" i="12"/>
  <c r="E135" i="12"/>
  <c r="B135" i="12"/>
  <c r="F135" i="12" s="1" a="1"/>
  <c r="F135" i="12" s="1"/>
  <c r="C135" i="12"/>
  <c r="K123" i="12"/>
  <c r="I123" i="12"/>
  <c r="G123" i="12"/>
  <c r="E123" i="12"/>
  <c r="J123" i="12"/>
  <c r="C123" i="12"/>
  <c r="B123" i="12"/>
  <c r="F123" i="12" s="1" a="1"/>
  <c r="F123" i="12" s="1"/>
  <c r="K111" i="12"/>
  <c r="I111" i="12"/>
  <c r="J111" i="12"/>
  <c r="G111" i="12"/>
  <c r="E111" i="12"/>
  <c r="B111" i="12"/>
  <c r="F111" i="12" s="1" a="1"/>
  <c r="F111" i="12" s="1"/>
  <c r="C111" i="12"/>
  <c r="I99" i="12"/>
  <c r="G99" i="12"/>
  <c r="B99" i="12"/>
  <c r="F99" i="12" s="1" a="1"/>
  <c r="F99" i="12" s="1"/>
  <c r="K99" i="12"/>
  <c r="E99" i="12"/>
  <c r="C99" i="12"/>
  <c r="J99" i="12"/>
  <c r="K87" i="12"/>
  <c r="I87" i="12"/>
  <c r="J87" i="12"/>
  <c r="E87" i="12"/>
  <c r="C87" i="12"/>
  <c r="B87" i="12"/>
  <c r="F87" i="12" s="1" a="1"/>
  <c r="F87" i="12" s="1"/>
  <c r="G87" i="12"/>
  <c r="I75" i="12"/>
  <c r="J75" i="12"/>
  <c r="G75" i="12"/>
  <c r="K75" i="12"/>
  <c r="E75" i="12"/>
  <c r="B75" i="12"/>
  <c r="F75" i="12" s="1" a="1"/>
  <c r="F75" i="12" s="1"/>
  <c r="C75" i="12"/>
  <c r="J63" i="12"/>
  <c r="I63" i="12"/>
  <c r="K63" i="12"/>
  <c r="G63" i="12"/>
  <c r="E63" i="12"/>
  <c r="B63" i="12"/>
  <c r="F63" i="12" s="1" a="1"/>
  <c r="F63" i="12" s="1"/>
  <c r="C63" i="12"/>
  <c r="K51" i="12"/>
  <c r="G51" i="12"/>
  <c r="J51" i="12"/>
  <c r="I51" i="12"/>
  <c r="C51" i="12"/>
  <c r="B51" i="12"/>
  <c r="F51" i="12" s="1" a="1"/>
  <c r="F51" i="12" s="1"/>
  <c r="E51" i="12"/>
  <c r="B39" i="12"/>
  <c r="F39" i="12" s="1" a="1"/>
  <c r="F39" i="12" s="1"/>
  <c r="I39" i="12"/>
  <c r="C39" i="12"/>
  <c r="E39" i="12"/>
  <c r="G39" i="12"/>
  <c r="K39" i="12"/>
  <c r="J39" i="12"/>
  <c r="J27" i="12"/>
  <c r="K27" i="12"/>
  <c r="E27" i="12"/>
  <c r="G27" i="12"/>
  <c r="B27" i="12"/>
  <c r="F27" i="12" s="1" a="1"/>
  <c r="F27" i="12" s="1"/>
  <c r="I27" i="12"/>
  <c r="C27" i="12"/>
  <c r="K422" i="12"/>
  <c r="J422" i="12"/>
  <c r="G422" i="12"/>
  <c r="B422" i="12"/>
  <c r="F422" i="12" s="1" a="1"/>
  <c r="F422" i="12" s="1"/>
  <c r="E422" i="12"/>
  <c r="C422" i="12"/>
  <c r="I422" i="12"/>
  <c r="K410" i="12"/>
  <c r="J410" i="12"/>
  <c r="I410" i="12"/>
  <c r="G410" i="12"/>
  <c r="B410" i="12"/>
  <c r="F410" i="12" s="1" a="1"/>
  <c r="F410" i="12" s="1"/>
  <c r="C410" i="12"/>
  <c r="E410" i="12"/>
  <c r="K398" i="12"/>
  <c r="J398" i="12"/>
  <c r="G398" i="12"/>
  <c r="I398" i="12"/>
  <c r="E398" i="12"/>
  <c r="C398" i="12"/>
  <c r="B398" i="12"/>
  <c r="F398" i="12" s="1" a="1"/>
  <c r="F398" i="12" s="1"/>
  <c r="K386" i="12"/>
  <c r="J386" i="12"/>
  <c r="I386" i="12"/>
  <c r="G386" i="12"/>
  <c r="E386" i="12"/>
  <c r="B386" i="12"/>
  <c r="F386" i="12" s="1" a="1"/>
  <c r="F386" i="12" s="1"/>
  <c r="C386" i="12"/>
  <c r="K374" i="12"/>
  <c r="I374" i="12"/>
  <c r="J374" i="12"/>
  <c r="E374" i="12"/>
  <c r="G374" i="12"/>
  <c r="B374" i="12"/>
  <c r="F374" i="12" s="1" a="1"/>
  <c r="F374" i="12" s="1"/>
  <c r="C374" i="12"/>
  <c r="K362" i="12"/>
  <c r="J362" i="12"/>
  <c r="I362" i="12"/>
  <c r="E362" i="12"/>
  <c r="B362" i="12"/>
  <c r="F362" i="12" s="1" a="1"/>
  <c r="F362" i="12" s="1"/>
  <c r="G362" i="12"/>
  <c r="C362" i="12"/>
  <c r="K350" i="12"/>
  <c r="J350" i="12"/>
  <c r="I350" i="12"/>
  <c r="G350" i="12"/>
  <c r="E350" i="12"/>
  <c r="B350" i="12"/>
  <c r="F350" i="12" s="1" a="1"/>
  <c r="F350" i="12" s="1"/>
  <c r="C350" i="12"/>
  <c r="K338" i="12"/>
  <c r="G338" i="12"/>
  <c r="B338" i="12"/>
  <c r="F338" i="12" s="1" a="1"/>
  <c r="F338" i="12" s="1"/>
  <c r="J338" i="12"/>
  <c r="E338" i="12"/>
  <c r="I338" i="12"/>
  <c r="C338" i="12"/>
  <c r="K326" i="12"/>
  <c r="J326" i="12"/>
  <c r="G326" i="12"/>
  <c r="I326" i="12"/>
  <c r="C326" i="12"/>
  <c r="B326" i="12"/>
  <c r="F326" i="12" s="1" a="1"/>
  <c r="F326" i="12" s="1"/>
  <c r="E326" i="12"/>
  <c r="K314" i="12"/>
  <c r="J314" i="12"/>
  <c r="B314" i="12"/>
  <c r="F314" i="12" s="1" a="1"/>
  <c r="F314" i="12" s="1"/>
  <c r="I314" i="12"/>
  <c r="C314" i="12"/>
  <c r="G314" i="12"/>
  <c r="E314" i="12"/>
  <c r="K302" i="12"/>
  <c r="J302" i="12"/>
  <c r="I302" i="12"/>
  <c r="G302" i="12"/>
  <c r="E302" i="12"/>
  <c r="B302" i="12"/>
  <c r="F302" i="12" s="1" a="1"/>
  <c r="F302" i="12" s="1"/>
  <c r="C302" i="12"/>
  <c r="K290" i="12"/>
  <c r="J290" i="12"/>
  <c r="E290" i="12"/>
  <c r="I290" i="12"/>
  <c r="G290" i="12"/>
  <c r="C290" i="12"/>
  <c r="B290" i="12"/>
  <c r="F290" i="12" s="1" a="1"/>
  <c r="F290" i="12" s="1"/>
  <c r="K278" i="12"/>
  <c r="J278" i="12"/>
  <c r="E278" i="12"/>
  <c r="I278" i="12"/>
  <c r="B278" i="12"/>
  <c r="F278" i="12" s="1" a="1"/>
  <c r="F278" i="12" s="1"/>
  <c r="C278" i="12"/>
  <c r="G278" i="12"/>
  <c r="K266" i="12"/>
  <c r="I266" i="12"/>
  <c r="J266" i="12"/>
  <c r="G266" i="12"/>
  <c r="E266" i="12"/>
  <c r="B266" i="12"/>
  <c r="F266" i="12" s="1" a="1"/>
  <c r="F266" i="12" s="1"/>
  <c r="C266" i="12"/>
  <c r="K254" i="12"/>
  <c r="J254" i="12"/>
  <c r="G254" i="12"/>
  <c r="I254" i="12"/>
  <c r="B254" i="12"/>
  <c r="F254" i="12" s="1" a="1"/>
  <c r="F254" i="12" s="1"/>
  <c r="C254" i="12"/>
  <c r="E254" i="12"/>
  <c r="K242" i="12"/>
  <c r="J242" i="12"/>
  <c r="B242" i="12"/>
  <c r="F242" i="12" s="1" a="1"/>
  <c r="F242" i="12" s="1"/>
  <c r="C242" i="12"/>
  <c r="G242" i="12"/>
  <c r="E242" i="12"/>
  <c r="I242" i="12"/>
  <c r="K230" i="12"/>
  <c r="J230" i="12"/>
  <c r="I230" i="12"/>
  <c r="G230" i="12"/>
  <c r="E230" i="12"/>
  <c r="C230" i="12"/>
  <c r="B230" i="12"/>
  <c r="F230" i="12" s="1" a="1"/>
  <c r="F230" i="12" s="1"/>
  <c r="K218" i="12"/>
  <c r="J218" i="12"/>
  <c r="E218" i="12"/>
  <c r="G218" i="12"/>
  <c r="B218" i="12"/>
  <c r="F218" i="12" s="1" a="1"/>
  <c r="F218" i="12" s="1"/>
  <c r="I218" i="12"/>
  <c r="C218" i="12"/>
  <c r="K206" i="12"/>
  <c r="I206" i="12"/>
  <c r="J206" i="12"/>
  <c r="G206" i="12"/>
  <c r="E206" i="12"/>
  <c r="C206" i="12"/>
  <c r="B206" i="12"/>
  <c r="F206" i="12" s="1" a="1"/>
  <c r="F206" i="12" s="1"/>
  <c r="K194" i="12"/>
  <c r="J194" i="12"/>
  <c r="I194" i="12"/>
  <c r="G194" i="12"/>
  <c r="E194" i="12"/>
  <c r="B194" i="12"/>
  <c r="F194" i="12" s="1" a="1"/>
  <c r="F194" i="12" s="1"/>
  <c r="C194" i="12"/>
  <c r="K182" i="12"/>
  <c r="J182" i="12"/>
  <c r="G182" i="12"/>
  <c r="E182" i="12"/>
  <c r="B182" i="12"/>
  <c r="F182" i="12" s="1" a="1"/>
  <c r="F182" i="12" s="1"/>
  <c r="I182" i="12"/>
  <c r="C182" i="12"/>
  <c r="K170" i="12"/>
  <c r="I170" i="12"/>
  <c r="G170" i="12"/>
  <c r="B170" i="12"/>
  <c r="F170" i="12" s="1" a="1"/>
  <c r="F170" i="12" s="1"/>
  <c r="C170" i="12"/>
  <c r="J170" i="12"/>
  <c r="E170" i="12"/>
  <c r="K158" i="12"/>
  <c r="I158" i="12"/>
  <c r="E158" i="12"/>
  <c r="J158" i="12"/>
  <c r="G158" i="12"/>
  <c r="C158" i="12"/>
  <c r="B158" i="12"/>
  <c r="F158" i="12" s="1" a="1"/>
  <c r="F158" i="12" s="1"/>
  <c r="K146" i="12"/>
  <c r="J146" i="12"/>
  <c r="I146" i="12"/>
  <c r="E146" i="12"/>
  <c r="G146" i="12"/>
  <c r="C146" i="12"/>
  <c r="B146" i="12"/>
  <c r="F146" i="12" s="1" a="1"/>
  <c r="F146" i="12" s="1"/>
  <c r="K134" i="12"/>
  <c r="I134" i="12"/>
  <c r="J134" i="12"/>
  <c r="C134" i="12"/>
  <c r="G134" i="12"/>
  <c r="B134" i="12"/>
  <c r="F134" i="12" s="1" a="1"/>
  <c r="F134" i="12" s="1"/>
  <c r="E134" i="12"/>
  <c r="K122" i="12"/>
  <c r="I122" i="12"/>
  <c r="G122" i="12"/>
  <c r="J122" i="12"/>
  <c r="C122" i="12"/>
  <c r="E122" i="12"/>
  <c r="B122" i="12"/>
  <c r="F122" i="12" s="1" a="1"/>
  <c r="F122" i="12" s="1"/>
  <c r="K110" i="12"/>
  <c r="J110" i="12"/>
  <c r="G110" i="12"/>
  <c r="E110" i="12"/>
  <c r="B110" i="12"/>
  <c r="F110" i="12" s="1" a="1"/>
  <c r="F110" i="12" s="1"/>
  <c r="C110" i="12"/>
  <c r="I110" i="12"/>
  <c r="K98" i="12"/>
  <c r="J98" i="12"/>
  <c r="E98" i="12"/>
  <c r="I98" i="12"/>
  <c r="G98" i="12"/>
  <c r="C98" i="12"/>
  <c r="B98" i="12"/>
  <c r="F98" i="12" s="1" a="1"/>
  <c r="F98" i="12" s="1"/>
  <c r="K86" i="12"/>
  <c r="J86" i="12"/>
  <c r="E86" i="12"/>
  <c r="C86" i="12"/>
  <c r="B86" i="12"/>
  <c r="F86" i="12" s="1" a="1"/>
  <c r="F86" i="12" s="1"/>
  <c r="G86" i="12"/>
  <c r="I86" i="12"/>
  <c r="K74" i="12"/>
  <c r="J74" i="12"/>
  <c r="I74" i="12"/>
  <c r="E74" i="12"/>
  <c r="G74" i="12"/>
  <c r="B74" i="12"/>
  <c r="F74" i="12" s="1" a="1"/>
  <c r="F74" i="12" s="1"/>
  <c r="C74" i="12"/>
  <c r="K62" i="12"/>
  <c r="I62" i="12"/>
  <c r="G62" i="12"/>
  <c r="J62" i="12"/>
  <c r="E62" i="12"/>
  <c r="B62" i="12"/>
  <c r="F62" i="12" s="1" a="1"/>
  <c r="F62" i="12" s="1"/>
  <c r="C62" i="12"/>
  <c r="K50" i="12"/>
  <c r="J50" i="12"/>
  <c r="I50" i="12"/>
  <c r="E50" i="12"/>
  <c r="C50" i="12"/>
  <c r="B50" i="12"/>
  <c r="F50" i="12" s="1" a="1"/>
  <c r="F50" i="12" s="1"/>
  <c r="G50" i="12"/>
  <c r="K38" i="12"/>
  <c r="G38" i="12"/>
  <c r="J38" i="12"/>
  <c r="C38" i="12"/>
  <c r="E38" i="12"/>
  <c r="I38" i="12"/>
  <c r="B38" i="12"/>
  <c r="F38" i="12" s="1" a="1"/>
  <c r="F38" i="12" s="1"/>
  <c r="K372" i="12"/>
  <c r="J372" i="12"/>
  <c r="G372" i="12"/>
  <c r="I372" i="12"/>
  <c r="B372" i="12"/>
  <c r="F372" i="12" s="1" a="1"/>
  <c r="F372" i="12" s="1"/>
  <c r="C372" i="12"/>
  <c r="E372" i="12"/>
  <c r="K312" i="12"/>
  <c r="J312" i="12"/>
  <c r="G312" i="12"/>
  <c r="I312" i="12"/>
  <c r="E312" i="12"/>
  <c r="B312" i="12"/>
  <c r="F312" i="12" s="1" a="1"/>
  <c r="F312" i="12" s="1"/>
  <c r="C312" i="12"/>
  <c r="K240" i="12"/>
  <c r="J240" i="12"/>
  <c r="I240" i="12"/>
  <c r="G240" i="12"/>
  <c r="B240" i="12"/>
  <c r="F240" i="12" s="1" a="1"/>
  <c r="F240" i="12" s="1"/>
  <c r="E240" i="12"/>
  <c r="C240" i="12"/>
  <c r="K192" i="12"/>
  <c r="G192" i="12"/>
  <c r="I192" i="12"/>
  <c r="E192" i="12"/>
  <c r="B192" i="12"/>
  <c r="F192" i="12" s="1" a="1"/>
  <c r="F192" i="12" s="1"/>
  <c r="C192" i="12"/>
  <c r="J192" i="12"/>
  <c r="K156" i="12"/>
  <c r="G156" i="12"/>
  <c r="J156" i="12"/>
  <c r="I156" i="12"/>
  <c r="B156" i="12"/>
  <c r="F156" i="12" s="1" a="1"/>
  <c r="F156" i="12" s="1"/>
  <c r="C156" i="12"/>
  <c r="E156" i="12"/>
  <c r="K120" i="12"/>
  <c r="G120" i="12"/>
  <c r="C120" i="12"/>
  <c r="I120" i="12"/>
  <c r="E120" i="12"/>
  <c r="B120" i="12"/>
  <c r="F120" i="12" s="1" a="1"/>
  <c r="F120" i="12" s="1"/>
  <c r="J120" i="12"/>
  <c r="K72" i="12"/>
  <c r="I72" i="12"/>
  <c r="J72" i="12"/>
  <c r="C72" i="12"/>
  <c r="G72" i="12"/>
  <c r="B72" i="12"/>
  <c r="F72" i="12" s="1" a="1"/>
  <c r="F72" i="12" s="1"/>
  <c r="E72" i="12"/>
  <c r="K48" i="12"/>
  <c r="I48" i="12"/>
  <c r="E48" i="12"/>
  <c r="B48" i="12"/>
  <c r="F48" i="12" s="1" a="1"/>
  <c r="F48" i="12" s="1"/>
  <c r="G48" i="12"/>
  <c r="J48" i="12"/>
  <c r="C48" i="12"/>
  <c r="K383" i="12"/>
  <c r="J383" i="12"/>
  <c r="I383" i="12"/>
  <c r="G383" i="12"/>
  <c r="E383" i="12"/>
  <c r="B383" i="12"/>
  <c r="F383" i="12" s="1" a="1"/>
  <c r="F383" i="12" s="1"/>
  <c r="C383" i="12"/>
  <c r="K311" i="12"/>
  <c r="J311" i="12"/>
  <c r="I311" i="12"/>
  <c r="G311" i="12"/>
  <c r="E311" i="12"/>
  <c r="C311" i="12"/>
  <c r="B311" i="12"/>
  <c r="F311" i="12" s="1" a="1"/>
  <c r="F311" i="12" s="1"/>
  <c r="K191" i="12"/>
  <c r="J191" i="12"/>
  <c r="I191" i="12"/>
  <c r="E191" i="12"/>
  <c r="B191" i="12"/>
  <c r="F191" i="12" s="1" a="1"/>
  <c r="F191" i="12" s="1"/>
  <c r="C191" i="12"/>
  <c r="G191" i="12"/>
  <c r="K59" i="12"/>
  <c r="J59" i="12"/>
  <c r="E59" i="12"/>
  <c r="B59" i="12"/>
  <c r="F59" i="12" s="1" a="1"/>
  <c r="F59" i="12" s="1"/>
  <c r="G59" i="12"/>
  <c r="I59" i="12"/>
  <c r="C59" i="12"/>
  <c r="K406" i="12"/>
  <c r="G406" i="12"/>
  <c r="J406" i="12"/>
  <c r="I406" i="12"/>
  <c r="E406" i="12"/>
  <c r="C406" i="12"/>
  <c r="B406" i="12"/>
  <c r="F406" i="12" s="1" a="1"/>
  <c r="F406" i="12" s="1"/>
  <c r="K345" i="12"/>
  <c r="J345" i="12"/>
  <c r="G345" i="12"/>
  <c r="I345" i="12"/>
  <c r="C345" i="12"/>
  <c r="E345" i="12"/>
  <c r="B345" i="12"/>
  <c r="F345" i="12" s="1" a="1"/>
  <c r="F345" i="12" s="1"/>
  <c r="K249" i="12"/>
  <c r="I249" i="12"/>
  <c r="B249" i="12"/>
  <c r="F249" i="12" s="1" a="1"/>
  <c r="F249" i="12" s="1"/>
  <c r="J249" i="12"/>
  <c r="G249" i="12"/>
  <c r="E249" i="12"/>
  <c r="C249" i="12"/>
  <c r="I201" i="12"/>
  <c r="G201" i="12"/>
  <c r="J201" i="12"/>
  <c r="E201" i="12"/>
  <c r="B201" i="12"/>
  <c r="F201" i="12" s="1" a="1"/>
  <c r="F201" i="12" s="1"/>
  <c r="K201" i="12"/>
  <c r="C201" i="12"/>
  <c r="K141" i="12"/>
  <c r="E141" i="12"/>
  <c r="J141" i="12"/>
  <c r="C141" i="12"/>
  <c r="I141" i="12"/>
  <c r="G141" i="12"/>
  <c r="B141" i="12"/>
  <c r="F141" i="12" s="1" a="1"/>
  <c r="F141" i="12" s="1"/>
  <c r="I57" i="12"/>
  <c r="J57" i="12"/>
  <c r="G57" i="12"/>
  <c r="B57" i="12"/>
  <c r="F57" i="12" s="1" a="1"/>
  <c r="F57" i="12" s="1"/>
  <c r="K57" i="12"/>
  <c r="C57" i="12"/>
  <c r="E57" i="12"/>
  <c r="K356" i="12"/>
  <c r="E356" i="12"/>
  <c r="B356" i="12"/>
  <c r="F356" i="12" s="1" a="1"/>
  <c r="F356" i="12" s="1"/>
  <c r="G356" i="12"/>
  <c r="C356" i="12"/>
  <c r="I356" i="12"/>
  <c r="J356" i="12"/>
  <c r="K284" i="12"/>
  <c r="I284" i="12"/>
  <c r="J284" i="12"/>
  <c r="G284" i="12"/>
  <c r="B284" i="12"/>
  <c r="F284" i="12" s="1" a="1"/>
  <c r="F284" i="12" s="1"/>
  <c r="E284" i="12"/>
  <c r="C284" i="12"/>
  <c r="K224" i="12"/>
  <c r="J224" i="12"/>
  <c r="I224" i="12"/>
  <c r="G224" i="12"/>
  <c r="C224" i="12"/>
  <c r="E224" i="12"/>
  <c r="B224" i="12"/>
  <c r="F224" i="12" s="1" a="1"/>
  <c r="F224" i="12" s="1"/>
  <c r="K164" i="12"/>
  <c r="E164" i="12"/>
  <c r="J164" i="12"/>
  <c r="G164" i="12"/>
  <c r="B164" i="12"/>
  <c r="F164" i="12" s="1" a="1"/>
  <c r="F164" i="12" s="1"/>
  <c r="C164" i="12"/>
  <c r="I164" i="12"/>
  <c r="K116" i="12"/>
  <c r="I116" i="12"/>
  <c r="E116" i="12"/>
  <c r="G116" i="12"/>
  <c r="B116" i="12"/>
  <c r="F116" i="12" s="1" a="1"/>
  <c r="F116" i="12" s="1"/>
  <c r="C116" i="12"/>
  <c r="J116" i="12"/>
  <c r="K56" i="12"/>
  <c r="E56" i="12"/>
  <c r="J56" i="12"/>
  <c r="I56" i="12"/>
  <c r="C56" i="12"/>
  <c r="G56" i="12"/>
  <c r="B56" i="12"/>
  <c r="F56" i="12" s="1" a="1"/>
  <c r="F56" i="12" s="1"/>
  <c r="J403" i="12"/>
  <c r="G403" i="12"/>
  <c r="K403" i="12"/>
  <c r="I403" i="12"/>
  <c r="C403" i="12"/>
  <c r="E403" i="12"/>
  <c r="B403" i="12"/>
  <c r="F403" i="12" s="1" a="1"/>
  <c r="F403" i="12" s="1"/>
  <c r="J331" i="12"/>
  <c r="K331" i="12"/>
  <c r="G331" i="12"/>
  <c r="I331" i="12"/>
  <c r="E331" i="12"/>
  <c r="B331" i="12"/>
  <c r="F331" i="12" s="1" a="1"/>
  <c r="F331" i="12" s="1"/>
  <c r="C331" i="12"/>
  <c r="J223" i="12"/>
  <c r="K223" i="12"/>
  <c r="I223" i="12"/>
  <c r="B223" i="12"/>
  <c r="F223" i="12" s="1" a="1"/>
  <c r="F223" i="12" s="1"/>
  <c r="C223" i="12"/>
  <c r="E223" i="12"/>
  <c r="G223" i="12"/>
  <c r="J91" i="12"/>
  <c r="G91" i="12"/>
  <c r="K91" i="12"/>
  <c r="B91" i="12"/>
  <c r="F91" i="12" s="1" a="1"/>
  <c r="F91" i="12" s="1"/>
  <c r="E91" i="12"/>
  <c r="C91" i="12"/>
  <c r="I91" i="12"/>
  <c r="G303" i="12"/>
  <c r="E303" i="12"/>
  <c r="J303" i="12"/>
  <c r="B303" i="12"/>
  <c r="F303" i="12" s="1" a="1"/>
  <c r="F303" i="12" s="1"/>
  <c r="I303" i="12"/>
  <c r="C303" i="12"/>
  <c r="K303" i="12"/>
  <c r="K421" i="12"/>
  <c r="J421" i="12"/>
  <c r="E421" i="12"/>
  <c r="G421" i="12"/>
  <c r="I421" i="12"/>
  <c r="B421" i="12"/>
  <c r="F421" i="12" s="1" a="1"/>
  <c r="F421" i="12" s="1"/>
  <c r="C421" i="12"/>
  <c r="J409" i="12"/>
  <c r="K409" i="12"/>
  <c r="I409" i="12"/>
  <c r="B409" i="12"/>
  <c r="F409" i="12" s="1" a="1"/>
  <c r="F409" i="12" s="1"/>
  <c r="C409" i="12"/>
  <c r="E409" i="12"/>
  <c r="G409" i="12"/>
  <c r="J397" i="12"/>
  <c r="G397" i="12"/>
  <c r="K397" i="12"/>
  <c r="E397" i="12"/>
  <c r="I397" i="12"/>
  <c r="B397" i="12"/>
  <c r="F397" i="12" s="1" a="1"/>
  <c r="F397" i="12" s="1"/>
  <c r="C397" i="12"/>
  <c r="K385" i="12"/>
  <c r="J385" i="12"/>
  <c r="G385" i="12"/>
  <c r="C385" i="12"/>
  <c r="I385" i="12"/>
  <c r="B385" i="12"/>
  <c r="F385" i="12" s="1" a="1"/>
  <c r="F385" i="12" s="1"/>
  <c r="E385" i="12"/>
  <c r="K373" i="12"/>
  <c r="I373" i="12"/>
  <c r="J373" i="12"/>
  <c r="G373" i="12"/>
  <c r="B373" i="12"/>
  <c r="F373" i="12" s="1" a="1"/>
  <c r="F373" i="12" s="1"/>
  <c r="E373" i="12"/>
  <c r="C373" i="12"/>
  <c r="K361" i="12"/>
  <c r="I361" i="12"/>
  <c r="J361" i="12"/>
  <c r="G361" i="12"/>
  <c r="B361" i="12"/>
  <c r="F361" i="12" s="1" a="1"/>
  <c r="F361" i="12" s="1"/>
  <c r="C361" i="12"/>
  <c r="E361" i="12"/>
  <c r="K349" i="12"/>
  <c r="I349" i="12"/>
  <c r="J349" i="12"/>
  <c r="E349" i="12"/>
  <c r="B349" i="12"/>
  <c r="F349" i="12" s="1" a="1"/>
  <c r="F349" i="12" s="1"/>
  <c r="C349" i="12"/>
  <c r="G349" i="12"/>
  <c r="K337" i="12"/>
  <c r="J337" i="12"/>
  <c r="G337" i="12"/>
  <c r="B337" i="12"/>
  <c r="F337" i="12" s="1" a="1"/>
  <c r="F337" i="12" s="1"/>
  <c r="E337" i="12"/>
  <c r="I337" i="12"/>
  <c r="C337" i="12"/>
  <c r="K325" i="12"/>
  <c r="J325" i="12"/>
  <c r="B325" i="12"/>
  <c r="F325" i="12" s="1" a="1"/>
  <c r="F325" i="12" s="1"/>
  <c r="E325" i="12"/>
  <c r="C325" i="12"/>
  <c r="G325" i="12"/>
  <c r="I325" i="12"/>
  <c r="K313" i="12"/>
  <c r="J313" i="12"/>
  <c r="I313" i="12"/>
  <c r="B313" i="12"/>
  <c r="F313" i="12" s="1" a="1"/>
  <c r="F313" i="12" s="1"/>
  <c r="C313" i="12"/>
  <c r="E313" i="12"/>
  <c r="G313" i="12"/>
  <c r="K301" i="12"/>
  <c r="I301" i="12"/>
  <c r="B301" i="12"/>
  <c r="F301" i="12" s="1" a="1"/>
  <c r="F301" i="12" s="1"/>
  <c r="G301" i="12"/>
  <c r="C301" i="12"/>
  <c r="J301" i="12"/>
  <c r="E301" i="12"/>
  <c r="K289" i="12"/>
  <c r="J289" i="12"/>
  <c r="G289" i="12"/>
  <c r="I289" i="12"/>
  <c r="E289" i="12"/>
  <c r="B289" i="12"/>
  <c r="F289" i="12" s="1" a="1"/>
  <c r="F289" i="12" s="1"/>
  <c r="C289" i="12"/>
  <c r="K277" i="12"/>
  <c r="J277" i="12"/>
  <c r="E277" i="12"/>
  <c r="G277" i="12"/>
  <c r="B277" i="12"/>
  <c r="F277" i="12" s="1" a="1"/>
  <c r="F277" i="12" s="1"/>
  <c r="C277" i="12"/>
  <c r="I277" i="12"/>
  <c r="K265" i="12"/>
  <c r="J265" i="12"/>
  <c r="I265" i="12"/>
  <c r="G265" i="12"/>
  <c r="E265" i="12"/>
  <c r="C265" i="12"/>
  <c r="B265" i="12"/>
  <c r="F265" i="12" s="1" a="1"/>
  <c r="F265" i="12" s="1"/>
  <c r="K253" i="12"/>
  <c r="J253" i="12"/>
  <c r="B253" i="12"/>
  <c r="F253" i="12" s="1" a="1"/>
  <c r="F253" i="12" s="1"/>
  <c r="G253" i="12"/>
  <c r="I253" i="12"/>
  <c r="C253" i="12"/>
  <c r="E253" i="12"/>
  <c r="K241" i="12"/>
  <c r="G241" i="12"/>
  <c r="I241" i="12"/>
  <c r="J241" i="12"/>
  <c r="E241" i="12"/>
  <c r="C241" i="12"/>
  <c r="B241" i="12"/>
  <c r="F241" i="12" s="1" a="1"/>
  <c r="F241" i="12" s="1"/>
  <c r="K229" i="12"/>
  <c r="J229" i="12"/>
  <c r="I229" i="12"/>
  <c r="G229" i="12"/>
  <c r="B229" i="12"/>
  <c r="F229" i="12" s="1" a="1"/>
  <c r="F229" i="12" s="1"/>
  <c r="C229" i="12"/>
  <c r="E229" i="12"/>
  <c r="K217" i="12"/>
  <c r="G217" i="12"/>
  <c r="J217" i="12"/>
  <c r="B217" i="12"/>
  <c r="F217" i="12" s="1" a="1"/>
  <c r="F217" i="12" s="1"/>
  <c r="E217" i="12"/>
  <c r="C217" i="12"/>
  <c r="I217" i="12"/>
  <c r="K205" i="12"/>
  <c r="I205" i="12"/>
  <c r="C205" i="12"/>
  <c r="G205" i="12"/>
  <c r="B205" i="12"/>
  <c r="F205" i="12" s="1" a="1"/>
  <c r="F205" i="12" s="1"/>
  <c r="E205" i="12"/>
  <c r="J205" i="12"/>
  <c r="K193" i="12"/>
  <c r="G193" i="12"/>
  <c r="B193" i="12"/>
  <c r="F193" i="12" s="1" a="1"/>
  <c r="F193" i="12" s="1"/>
  <c r="E193" i="12"/>
  <c r="I193" i="12"/>
  <c r="C193" i="12"/>
  <c r="J193" i="12"/>
  <c r="K181" i="12"/>
  <c r="J181" i="12"/>
  <c r="I181" i="12"/>
  <c r="E181" i="12"/>
  <c r="G181" i="12"/>
  <c r="B181" i="12"/>
  <c r="F181" i="12" s="1" a="1"/>
  <c r="F181" i="12" s="1"/>
  <c r="C181" i="12"/>
  <c r="K169" i="12"/>
  <c r="G169" i="12"/>
  <c r="E169" i="12"/>
  <c r="J169" i="12"/>
  <c r="I169" i="12"/>
  <c r="C169" i="12"/>
  <c r="B169" i="12"/>
  <c r="F169" i="12" s="1" a="1"/>
  <c r="F169" i="12" s="1"/>
  <c r="K157" i="12"/>
  <c r="B157" i="12"/>
  <c r="F157" i="12" s="1" a="1"/>
  <c r="F157" i="12" s="1"/>
  <c r="G157" i="12"/>
  <c r="I157" i="12"/>
  <c r="C157" i="12"/>
  <c r="J157" i="12"/>
  <c r="E157" i="12"/>
  <c r="K145" i="12"/>
  <c r="E145" i="12"/>
  <c r="I145" i="12"/>
  <c r="J145" i="12"/>
  <c r="G145" i="12"/>
  <c r="B145" i="12"/>
  <c r="F145" i="12" s="1" a="1"/>
  <c r="F145" i="12" s="1"/>
  <c r="C145" i="12"/>
  <c r="K133" i="12"/>
  <c r="I133" i="12"/>
  <c r="G133" i="12"/>
  <c r="B133" i="12"/>
  <c r="F133" i="12" s="1" a="1"/>
  <c r="F133" i="12" s="1"/>
  <c r="E133" i="12"/>
  <c r="J133" i="12"/>
  <c r="C133" i="12"/>
  <c r="K121" i="12"/>
  <c r="J121" i="12"/>
  <c r="G121" i="12"/>
  <c r="E121" i="12"/>
  <c r="C121" i="12"/>
  <c r="I121" i="12"/>
  <c r="B121" i="12"/>
  <c r="F121" i="12" s="1" a="1"/>
  <c r="F121" i="12" s="1"/>
  <c r="K109" i="12"/>
  <c r="I109" i="12"/>
  <c r="J109" i="12"/>
  <c r="E109" i="12"/>
  <c r="B109" i="12"/>
  <c r="F109" i="12" s="1" a="1"/>
  <c r="F109" i="12" s="1"/>
  <c r="G109" i="12"/>
  <c r="C109" i="12"/>
  <c r="K97" i="12"/>
  <c r="G97" i="12"/>
  <c r="J97" i="12"/>
  <c r="E97" i="12"/>
  <c r="B97" i="12"/>
  <c r="F97" i="12" s="1" a="1"/>
  <c r="F97" i="12" s="1"/>
  <c r="I97" i="12"/>
  <c r="C97" i="12"/>
  <c r="K85" i="12"/>
  <c r="G85" i="12"/>
  <c r="B85" i="12"/>
  <c r="F85" i="12" s="1" a="1"/>
  <c r="F85" i="12" s="1"/>
  <c r="I85" i="12"/>
  <c r="C85" i="12"/>
  <c r="E85" i="12"/>
  <c r="J85" i="12"/>
  <c r="K73" i="12"/>
  <c r="J73" i="12"/>
  <c r="I73" i="12"/>
  <c r="C73" i="12"/>
  <c r="G73" i="12"/>
  <c r="B73" i="12"/>
  <c r="F73" i="12" s="1" a="1"/>
  <c r="F73" i="12" s="1"/>
  <c r="E73" i="12"/>
  <c r="K61" i="12"/>
  <c r="J61" i="12"/>
  <c r="G61" i="12"/>
  <c r="I61" i="12"/>
  <c r="E61" i="12"/>
  <c r="B61" i="12"/>
  <c r="F61" i="12" s="1" a="1"/>
  <c r="F61" i="12" s="1"/>
  <c r="C61" i="12"/>
  <c r="K49" i="12"/>
  <c r="J49" i="12"/>
  <c r="G49" i="12"/>
  <c r="I49" i="12"/>
  <c r="B49" i="12"/>
  <c r="F49" i="12" s="1" a="1"/>
  <c r="F49" i="12" s="1"/>
  <c r="C49" i="12"/>
  <c r="E49" i="12"/>
  <c r="K37" i="12"/>
  <c r="J37" i="12"/>
  <c r="I37" i="12"/>
  <c r="G37" i="12"/>
  <c r="B37" i="12"/>
  <c r="F37" i="12" s="1" a="1"/>
  <c r="F37" i="12" s="1"/>
  <c r="C37" i="12"/>
  <c r="E37" i="12"/>
  <c r="O23" i="4"/>
  <c r="O24" i="4"/>
  <c r="O25" i="4"/>
  <c r="O26" i="4"/>
  <c r="O27" i="4"/>
  <c r="O28" i="4"/>
  <c r="O29" i="4"/>
  <c r="M23" i="4"/>
  <c r="M24" i="4"/>
  <c r="M25" i="4"/>
  <c r="M26" i="4"/>
  <c r="M27" i="4"/>
  <c r="M28" i="4"/>
  <c r="M29" i="4"/>
  <c r="AA14" i="4"/>
  <c r="AA15" i="4"/>
  <c r="AA16" i="4"/>
  <c r="AA17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9" i="12" l="1"/>
  <c r="A20" i="12"/>
  <c r="A16" i="12"/>
  <c r="A8" i="12"/>
  <c r="A19" i="12"/>
  <c r="A17" i="12"/>
  <c r="A15" i="12"/>
  <c r="A18" i="12"/>
  <c r="A14" i="12"/>
  <c r="A25" i="12"/>
  <c r="A13" i="12"/>
  <c r="A21" i="12"/>
  <c r="A7" i="12"/>
  <c r="A24" i="12"/>
  <c r="A12" i="12"/>
  <c r="A26" i="12"/>
  <c r="A23" i="12"/>
  <c r="A11" i="12"/>
  <c r="A22" i="12"/>
  <c r="A10" i="12"/>
  <c r="M36" i="4"/>
  <c r="O36" i="4"/>
  <c r="M37" i="4"/>
  <c r="O37" i="4"/>
  <c r="I8" i="4"/>
  <c r="E11" i="12" l="1"/>
  <c r="B11" i="12"/>
  <c r="F11" i="12" s="1" a="1"/>
  <c r="F11" i="12" s="1"/>
  <c r="G11" i="12"/>
  <c r="C11" i="12"/>
  <c r="K11" i="12"/>
  <c r="J11" i="12"/>
  <c r="I11" i="12"/>
  <c r="G21" i="12"/>
  <c r="B21" i="12"/>
  <c r="F21" i="12" s="1" a="1"/>
  <c r="F21" i="12" s="1"/>
  <c r="E21" i="12"/>
  <c r="J21" i="12"/>
  <c r="K21" i="12"/>
  <c r="I21" i="12"/>
  <c r="C21" i="12"/>
  <c r="B17" i="12"/>
  <c r="F17" i="12" s="1" a="1"/>
  <c r="F17" i="12" s="1"/>
  <c r="G17" i="12"/>
  <c r="C17" i="12"/>
  <c r="E17" i="12"/>
  <c r="J17" i="12"/>
  <c r="I17" i="12"/>
  <c r="K17" i="12"/>
  <c r="E8" i="12"/>
  <c r="G8" i="12"/>
  <c r="B8" i="12"/>
  <c r="F8" i="12" s="1" a="1"/>
  <c r="F8" i="12" s="1"/>
  <c r="C8" i="12"/>
  <c r="K8" i="12"/>
  <c r="J8" i="12"/>
  <c r="I8" i="12"/>
  <c r="G12" i="12"/>
  <c r="E12" i="12"/>
  <c r="C12" i="12"/>
  <c r="B12" i="12"/>
  <c r="F12" i="12" s="1" a="1"/>
  <c r="F12" i="12" s="1"/>
  <c r="I12" i="12"/>
  <c r="K12" i="12"/>
  <c r="J12" i="12"/>
  <c r="E14" i="12"/>
  <c r="B14" i="12"/>
  <c r="F14" i="12" s="1" a="1"/>
  <c r="F14" i="12" s="1"/>
  <c r="G14" i="12"/>
  <c r="K14" i="12"/>
  <c r="C14" i="12"/>
  <c r="J14" i="12"/>
  <c r="I14" i="12"/>
  <c r="G16" i="12"/>
  <c r="E16" i="12"/>
  <c r="B16" i="12"/>
  <c r="F16" i="12" s="1" a="1"/>
  <c r="F16" i="12" s="1"/>
  <c r="K16" i="12"/>
  <c r="I16" i="12"/>
  <c r="C16" i="12"/>
  <c r="J16" i="12"/>
  <c r="E19" i="12"/>
  <c r="G19" i="12"/>
  <c r="B19" i="12"/>
  <c r="F19" i="12" s="1" a="1"/>
  <c r="F19" i="12" s="1"/>
  <c r="J19" i="12"/>
  <c r="I19" i="12"/>
  <c r="C19" i="12"/>
  <c r="K19" i="12"/>
  <c r="E26" i="12"/>
  <c r="B26" i="12"/>
  <c r="F26" i="12" s="1" a="1"/>
  <c r="F26" i="12" s="1"/>
  <c r="G26" i="12"/>
  <c r="I26" i="12"/>
  <c r="K26" i="12"/>
  <c r="J26" i="12"/>
  <c r="C26" i="12"/>
  <c r="G10" i="12"/>
  <c r="E10" i="12"/>
  <c r="B10" i="12"/>
  <c r="F10" i="12" s="1" a="1"/>
  <c r="F10" i="12" s="1"/>
  <c r="C10" i="12"/>
  <c r="K10" i="12"/>
  <c r="I10" i="12"/>
  <c r="J10" i="12"/>
  <c r="G24" i="12"/>
  <c r="B24" i="12"/>
  <c r="F24" i="12" s="1" a="1"/>
  <c r="F24" i="12" s="1"/>
  <c r="E24" i="12"/>
  <c r="K24" i="12"/>
  <c r="I24" i="12"/>
  <c r="J24" i="12"/>
  <c r="C24" i="12"/>
  <c r="G18" i="12"/>
  <c r="E18" i="12"/>
  <c r="B18" i="12"/>
  <c r="F18" i="12" s="1" a="1"/>
  <c r="F18" i="12" s="1"/>
  <c r="K18" i="12"/>
  <c r="J18" i="12"/>
  <c r="C18" i="12"/>
  <c r="I18" i="12"/>
  <c r="E20" i="12"/>
  <c r="B20" i="12"/>
  <c r="F20" i="12" s="1" a="1"/>
  <c r="F20" i="12" s="1"/>
  <c r="G20" i="12"/>
  <c r="K20" i="12"/>
  <c r="J20" i="12"/>
  <c r="C20" i="12"/>
  <c r="I20" i="12"/>
  <c r="G23" i="12"/>
  <c r="E23" i="12"/>
  <c r="B23" i="12"/>
  <c r="F23" i="12" s="1" a="1"/>
  <c r="F23" i="12" s="1"/>
  <c r="C23" i="12"/>
  <c r="I23" i="12"/>
  <c r="J23" i="12"/>
  <c r="K23" i="12"/>
  <c r="G25" i="12"/>
  <c r="B25" i="12"/>
  <c r="F25" i="12" s="1" a="1"/>
  <c r="F25" i="12" s="1"/>
  <c r="E25" i="12"/>
  <c r="K25" i="12"/>
  <c r="J25" i="12"/>
  <c r="I25" i="12"/>
  <c r="C25" i="12"/>
  <c r="G13" i="12"/>
  <c r="B13" i="12"/>
  <c r="F13" i="12" s="1" a="1"/>
  <c r="F13" i="12" s="1"/>
  <c r="E13" i="12"/>
  <c r="I13" i="12"/>
  <c r="K13" i="12"/>
  <c r="J13" i="12"/>
  <c r="C13" i="12"/>
  <c r="G22" i="12"/>
  <c r="B22" i="12"/>
  <c r="F22" i="12" s="1" a="1"/>
  <c r="F22" i="12" s="1"/>
  <c r="I22" i="12"/>
  <c r="C22" i="12"/>
  <c r="E22" i="12"/>
  <c r="J22" i="12"/>
  <c r="K22" i="12"/>
  <c r="G7" i="12"/>
  <c r="B7" i="12"/>
  <c r="F7" i="12" s="1" a="1"/>
  <c r="F7" i="12" s="1"/>
  <c r="E7" i="12"/>
  <c r="I7" i="12"/>
  <c r="C7" i="12"/>
  <c r="J7" i="12"/>
  <c r="K7" i="12"/>
  <c r="G15" i="12"/>
  <c r="E15" i="12"/>
  <c r="B15" i="12"/>
  <c r="F15" i="12" s="1" a="1"/>
  <c r="F15" i="12" s="1"/>
  <c r="C15" i="12"/>
  <c r="I15" i="12"/>
  <c r="K15" i="12"/>
  <c r="J15" i="12"/>
  <c r="E9" i="12"/>
  <c r="G9" i="12"/>
  <c r="B9" i="12"/>
  <c r="F9" i="12" s="1" a="1"/>
  <c r="F9" i="12" s="1"/>
  <c r="I9" i="12"/>
  <c r="C9" i="12"/>
  <c r="K9" i="12"/>
  <c r="J9" i="12"/>
  <c r="M34" i="4" l="1"/>
  <c r="M35" i="4"/>
  <c r="O35" i="4"/>
  <c r="O30" i="4"/>
  <c r="O31" i="4"/>
  <c r="O32" i="4"/>
  <c r="O33" i="4"/>
  <c r="O34" i="4"/>
  <c r="M30" i="4"/>
  <c r="M31" i="4"/>
  <c r="M32" i="4"/>
  <c r="M33" i="4"/>
  <c r="M38" i="4"/>
  <c r="M22" i="4"/>
  <c r="M21" i="4"/>
  <c r="M20" i="4"/>
  <c r="M19" i="4"/>
  <c r="M17" i="4"/>
  <c r="M16" i="4"/>
  <c r="M15" i="4"/>
  <c r="O38" i="4"/>
  <c r="O22" i="4"/>
  <c r="O21" i="4"/>
  <c r="O20" i="4"/>
  <c r="O19" i="4"/>
  <c r="O17" i="4"/>
  <c r="O16" i="4"/>
  <c r="D25" i="13" l="1" a="1"/>
  <c r="D25" i="13" s="1"/>
  <c r="D26" i="13" a="1"/>
  <c r="D26" i="13" s="1"/>
  <c r="D28" i="13" a="1"/>
  <c r="D28" i="13" s="1"/>
  <c r="D21" i="13" a="1"/>
  <c r="D21" i="13" s="1"/>
  <c r="D23" i="13" a="1"/>
  <c r="D23" i="13" s="1"/>
  <c r="G26" i="13"/>
  <c r="J26" i="13"/>
  <c r="J9" i="13"/>
  <c r="G9" i="13"/>
  <c r="G14" i="13"/>
  <c r="J14" i="13"/>
  <c r="J11" i="13"/>
  <c r="G11" i="13"/>
  <c r="J10" i="13"/>
  <c r="G10" i="13"/>
  <c r="J7" i="13"/>
  <c r="G7" i="13"/>
  <c r="G23" i="13"/>
  <c r="J23" i="13"/>
  <c r="G13" i="13"/>
  <c r="J13" i="13"/>
  <c r="J24" i="13"/>
  <c r="G24" i="13"/>
  <c r="J12" i="13"/>
  <c r="G12" i="13"/>
  <c r="J8" i="13"/>
  <c r="G8" i="13"/>
  <c r="G25" i="13"/>
  <c r="J25" i="13"/>
  <c r="G20" i="13"/>
  <c r="J20" i="13"/>
  <c r="J19" i="13"/>
  <c r="G19" i="13"/>
  <c r="J16" i="13"/>
  <c r="G16" i="13"/>
  <c r="G17" i="13"/>
  <c r="J17" i="13"/>
  <c r="G15" i="13"/>
  <c r="J15" i="13"/>
  <c r="J21" i="13"/>
  <c r="G21" i="13"/>
  <c r="G18" i="13"/>
  <c r="J18" i="13"/>
  <c r="J22" i="13"/>
  <c r="G22" i="13"/>
  <c r="A2" i="14"/>
  <c r="A4" i="12"/>
  <c r="A3" i="12"/>
  <c r="A6" i="12"/>
  <c r="A5" i="12"/>
  <c r="M26" i="13" l="1"/>
  <c r="M13" i="13"/>
  <c r="M20" i="13"/>
  <c r="M18" i="13"/>
  <c r="M16" i="13"/>
  <c r="M19" i="13"/>
  <c r="M22" i="13"/>
  <c r="M23" i="13"/>
  <c r="M21" i="13"/>
  <c r="M24" i="13"/>
  <c r="M25" i="13"/>
  <c r="M11" i="13"/>
  <c r="M9" i="13"/>
  <c r="M7" i="13"/>
  <c r="M15" i="13"/>
  <c r="M8" i="13"/>
  <c r="M14" i="13"/>
  <c r="M10" i="13"/>
  <c r="M17" i="13"/>
  <c r="M12" i="13"/>
  <c r="F2" i="12" a="1"/>
  <c r="F2" i="12" s="1"/>
  <c r="G2" i="12"/>
  <c r="E2" i="12"/>
  <c r="K2" i="12"/>
  <c r="J2" i="12"/>
  <c r="C2" i="12"/>
  <c r="I2" i="12"/>
  <c r="I6" i="12"/>
  <c r="G6" i="12"/>
  <c r="E6" i="12"/>
  <c r="C6" i="12"/>
  <c r="K6" i="12"/>
  <c r="B6" i="12"/>
  <c r="F6" i="12" s="1" a="1"/>
  <c r="F6" i="12" s="1"/>
  <c r="J6" i="12"/>
  <c r="G5" i="12"/>
  <c r="E5" i="12"/>
  <c r="B5" i="12"/>
  <c r="F5" i="12" s="1" a="1"/>
  <c r="F5" i="12" s="1"/>
  <c r="J5" i="12"/>
  <c r="K5" i="12"/>
  <c r="I5" i="12"/>
  <c r="C5" i="12"/>
  <c r="G4" i="12"/>
  <c r="E4" i="12"/>
  <c r="B4" i="12"/>
  <c r="F4" i="12" s="1" a="1"/>
  <c r="F4" i="12" s="1"/>
  <c r="C4" i="12"/>
  <c r="J4" i="12"/>
  <c r="I4" i="12"/>
  <c r="K4" i="12"/>
  <c r="G3" i="12"/>
  <c r="B3" i="12"/>
  <c r="F3" i="12" s="1" a="1"/>
  <c r="F3" i="12" s="1"/>
  <c r="E3" i="12"/>
  <c r="J3" i="12"/>
  <c r="C3" i="12"/>
  <c r="I3" i="12"/>
  <c r="K3" i="12"/>
  <c r="G28" i="13" l="1"/>
  <c r="J28" i="13"/>
  <c r="J27" i="13"/>
  <c r="G27" i="13"/>
  <c r="G2" i="13"/>
  <c r="J6" i="13"/>
  <c r="G6" i="13"/>
  <c r="J3" i="13"/>
  <c r="G3" i="13"/>
  <c r="J2" i="13"/>
  <c r="G5" i="13"/>
  <c r="J5" i="13"/>
  <c r="J4" i="13"/>
  <c r="G4" i="13"/>
  <c r="M27" i="13" l="1"/>
  <c r="M28" i="13"/>
  <c r="M2" i="13"/>
  <c r="M4" i="13"/>
  <c r="M5" i="13"/>
  <c r="M3" i="13"/>
  <c r="M6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Mia Wajner</author>
  </authors>
  <commentList>
    <comment ref="G6" authorId="0" shapeId="0" xr:uid="{F0EDD491-DCE7-4228-9AE7-D7F73974EC44}">
      <text>
        <r>
          <rPr>
            <b/>
            <sz val="9"/>
            <color indexed="81"/>
            <rFont val="Tahoma"/>
            <charset val="1"/>
          </rPr>
          <t>Mia Wajner:</t>
        </r>
        <r>
          <rPr>
            <sz val="9"/>
            <color indexed="81"/>
            <rFont val="Tahoma"/>
            <charset val="1"/>
          </rPr>
          <t xml:space="preserve">
LO LLENA LA PERSONA QUE ESTA RINDIENDO</t>
        </r>
      </text>
    </comment>
    <comment ref="K6" authorId="0" shapeId="0" xr:uid="{5440706C-BCF6-41AE-AB54-61A4D3E8ED00}">
      <text>
        <r>
          <rPr>
            <b/>
            <sz val="9"/>
            <color indexed="81"/>
            <rFont val="Tahoma"/>
            <charset val="1"/>
          </rPr>
          <t>Mia Wajner:</t>
        </r>
        <r>
          <rPr>
            <sz val="9"/>
            <color indexed="81"/>
            <rFont val="Tahoma"/>
            <charset val="1"/>
          </rPr>
          <t xml:space="preserve">
LO LLENA PERSONA DE FINANZAS</t>
        </r>
      </text>
    </comment>
    <comment ref="G7" authorId="0" shapeId="0" xr:uid="{ABE930F4-0104-43C8-8003-47A324A862FE}">
      <text>
        <r>
          <rPr>
            <b/>
            <sz val="9"/>
            <color indexed="81"/>
            <rFont val="Tahoma"/>
            <charset val="1"/>
          </rPr>
          <t>Mia Wajner:</t>
        </r>
        <r>
          <rPr>
            <sz val="9"/>
            <color indexed="81"/>
            <rFont val="Tahoma"/>
            <charset val="1"/>
          </rPr>
          <t xml:space="preserve">
EXTRAIDO CUANDO SE CREA LA CARPETA DE LA PERSONA</t>
        </r>
      </text>
    </comment>
    <comment ref="G8" authorId="0" shapeId="0" xr:uid="{E399F397-1DA7-468D-99B0-908054F98D68}">
      <text>
        <r>
          <rPr>
            <b/>
            <sz val="9"/>
            <color indexed="81"/>
            <rFont val="Tahoma"/>
            <charset val="1"/>
          </rPr>
          <t>Mia Wajner:</t>
        </r>
        <r>
          <rPr>
            <sz val="9"/>
            <color indexed="81"/>
            <rFont val="Tahoma"/>
            <charset val="1"/>
          </rPr>
          <t xml:space="preserve">
LO LLENA LA PERSONA QUE ESTA RINDIENDO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<sst xmlns="http://schemas.openxmlformats.org/spreadsheetml/2006/main" count="1852" uniqueCount="1686">
  <si>
    <t>Cuenta</t>
  </si>
  <si>
    <t>Telefonía Celular</t>
  </si>
  <si>
    <t>Patentes</t>
  </si>
  <si>
    <t>Beneficios al personal</t>
  </si>
  <si>
    <t>Gastos de Representación</t>
  </si>
  <si>
    <t>Insumos computación</t>
  </si>
  <si>
    <t>Alojamiento</t>
  </si>
  <si>
    <t>Importe total</t>
  </si>
  <si>
    <t>Fecha</t>
  </si>
  <si>
    <t>Imputación gasto</t>
  </si>
  <si>
    <t>Texto breve CeCo</t>
  </si>
  <si>
    <t>Centro de coste</t>
  </si>
  <si>
    <t>ALCON Comercial</t>
  </si>
  <si>
    <t>Y000250001</t>
  </si>
  <si>
    <t>Auditoria Interna</t>
  </si>
  <si>
    <t>Y000100006</t>
  </si>
  <si>
    <t>BIOSIDUS Comercial</t>
  </si>
  <si>
    <t>Y000225001</t>
  </si>
  <si>
    <t>CALIDAD</t>
  </si>
  <si>
    <t>Y000600001</t>
  </si>
  <si>
    <t>CSL COMERCIAL</t>
  </si>
  <si>
    <t>Y000270001</t>
  </si>
  <si>
    <t>Deposito FLG</t>
  </si>
  <si>
    <t>Y000500002</t>
  </si>
  <si>
    <t>DIRECCIÓN</t>
  </si>
  <si>
    <t>Y000100001</t>
  </si>
  <si>
    <t>FINANZAS</t>
  </si>
  <si>
    <t>Y000300001</t>
  </si>
  <si>
    <t>FRN Comercial</t>
  </si>
  <si>
    <t>Y000223001</t>
  </si>
  <si>
    <t>GERENCIA GENERAL</t>
  </si>
  <si>
    <t>Y000100002</t>
  </si>
  <si>
    <t>GRAND FONT Comercial</t>
  </si>
  <si>
    <t>Y000226001</t>
  </si>
  <si>
    <t>IT</t>
  </si>
  <si>
    <t>Y000300003</t>
  </si>
  <si>
    <t>LEGALES</t>
  </si>
  <si>
    <t>Y000300002</t>
  </si>
  <si>
    <t>MEDICAL</t>
  </si>
  <si>
    <t>Y000700001</t>
  </si>
  <si>
    <t>Y000700002</t>
  </si>
  <si>
    <t>MYLAN COMERCIAL</t>
  </si>
  <si>
    <t>Y000280001</t>
  </si>
  <si>
    <t>Novartis Comercial</t>
  </si>
  <si>
    <t>Y000220001</t>
  </si>
  <si>
    <t>Nutricia Comercial</t>
  </si>
  <si>
    <t>Y000210001</t>
  </si>
  <si>
    <t>OPERACIONES</t>
  </si>
  <si>
    <t>Y000500001</t>
  </si>
  <si>
    <t>OTROS INSTITUCIONAL.</t>
  </si>
  <si>
    <t>Y000200002</t>
  </si>
  <si>
    <t>QPHARMA Comercial</t>
  </si>
  <si>
    <t>Y000228001</t>
  </si>
  <si>
    <t>Recepción</t>
  </si>
  <si>
    <t>Y000100003</t>
  </si>
  <si>
    <t>REGULATORIO</t>
  </si>
  <si>
    <t>Y000400001</t>
  </si>
  <si>
    <t>RRHH</t>
  </si>
  <si>
    <t>Y000100004</t>
  </si>
  <si>
    <t>SANDOZ COMERCIAL</t>
  </si>
  <si>
    <t>Y000260001</t>
  </si>
  <si>
    <t>SCIENZA COMERCIAL</t>
  </si>
  <si>
    <t>Y000200001</t>
  </si>
  <si>
    <t>TELEMED Comercial</t>
  </si>
  <si>
    <t>Y000227001</t>
  </si>
  <si>
    <t>TEVA Comercial</t>
  </si>
  <si>
    <t>Y000224001</t>
  </si>
  <si>
    <t>Moneda</t>
  </si>
  <si>
    <t>UYU</t>
  </si>
  <si>
    <t>USD</t>
  </si>
  <si>
    <t>Servicio de telefonía celular</t>
  </si>
  <si>
    <t>Seguro vehicular</t>
  </si>
  <si>
    <t>Gastos asociados a la infraestructura tecnológica de la oficina</t>
  </si>
  <si>
    <t>Pasajes aereos/marítimos</t>
  </si>
  <si>
    <t>RENDICIÓN DE GASTOS</t>
  </si>
  <si>
    <t>Titular</t>
  </si>
  <si>
    <t>Días trabajados (Comercial)</t>
  </si>
  <si>
    <t>DETALLE</t>
  </si>
  <si>
    <t>Proveedor</t>
  </si>
  <si>
    <t>Subtotal</t>
  </si>
  <si>
    <t>*Adjuntar comprobantes al presente formulario. En caso de no contar con el mismo se requiere aprobación via excepción</t>
  </si>
  <si>
    <t>Descr. Del gasto</t>
  </si>
  <si>
    <t>Capacitación</t>
  </si>
  <si>
    <t>Correo y mensajeria</t>
  </si>
  <si>
    <t>Imprenta y Papelería</t>
  </si>
  <si>
    <t>Registros y renovaciones</t>
  </si>
  <si>
    <t>Comentario</t>
  </si>
  <si>
    <t>Combustible</t>
  </si>
  <si>
    <t>Pasajes</t>
  </si>
  <si>
    <t>Gastos de traslados</t>
  </si>
  <si>
    <t>Consumos personales</t>
  </si>
  <si>
    <t>Insumos de oficina (no insumos de TI)</t>
  </si>
  <si>
    <t>Com Ext Comercial</t>
  </si>
  <si>
    <t>Y000230001</t>
  </si>
  <si>
    <t>COMERCIAL-AMWAY</t>
  </si>
  <si>
    <t>Y000200003</t>
  </si>
  <si>
    <t>Comunicaciones</t>
  </si>
  <si>
    <t>Y000100007</t>
  </si>
  <si>
    <t>Direccion-Nuevos neg</t>
  </si>
  <si>
    <t>Y000100009</t>
  </si>
  <si>
    <t>Impuestos</t>
  </si>
  <si>
    <t>Y000100005</t>
  </si>
  <si>
    <t>NVS MEDICAL</t>
  </si>
  <si>
    <t>OPERACIONES_AMWAY</t>
  </si>
  <si>
    <t>Y000500003</t>
  </si>
  <si>
    <t>OTROS GS GRALES</t>
  </si>
  <si>
    <t>Y009900001</t>
  </si>
  <si>
    <t>Panalab Comercial</t>
  </si>
  <si>
    <t>Y000232001</t>
  </si>
  <si>
    <t>Produccion</t>
  </si>
  <si>
    <t>Y009900002</t>
  </si>
  <si>
    <t>PTC MEDICAL</t>
  </si>
  <si>
    <t>Y000700005</t>
  </si>
  <si>
    <t>PTC Therapeutics</t>
  </si>
  <si>
    <t>Y000234001</t>
  </si>
  <si>
    <t>SANOFI Comercial</t>
  </si>
  <si>
    <t>Y000233001</t>
  </si>
  <si>
    <t>SCIENZA CHILE</t>
  </si>
  <si>
    <t>Y000100008</t>
  </si>
  <si>
    <t>Tutuer Comercial</t>
  </si>
  <si>
    <t>Y000229001</t>
  </si>
  <si>
    <t>VERTEX COMERCIAL</t>
  </si>
  <si>
    <t>Y000235001</t>
  </si>
  <si>
    <t>VERTEX MEDICAL</t>
  </si>
  <si>
    <t>Y000700003</t>
  </si>
  <si>
    <t>Welwaze Comercial</t>
  </si>
  <si>
    <t>Y000320001</t>
  </si>
  <si>
    <t>CECO</t>
  </si>
  <si>
    <t>Gastos por combustible asociados a representantes médicos.</t>
  </si>
  <si>
    <t>Gastos de patente automovilística asociada a representantes médicos.</t>
  </si>
  <si>
    <t>Gastos por seguro vehicular asociados a representantes médicos.</t>
  </si>
  <si>
    <t>Gastos de traslados (Por ejemplo: Taxi, Uber, parking, peajes)</t>
  </si>
  <si>
    <t>Gastos por alojamiento asociados a representantes médicos</t>
  </si>
  <si>
    <t>Gastos de capacitación al personal</t>
  </si>
  <si>
    <t>Gastos asociados a correo y mensajería. (Por ejemplo: DHL, Fedex)</t>
  </si>
  <si>
    <t>Gastos de interacción con pesonal de la salud (asociado a empresas representadas). Por ejemplo: almuerzos con terceros (no consumos personales)</t>
  </si>
  <si>
    <t>Otros</t>
  </si>
  <si>
    <t>-</t>
  </si>
  <si>
    <t>Registros y renovaciones asociados a trámites en MSP</t>
  </si>
  <si>
    <t>Por ejemplo: carne de salud, obsequio por nacimiento, atenciones por festividades, etc</t>
  </si>
  <si>
    <t>Cuenta contable</t>
  </si>
  <si>
    <t>Colaborador</t>
  </si>
  <si>
    <t>Gastos personales sin interacción con pesonal de la salud (asociado a empresas representadas). Por ejemplo: almuerzos</t>
  </si>
  <si>
    <t>Otro</t>
  </si>
  <si>
    <t>Gastos personales sin interacción con pesonal de la salud (con terceros). Por ejemplo: almuerzos</t>
  </si>
  <si>
    <t>Firma y fecha</t>
  </si>
  <si>
    <t>Aprobador</t>
  </si>
  <si>
    <t>Descripción del gasto</t>
  </si>
  <si>
    <t>Exento</t>
  </si>
  <si>
    <t>Tipo IVA</t>
  </si>
  <si>
    <t>Clase Doc</t>
  </si>
  <si>
    <t>Ind impuestos</t>
  </si>
  <si>
    <t>Asignacion</t>
  </si>
  <si>
    <t>Topes</t>
  </si>
  <si>
    <t>Sociedad</t>
  </si>
  <si>
    <t>Sucursal</t>
  </si>
  <si>
    <t>Banco Destino</t>
  </si>
  <si>
    <t>Correctamente documentado ?</t>
  </si>
  <si>
    <t>TC</t>
  </si>
  <si>
    <t>Fecha cont</t>
  </si>
  <si>
    <t>Fecha Doc</t>
  </si>
  <si>
    <t>Texto cabecera</t>
  </si>
  <si>
    <t>Referencia</t>
  </si>
  <si>
    <t>Calcular impuestos</t>
  </si>
  <si>
    <t>Cl Cont</t>
  </si>
  <si>
    <t>Cta Mayor</t>
  </si>
  <si>
    <t>Fecha valor</t>
  </si>
  <si>
    <t>Importe</t>
  </si>
  <si>
    <t>Ind Imptos</t>
  </si>
  <si>
    <t>cond pago</t>
  </si>
  <si>
    <t>Fecha base</t>
  </si>
  <si>
    <t>Ceco</t>
  </si>
  <si>
    <t>Cebe</t>
  </si>
  <si>
    <t>Orden</t>
  </si>
  <si>
    <t>Texto posición</t>
  </si>
  <si>
    <t>Tipo ret</t>
  </si>
  <si>
    <t>Ind ret</t>
  </si>
  <si>
    <t>Base imponible</t>
  </si>
  <si>
    <t>ARCOS DORADOS URUGUAY S.A</t>
  </si>
  <si>
    <t>BPS A PAGAR</t>
  </si>
  <si>
    <t>CAROLINA BALDONI</t>
  </si>
  <si>
    <t>DGI A PAGAR</t>
  </si>
  <si>
    <t>DGI-IRNR</t>
  </si>
  <si>
    <t>FF - ADRIAN PEDRAZA</t>
  </si>
  <si>
    <t>FF GASTON CZMUCH</t>
  </si>
  <si>
    <t>FF VIRGINIA GILARDI</t>
  </si>
  <si>
    <t>FF- ARMANDO SUAREZ</t>
  </si>
  <si>
    <t>FF- CARLOS VASSALLO</t>
  </si>
  <si>
    <t>FF- CRISTIAN PIROLA</t>
  </si>
  <si>
    <t>FF- EDUARDO ROQUETA</t>
  </si>
  <si>
    <t>FF- FERNANDO CABALLERO</t>
  </si>
  <si>
    <t>FF- GASTON BARIDON</t>
  </si>
  <si>
    <t>FF- MARIA EUGENIA TOZZI</t>
  </si>
  <si>
    <t>FF- OSVALDO CARRIZO</t>
  </si>
  <si>
    <t>FF-ARIEL BOGLIETI</t>
  </si>
  <si>
    <t>GUILLERMO LOPEZ MORA</t>
  </si>
  <si>
    <t>MARCELO SENA</t>
  </si>
  <si>
    <t>MARIANA PEREZ</t>
  </si>
  <si>
    <t>MARTIN IRALDI</t>
  </si>
  <si>
    <t>PABLO CAVANI</t>
  </si>
  <si>
    <t>PASWER INTERNATIONAL</t>
  </si>
  <si>
    <t>RETIROS UTILIDADES A VERI</t>
  </si>
  <si>
    <t>SUELDOS A PAGAR</t>
  </si>
  <si>
    <t>VALENTINA PERALTA</t>
  </si>
  <si>
    <t>BANCO SANTANDER</t>
  </si>
  <si>
    <t>CENTRO DEP. DE SALTO</t>
  </si>
  <si>
    <t>NOVARTIS PHARMA AG</t>
  </si>
  <si>
    <t>SANDOZ GMBH (AUSTRIA)</t>
  </si>
  <si>
    <t>RAEM - INNOVATIVE MEDICIN</t>
  </si>
  <si>
    <t>A CASTRO LTDA</t>
  </si>
  <si>
    <t>ABANIX S.A.</t>
  </si>
  <si>
    <t>ABELENDA HERMANOS S.R.L.</t>
  </si>
  <si>
    <t>ADISER S.A</t>
  </si>
  <si>
    <t>ADRIAN ENRIQUE LLEIZA ZUN</t>
  </si>
  <si>
    <t>ALBIFOX SA</t>
  </si>
  <si>
    <t>ALQUIMIA 4 LTDA</t>
  </si>
  <si>
    <t>ALVA CREATIVA SRL</t>
  </si>
  <si>
    <t>ARREDO SA</t>
  </si>
  <si>
    <t>ARTELIZ S.A.</t>
  </si>
  <si>
    <t>ARTEMARINE SA</t>
  </si>
  <si>
    <t>ATENEA EVENTOS S.R.L.</t>
  </si>
  <si>
    <t>AUTOPRO SA</t>
  </si>
  <si>
    <t>BANCO ITAU DEL URUGUAY -</t>
  </si>
  <si>
    <t>BBVA - PRÉSTAMOS UYU</t>
  </si>
  <si>
    <t>BELIRAL S.A</t>
  </si>
  <si>
    <t>BENICIO S.R.L.</t>
  </si>
  <si>
    <t>BERKLEY INTERNATIONAL SEG</t>
  </si>
  <si>
    <t>BETIANA BLANCO</t>
  </si>
  <si>
    <t>BINFOX .S.A. IT GROUP</t>
  </si>
  <si>
    <t>BIOQUIMDIAGNOSTICS S.A.</t>
  </si>
  <si>
    <t>BIROME SA</t>
  </si>
  <si>
    <t>BLOQUEO</t>
  </si>
  <si>
    <t>BOMPORT SA</t>
  </si>
  <si>
    <t>BSE</t>
  </si>
  <si>
    <t>CAFE SIRENA URUGUAY</t>
  </si>
  <si>
    <t>CARRASCO NOBILE SA</t>
  </si>
  <si>
    <t>CARROUSEL 1 SRL</t>
  </si>
  <si>
    <t>CASA AÑON S.A.</t>
  </si>
  <si>
    <t>CASA AÑON SA-NO USAR</t>
  </si>
  <si>
    <t>CASCO INGLES SA</t>
  </si>
  <si>
    <t>CLUB DE PESCA RAMIREZ</t>
  </si>
  <si>
    <t>CRONOLUZ LTDA</t>
  </si>
  <si>
    <t>DAFILUX SA</t>
  </si>
  <si>
    <t>DEBORAH KAGANOVICIUS</t>
  </si>
  <si>
    <t>DIAZ GILARDI</t>
  </si>
  <si>
    <t>DORINOS SA</t>
  </si>
  <si>
    <t>DPTO DE NEONATOLOGIA CHPR</t>
  </si>
  <si>
    <t>DUNEY SA</t>
  </si>
  <si>
    <t>DUOMO 2015 SRL</t>
  </si>
  <si>
    <t>DURCOMIL SA</t>
  </si>
  <si>
    <t>EL FACON SA</t>
  </si>
  <si>
    <t>ELESTA SRL</t>
  </si>
  <si>
    <t>EMAITI S.A.</t>
  </si>
  <si>
    <t>EMILIO GARCIA S.R.L.</t>
  </si>
  <si>
    <t>ESTACIÓN BUCEO LTDA</t>
  </si>
  <si>
    <t>ESTACIONAMIENTO CALIFORNI</t>
  </si>
  <si>
    <t>EXPOUY SA</t>
  </si>
  <si>
    <t>FF - RRHH</t>
  </si>
  <si>
    <t>FF NAIR VILLALOBO</t>
  </si>
  <si>
    <t>FONBAY SRL</t>
  </si>
  <si>
    <t>G. ZARA HOME URUGUAY SA</t>
  </si>
  <si>
    <t>GAMARIL S.A.</t>
  </si>
  <si>
    <t>GISELLE DIAGO</t>
  </si>
  <si>
    <t>GONZALEZ ROSSO LTDA</t>
  </si>
  <si>
    <t>HILTON GARDEN INN MONTEVI</t>
  </si>
  <si>
    <t>INDEPENDENCIA SRL</t>
  </si>
  <si>
    <t>INNOVATIVE MEDICINES S A</t>
  </si>
  <si>
    <t>ITINOL SA</t>
  </si>
  <si>
    <t>JUAN MARCELO PAHOR MARTIN</t>
  </si>
  <si>
    <t>LDG ARQUITECTOS</t>
  </si>
  <si>
    <t>LEGAMAR SA</t>
  </si>
  <si>
    <t>LIBERTADOR SRL</t>
  </si>
  <si>
    <t>LOS CIPRESES S.A</t>
  </si>
  <si>
    <t>MARIA EVA POSE CASTILLO</t>
  </si>
  <si>
    <t>MASLIAH HNOS S.A.</t>
  </si>
  <si>
    <t>MEDIC PLAST SA</t>
  </si>
  <si>
    <t>MELTA LTDA</t>
  </si>
  <si>
    <t>MONTE REAL SRL</t>
  </si>
  <si>
    <t>NANIRA SA</t>
  </si>
  <si>
    <t>NATALIA ARROYO</t>
  </si>
  <si>
    <t>NO USAR-ING.ALIM. VIRGINI</t>
  </si>
  <si>
    <t>NYR LTDA</t>
  </si>
  <si>
    <t>ORODUL SA</t>
  </si>
  <si>
    <t>PARKING ASILO SRL</t>
  </si>
  <si>
    <t>PERLAS DEL MAR SA</t>
  </si>
  <si>
    <t>PORTO LTDA.</t>
  </si>
  <si>
    <t>POTONI S.A</t>
  </si>
  <si>
    <t>POTONI SA- BAR DE PIZZAS</t>
  </si>
  <si>
    <t>PRONTOGRAFICA S.A.</t>
  </si>
  <si>
    <t>PROVEEDOR GENERAL</t>
  </si>
  <si>
    <t>PROVEEDOR LIBRE PARA USAR</t>
  </si>
  <si>
    <t>RAEM - ADIUM PHARMA S.A.</t>
  </si>
  <si>
    <t>RIGUAL</t>
  </si>
  <si>
    <t>ROIRO SRL-LA FONDA DEL PU</t>
  </si>
  <si>
    <t>SENNA MANO MAX</t>
  </si>
  <si>
    <t>SERVICENTRO GOES SRL</t>
  </si>
  <si>
    <t>SERVICENTRO SAYAGO</t>
  </si>
  <si>
    <t>SHOWMIL SA</t>
  </si>
  <si>
    <t>SIMONETTA</t>
  </si>
  <si>
    <t>SISTEMA REFRIGERADOS S.R.</t>
  </si>
  <si>
    <t>SORIA LUCIA MARIA, BELLAN</t>
  </si>
  <si>
    <t>SUPERMERCADOS DISCO DEL U</t>
  </si>
  <si>
    <t>TACLEX SA</t>
  </si>
  <si>
    <t>THYSSENKRUPP ELEVADORES S</t>
  </si>
  <si>
    <t>TOP PARKING SRL</t>
  </si>
  <si>
    <t>UDELAR- FACULTAD DE QUIMI</t>
  </si>
  <si>
    <t>VIRGINIA BEATRIZ GILARDI</t>
  </si>
  <si>
    <t>VISUAR URUGUAY SA</t>
  </si>
  <si>
    <t>VIVIANA DOMINGUEZ TROBO</t>
  </si>
  <si>
    <t>JOAQUIN MENDEZ</t>
  </si>
  <si>
    <t>JILFER SA</t>
  </si>
  <si>
    <t>MISUROL SA</t>
  </si>
  <si>
    <t>EL QUINCHO SRL</t>
  </si>
  <si>
    <t>GRACIELA GAGLIARDI</t>
  </si>
  <si>
    <t>JORGE JESUS JAQUES YUBAR</t>
  </si>
  <si>
    <t>FERIBAN SA</t>
  </si>
  <si>
    <t>DACAS URUGUAY S A</t>
  </si>
  <si>
    <t>ELEONORA SCOSERIA PÉREZ</t>
  </si>
  <si>
    <t>MASTERLAND SA</t>
  </si>
  <si>
    <t>ALTA EQUIVOCADA</t>
  </si>
  <si>
    <t>ANTEL</t>
  </si>
  <si>
    <t>ANTIAGE SRL</t>
  </si>
  <si>
    <t>ARBURUAS FERRARI CARLOS A</t>
  </si>
  <si>
    <t>BANCO BBVA</t>
  </si>
  <si>
    <t>BERMUDEZ VEGA MARIA FERNA</t>
  </si>
  <si>
    <t>BONPOINT S.A.</t>
  </si>
  <si>
    <t>CLUB DEL PAIS</t>
  </si>
  <si>
    <t>CONGRESSUY S.A.S</t>
  </si>
  <si>
    <t>DANDAL SRL</t>
  </si>
  <si>
    <t>DANSTON S.A.</t>
  </si>
  <si>
    <t>DIEGO ETCHEGOYEN</t>
  </si>
  <si>
    <t>EMEDICAL SOCIEDAD ANONIMA</t>
  </si>
  <si>
    <t>EXTINOTRES D`ANDREA SRL</t>
  </si>
  <si>
    <t>FUNDACION DOUGLAS PIQUINE</t>
  </si>
  <si>
    <t>GARINO HNOS S.A</t>
  </si>
  <si>
    <t>GRAMON BAGO DE URUGUAY S</t>
  </si>
  <si>
    <t>GUECAIMBURU EHULETCHE MAR</t>
  </si>
  <si>
    <t>JACINTO RESTAURANT S.R.L</t>
  </si>
  <si>
    <t>KEIGUA SOCIEDAD ANONIMA</t>
  </si>
  <si>
    <t>MANOS DEL URUGUAY</t>
  </si>
  <si>
    <t>MARDESUR S.A.</t>
  </si>
  <si>
    <t>MARTIN CHIESA BRAVO</t>
  </si>
  <si>
    <t>MONTEVIDEO PORT SERVICES</t>
  </si>
  <si>
    <t>PRONTO REMISE S.R.L</t>
  </si>
  <si>
    <t>ROBINOL S.A.</t>
  </si>
  <si>
    <t>SAN ROQUE SOCIEDAD ANONIM</t>
  </si>
  <si>
    <t>SELLINWEB SRL</t>
  </si>
  <si>
    <t>SENGUA LTDA</t>
  </si>
  <si>
    <t>SOCIEDAD DE DERMATOLOGIA</t>
  </si>
  <si>
    <t>SOÑORA VERA ANA ELIZABETH</t>
  </si>
  <si>
    <t>TECNOKET S.A.</t>
  </si>
  <si>
    <t>TRAVEL FOOD LTDA</t>
  </si>
  <si>
    <t>VANALIM S A</t>
  </si>
  <si>
    <t>VISAO S.A.</t>
  </si>
  <si>
    <t>VIVERO MUSACCO SRL</t>
  </si>
  <si>
    <t>ZONA LAPTOP.COM.UY</t>
  </si>
  <si>
    <t>NOVARTIS PHARMA SERVICE I</t>
  </si>
  <si>
    <t>FERNANDEZ CANEPA VALENTIN</t>
  </si>
  <si>
    <t>LOTASIL SA</t>
  </si>
  <si>
    <t>MARIA ALEJANDRA REY SANGU</t>
  </si>
  <si>
    <t>MURRY S.A.</t>
  </si>
  <si>
    <t>PALERMO SANGENIS PABLO AG</t>
  </si>
  <si>
    <t>PINCHAK ROSALES MARIA CAT</t>
  </si>
  <si>
    <t>PIÑEIRO ANDREOLI DIEGO</t>
  </si>
  <si>
    <t>REFUERZOS SRL</t>
  </si>
  <si>
    <t>ATGEN SRL</t>
  </si>
  <si>
    <t>JOHNSON &amp; JOHNSON DE URUG</t>
  </si>
  <si>
    <t>XN URUGUAY S.A.</t>
  </si>
  <si>
    <t>C.A. MOSCA &amp; CIA SRL</t>
  </si>
  <si>
    <t>IMPRESORA VISION S.A.</t>
  </si>
  <si>
    <t>DE SOUZA CASALES JONATAN</t>
  </si>
  <si>
    <t>DASD</t>
  </si>
  <si>
    <t>RAEM - GBT-GRUPO BIOTOSCA</t>
  </si>
  <si>
    <t>BETBEDER Y GOLFARINI LTDA</t>
  </si>
  <si>
    <t>GOLFARINI LTDA</t>
  </si>
  <si>
    <t>ONIPLAN SA</t>
  </si>
  <si>
    <t>RESTAURANT CHARRUA</t>
  </si>
  <si>
    <t>CAPEX SA</t>
  </si>
  <si>
    <t>ROCCA Y CIA S.A.</t>
  </si>
  <si>
    <t>GONZALEZ PEREIRA JAIME Y</t>
  </si>
  <si>
    <t>PRUEBA</t>
  </si>
  <si>
    <t>FERRERE COMEX SAS</t>
  </si>
  <si>
    <t>PARADA 19</t>
  </si>
  <si>
    <t>TURRIGAL SA</t>
  </si>
  <si>
    <t>CONFITERIA LAS FAMILIAS S</t>
  </si>
  <si>
    <t>FRANCOLINO HNOS SRL</t>
  </si>
  <si>
    <t>HOSPITAL DE PAYSANDÚ</t>
  </si>
  <si>
    <t>IGNACIO DANIEL PIGNATA SC</t>
  </si>
  <si>
    <t>TRÁMITES Y MENSAJERIA LTD</t>
  </si>
  <si>
    <t>HERNANDEZ Y GONZALEZ S.A</t>
  </si>
  <si>
    <t>MIREMAR S.A.</t>
  </si>
  <si>
    <t>NORMISUR SA- CELLULAR CEN</t>
  </si>
  <si>
    <t>PALINSA SA- CARGA AEREA</t>
  </si>
  <si>
    <t>SOLUCIONES INFORMATICAS</t>
  </si>
  <si>
    <t>TREBOL AZUL SA</t>
  </si>
  <si>
    <t>DIRECCION NACIONAL DE ASU</t>
  </si>
  <si>
    <t>NOBELOY S.A.</t>
  </si>
  <si>
    <t>SKOL SOLUTIONS SRL</t>
  </si>
  <si>
    <t>DAC</t>
  </si>
  <si>
    <t>EL TALLER DE WILLY S.R.L</t>
  </si>
  <si>
    <t>NOVARTIS PHARMA LOGISTICS</t>
  </si>
  <si>
    <t>DIVONY SA</t>
  </si>
  <si>
    <t>JOSÉ ANGEL BELTRÁN HERNÁN</t>
  </si>
  <si>
    <t>FABISTAR S.A.</t>
  </si>
  <si>
    <t>JOHNSON Y JOHNSON DEL URU</t>
  </si>
  <si>
    <t>GRUPO OPCION SA</t>
  </si>
  <si>
    <t>TAUPO</t>
  </si>
  <si>
    <t>BAY SA</t>
  </si>
  <si>
    <t>S. BIDEGAIN S.A.</t>
  </si>
  <si>
    <t>RODRIGO CABRERA</t>
  </si>
  <si>
    <t>RODRIGO TABORDA</t>
  </si>
  <si>
    <t>A.CASTRO SERVICIOS &amp; TECN</t>
  </si>
  <si>
    <t>CIA RIOPLATENSE DE HOTELE</t>
  </si>
  <si>
    <t>MAREDADA S.A. - FARMALOG</t>
  </si>
  <si>
    <t>PAPELERIA ALDO SA</t>
  </si>
  <si>
    <t>IGNACIO GAMIO _NO USAR</t>
  </si>
  <si>
    <t>DROGUERIA URUGUAY S A</t>
  </si>
  <si>
    <t>IMPRESOS MANRIQUE LTDA</t>
  </si>
  <si>
    <t>LABORATORIOS INSTITUTO M.</t>
  </si>
  <si>
    <t>WTC REAL ESTATE SA</t>
  </si>
  <si>
    <t>ADERAL SA</t>
  </si>
  <si>
    <t>****GISELLA MOGGIOLO</t>
  </si>
  <si>
    <t>GISELLA MOGGIOLO</t>
  </si>
  <si>
    <t>ALTO PINO SA</t>
  </si>
  <si>
    <t>CERES</t>
  </si>
  <si>
    <t>CARLOS FABIAN CAIRELE</t>
  </si>
  <si>
    <t>THE OFFICE FRUIT SAS</t>
  </si>
  <si>
    <t>MYLAN LABORATORIES LIMITE</t>
  </si>
  <si>
    <t>LAKARCAT SA</t>
  </si>
  <si>
    <t>SUSIMAX SA</t>
  </si>
  <si>
    <t>SILOMAX SA</t>
  </si>
  <si>
    <t>ELPRO SA</t>
  </si>
  <si>
    <t>AA</t>
  </si>
  <si>
    <t>ABERSOL SA</t>
  </si>
  <si>
    <t>MARKET MEDIA SRL</t>
  </si>
  <si>
    <t>ABITAB SA</t>
  </si>
  <si>
    <t>PARKING ABREU</t>
  </si>
  <si>
    <t>ABRIKOR S.A.</t>
  </si>
  <si>
    <t>ACTIVE TRAVEL SRL</t>
  </si>
  <si>
    <t>ADECCO URUGUAY SA</t>
  </si>
  <si>
    <t>ADIUM URUGUAY SOCIEDAD AN</t>
  </si>
  <si>
    <t>ASOCIACION DE DIRIGENTES</t>
  </si>
  <si>
    <t>ADRIANA JACQUELINE NABON</t>
  </si>
  <si>
    <t>DIRECCION NACIONAL DE ADU</t>
  </si>
  <si>
    <t>LAKYFOR S.A.</t>
  </si>
  <si>
    <t>AERO CARGAS S.A.</t>
  </si>
  <si>
    <t>AEROLINEAS ARGENTINAS SA</t>
  </si>
  <si>
    <t>AFI-ASOC. DE FAR. DEL INT</t>
  </si>
  <si>
    <t>NIFEMARE S.A</t>
  </si>
  <si>
    <t>AGADU</t>
  </si>
  <si>
    <t>AGENCIA DE EVALUACION DE</t>
  </si>
  <si>
    <t>AGROSERVICIOS CHAPICUY LT</t>
  </si>
  <si>
    <t>AUDITORIA INTERNA DE LA N</t>
  </si>
  <si>
    <t>PIRLENO S.A.</t>
  </si>
  <si>
    <t>ALBERTO MESA FERNANDEZ</t>
  </si>
  <si>
    <t>NILOPER SA</t>
  </si>
  <si>
    <t>ALBINCO S.A.</t>
  </si>
  <si>
    <t>ALCON LABORATORIOS URUGUA</t>
  </si>
  <si>
    <t>ASOCIACION URUGUAYA DE AL</t>
  </si>
  <si>
    <t>ALDUC SRL</t>
  </si>
  <si>
    <t>ALEO S.R.L.</t>
  </si>
  <si>
    <t>LIVASY SA</t>
  </si>
  <si>
    <t>ALERO AZUL SA</t>
  </si>
  <si>
    <t>ALESO SRL</t>
  </si>
  <si>
    <t>ALFA SRL</t>
  </si>
  <si>
    <t>ALFREDO DANIEL FERREIRA B</t>
  </si>
  <si>
    <t>CÉSAR TABARE PRESA DELEÓN</t>
  </si>
  <si>
    <t>SCIENZA URUGUAY S.A</t>
  </si>
  <si>
    <t>ALSUR S R L</t>
  </si>
  <si>
    <t>ALTENIX SA</t>
  </si>
  <si>
    <t>ALVARO ANTONIO ZINNNO PEN</t>
  </si>
  <si>
    <t>AMAYA SCHIAVONI JOSE MART</t>
  </si>
  <si>
    <t>GRUPO MUNDO SAS</t>
  </si>
  <si>
    <t>AMWAY DE MEXICO SRL DE C.</t>
  </si>
  <si>
    <t>AMWAY URUGUAY</t>
  </si>
  <si>
    <t>ANA MARIA GOMEZ</t>
  </si>
  <si>
    <t>PROBURGUES SRL</t>
  </si>
  <si>
    <t>STI LTDA</t>
  </si>
  <si>
    <t>ASOC. DE AFILIADOS ANDA</t>
  </si>
  <si>
    <t>DARSENERO S.R.L. - ANDRES</t>
  </si>
  <si>
    <t>ANFEREX S.A.</t>
  </si>
  <si>
    <t>ANGELA DOS SANTOS QUINTAN</t>
  </si>
  <si>
    <t>ANTONELLA MUZI</t>
  </si>
  <si>
    <t>ANDREA PUPPI</t>
  </si>
  <si>
    <t>APIFER SA</t>
  </si>
  <si>
    <t>APPENNINO</t>
  </si>
  <si>
    <t>APPENNINO FERNANDEZ ROBER</t>
  </si>
  <si>
    <t>ASOCIACIÓN DE QUIMICA Y F</t>
  </si>
  <si>
    <t>ARANCET PALADINO GIMENA</t>
  </si>
  <si>
    <t>ARAUJO SANGURGO SANTIAGO</t>
  </si>
  <si>
    <t>ARAUJO ZUBIETA MARIANA BE</t>
  </si>
  <si>
    <t>ARAZATY CAMACHO</t>
  </si>
  <si>
    <t>AREGNO S.A.</t>
  </si>
  <si>
    <t>ESTABLE GRONROS SEBASTIAN</t>
  </si>
  <si>
    <t>ACCEIN GROUP S.R.L. - ARQ</t>
  </si>
  <si>
    <t>ARTCOMPUTERS LTDA</t>
  </si>
  <si>
    <t>ARTURO GERARDO WISZNEVER</t>
  </si>
  <si>
    <t>ASISTECBIO LTDA</t>
  </si>
  <si>
    <t>ASM S.A.</t>
  </si>
  <si>
    <t>ASOCIACION ESPAÑOLA PRIME</t>
  </si>
  <si>
    <t>ASOC URUGUAYA DE OFTALMOL</t>
  </si>
  <si>
    <t>ASOCIACION DE TRASPLANTAD</t>
  </si>
  <si>
    <t>ASOCIACION URUGUAYA DE MU</t>
  </si>
  <si>
    <t>AUTOLIDER URUGUAY SA</t>
  </si>
  <si>
    <t>AUTOMOVIL CLUB DEL URUGUA</t>
  </si>
  <si>
    <t>RAFAEL CASULO SEOANE</t>
  </si>
  <si>
    <t>AVA GOURMET SAS</t>
  </si>
  <si>
    <t>URUCAR SA</t>
  </si>
  <si>
    <t>MOLAK SA</t>
  </si>
  <si>
    <t>SIEMPRE PAGO SRL</t>
  </si>
  <si>
    <t>BARANUR S.A.</t>
  </si>
  <si>
    <t>IXCOYAN SA</t>
  </si>
  <si>
    <t>BARLEY SA</t>
  </si>
  <si>
    <t>LEONARDO BARNADA</t>
  </si>
  <si>
    <t>ECOBAL S.A.</t>
  </si>
  <si>
    <t>MANKER S.A.</t>
  </si>
  <si>
    <t>BASTIAN LTDA</t>
  </si>
  <si>
    <t>BAUDO GUERRA ANDRES</t>
  </si>
  <si>
    <t>BCI CONSULTING SRL</t>
  </si>
  <si>
    <t>BEISSO QUIJANO FRANCISCO</t>
  </si>
  <si>
    <t>BELEN PUGA</t>
  </si>
  <si>
    <t>BZ SAS</t>
  </si>
  <si>
    <t>BENKEL TARTATCHI EDUARDO</t>
  </si>
  <si>
    <t>BROBER S.R.L</t>
  </si>
  <si>
    <t>FILEMUR SA</t>
  </si>
  <si>
    <t>BANCO HIPOTECARIO DEL URU</t>
  </si>
  <si>
    <t>BIGBOX URUGUAY S.A.</t>
  </si>
  <si>
    <t>BIGSHOPY SA</t>
  </si>
  <si>
    <t>BLANQUEO SA</t>
  </si>
  <si>
    <t>BLOQUEADA</t>
  </si>
  <si>
    <t>BMLATAM S.R.L</t>
  </si>
  <si>
    <t>BOMEWYR S.A</t>
  </si>
  <si>
    <t>BONSEL SA</t>
  </si>
  <si>
    <t>PIMESOL S.A.</t>
  </si>
  <si>
    <t>SOLUXIT S.R.L. PRUEBA PRO</t>
  </si>
  <si>
    <t>BANCO DE PROVISION SOCIAL</t>
  </si>
  <si>
    <t>W. GENTA Y CIA LTDA</t>
  </si>
  <si>
    <t>BRACORAL SA</t>
  </si>
  <si>
    <t>BRALTECH S.A.</t>
  </si>
  <si>
    <t>BRESOLIR SA</t>
  </si>
  <si>
    <t>BRUNVEL S.A.</t>
  </si>
  <si>
    <t>BANCO DE SEGUROS DEL ESTA</t>
  </si>
  <si>
    <t>ORIGINAL 19 S.A.S</t>
  </si>
  <si>
    <t>BUQUEBAR SRL</t>
  </si>
  <si>
    <t>LEZAMA LEZAMA STELLA MARI</t>
  </si>
  <si>
    <t>ALCINO SRL</t>
  </si>
  <si>
    <t>OPREC SRL - BUS 90</t>
  </si>
  <si>
    <t>EDITORIAL AGORA S.A.</t>
  </si>
  <si>
    <t>DAMIBEN S.R.L</t>
  </si>
  <si>
    <t>CACIQUE GROUP SAS</t>
  </si>
  <si>
    <t>NIGATEX SA</t>
  </si>
  <si>
    <t>RYMUR S.A. - CAFE MARTINE</t>
  </si>
  <si>
    <t>DUNAMYR SA</t>
  </si>
  <si>
    <t>FEDERICO VIEIRA- MARTINS</t>
  </si>
  <si>
    <t>PLERTYS SA</t>
  </si>
  <si>
    <t>COMISION DE APOYO AL HOSP</t>
  </si>
  <si>
    <t>FUNDACION ALVAREZ - CALDE</t>
  </si>
  <si>
    <t>CAMACHO OTERO JENNY PAOLA</t>
  </si>
  <si>
    <t>VILAS LAFRANCHI MARÍA EUG</t>
  </si>
  <si>
    <t>DELUXE S A</t>
  </si>
  <si>
    <t>CARDELY S.R.L.</t>
  </si>
  <si>
    <t>R.A. PORTA SRL</t>
  </si>
  <si>
    <t>CARLOS GUTIERREZ SA</t>
  </si>
  <si>
    <t>CARRETAS SHOPPING CENTER</t>
  </si>
  <si>
    <t>CASA DE GALICIA</t>
  </si>
  <si>
    <t>ARRALDE PEROSSIO JUAN A</t>
  </si>
  <si>
    <t>CASA ELIO OCAMPOS SC</t>
  </si>
  <si>
    <t>KATHERINE PAOLA VEGA</t>
  </si>
  <si>
    <t>CASH SA</t>
  </si>
  <si>
    <t>CASTILLA FLORES LIMITADA</t>
  </si>
  <si>
    <t>ARNALDO CASTRO SA</t>
  </si>
  <si>
    <t>A. CASTRO SERVICIOS &amp; TEC</t>
  </si>
  <si>
    <t>S BIDEGAIN S A</t>
  </si>
  <si>
    <t>FF - BEATRIZ CATALÁN</t>
  </si>
  <si>
    <t>SILVANA GUICHON</t>
  </si>
  <si>
    <t>CCCM</t>
  </si>
  <si>
    <t>CAMARA DE ESPECIALIDADES</t>
  </si>
  <si>
    <t>CEGEMA LTDA</t>
  </si>
  <si>
    <t>ALEJANDRO CEJAS</t>
  </si>
  <si>
    <t>CELEMYR SA</t>
  </si>
  <si>
    <t>SHOPPING-W LTD</t>
  </si>
  <si>
    <t>FUNDACION PRIVADA CEMCAT</t>
  </si>
  <si>
    <t>CENATH</t>
  </si>
  <si>
    <t>CASTEL ABBATE SA</t>
  </si>
  <si>
    <t>CENTRO DE FARMACIAS DEL U</t>
  </si>
  <si>
    <t>CENTRO DE PROMOCION POR L</t>
  </si>
  <si>
    <t>CENTRO DE ESTUDIOS DE LA</t>
  </si>
  <si>
    <t>SORDI BARONIO RICARDO</t>
  </si>
  <si>
    <t>GMSV S.A.</t>
  </si>
  <si>
    <t>GUNTER SCHAAF SA</t>
  </si>
  <si>
    <t>SIXCAFE SAS</t>
  </si>
  <si>
    <t>TURISMO INTERNACIONAL S.A</t>
  </si>
  <si>
    <t>QBIC PROYECTOS SRL</t>
  </si>
  <si>
    <t>RUMBOS TURISMO SRL</t>
  </si>
  <si>
    <t>JOAQUIN ARISTE VUILLE DE</t>
  </si>
  <si>
    <t>NAHMIAS ABULAFIA SUSANA Y</t>
  </si>
  <si>
    <t>CIATRAN SRL</t>
  </si>
  <si>
    <t>CIBENCAR S.A.</t>
  </si>
  <si>
    <t>CICATSALUD</t>
  </si>
  <si>
    <t>KIXOLER SA</t>
  </si>
  <si>
    <t>CIEPE S.A</t>
  </si>
  <si>
    <t>CIFOB LOGISTICS</t>
  </si>
  <si>
    <t>1° SUPERMERCADO DE PLANTA</t>
  </si>
  <si>
    <t>CAJA DE PROFESIONALES UNI</t>
  </si>
  <si>
    <t>TELSTAR SA</t>
  </si>
  <si>
    <t>CLAUDIA GIMENEZ</t>
  </si>
  <si>
    <t>BARCELO BOBBA ASOCIADOS S</t>
  </si>
  <si>
    <t>CLEARWATER URUGUAY SRL</t>
  </si>
  <si>
    <t>TOTALBOX SA</t>
  </si>
  <si>
    <t>CLUB DE GOLF DEL URUGUAY</t>
  </si>
  <si>
    <t>COOPERATIVA DE VIVIENDA M</t>
  </si>
  <si>
    <t>COBRAL SA</t>
  </si>
  <si>
    <t>COOPERATIVA DE CONSUMO DE</t>
  </si>
  <si>
    <t>COLBEN LTDA</t>
  </si>
  <si>
    <t>CARBAJAL RODRIGUEZ ALEJAN</t>
  </si>
  <si>
    <t>COLONIA LTDA</t>
  </si>
  <si>
    <t>COMAG</t>
  </si>
  <si>
    <t>PALDIR SA</t>
  </si>
  <si>
    <t>CAFUMA S.A</t>
  </si>
  <si>
    <t>CONFITERIA NUEVO POCITOS</t>
  </si>
  <si>
    <t>ARTVIX S.A.</t>
  </si>
  <si>
    <t>AGREMIAICION DE LA MUSICA</t>
  </si>
  <si>
    <t>COPIPLAN SA</t>
  </si>
  <si>
    <t>CORBELIAS S.A.</t>
  </si>
  <si>
    <t>CORIN S.A.</t>
  </si>
  <si>
    <t>CORPORACIÓN VIAL DEL URUG</t>
  </si>
  <si>
    <t>COMPAÑIA ORIENTAL DE TRAN</t>
  </si>
  <si>
    <t>HOTEL COTTAGE S.A.</t>
  </si>
  <si>
    <t>ISOARDI LEONARDO MARIA, G</t>
  </si>
  <si>
    <t>FIDUNER ZONE S.A.</t>
  </si>
  <si>
    <t>FIDUNER ZONE SA</t>
  </si>
  <si>
    <t>PROVEEDOR CPD URUGUAY - E</t>
  </si>
  <si>
    <t>PROVEEDOR CPD URUGUAY</t>
  </si>
  <si>
    <t>SOSA PEREZ GLORIA SUSANA,</t>
  </si>
  <si>
    <t>HOTEL CROWN</t>
  </si>
  <si>
    <t>CUADRA LONG DOMINGO SANTI</t>
  </si>
  <si>
    <t>CSL BEHRING -NO USAR</t>
  </si>
  <si>
    <t>CUDER S.A.</t>
  </si>
  <si>
    <t>TERMINAL CUENCA DEL PLATA</t>
  </si>
  <si>
    <t>MIDOMUX SA</t>
  </si>
  <si>
    <t>CYNEL SA</t>
  </si>
  <si>
    <t>ENCOMIENDAS DE LITORAL LT</t>
  </si>
  <si>
    <t>DAFINET SA</t>
  </si>
  <si>
    <t>DANAFORT SA</t>
  </si>
  <si>
    <t>LAKEBAL SA</t>
  </si>
  <si>
    <t>DANTIROL S.A</t>
  </si>
  <si>
    <t>NOBELOY SA</t>
  </si>
  <si>
    <t>DATAIQ URUGUAY S.R.L</t>
  </si>
  <si>
    <t>DDL OUTSOURCING URUGUAY S</t>
  </si>
  <si>
    <t>DE FEO IBARRA MARIA GABRI</t>
  </si>
  <si>
    <t>DE LOS SANTOS DA ROSA MAR</t>
  </si>
  <si>
    <t>DEALME SA</t>
  </si>
  <si>
    <t>DEBIFOX SA</t>
  </si>
  <si>
    <t>DECOSTAR S.A.</t>
  </si>
  <si>
    <t>DECOSTAR IT LTDA</t>
  </si>
  <si>
    <t>ENALUR S.A.</t>
  </si>
  <si>
    <t>16 DE DICIEMBRE SRL</t>
  </si>
  <si>
    <t>HYCIA SRL</t>
  </si>
  <si>
    <t>DELMAR SRL</t>
  </si>
  <si>
    <t>REY VILLANUEVA,SILVIA FOR</t>
  </si>
  <si>
    <t>DESEM DEL URUGUAY</t>
  </si>
  <si>
    <t>MERCADOS DEVOTO SA</t>
  </si>
  <si>
    <t>GRUPO QUIMICO SRL</t>
  </si>
  <si>
    <t>DHL (URUGUAY) S.R.L.</t>
  </si>
  <si>
    <t>DIEGO ALVAREZ</t>
  </si>
  <si>
    <t>TOUYA OLSEN BOJE DIEGO AN</t>
  </si>
  <si>
    <t>DIGITAL AUTOMATION S.R.L</t>
  </si>
  <si>
    <t>DIGITAL AUTOMATION DE URU</t>
  </si>
  <si>
    <t>DIGITAL SENSE TECHNOLOGIE</t>
  </si>
  <si>
    <t>FACAL CABAL S.A.</t>
  </si>
  <si>
    <t>DINAMICAR SA</t>
  </si>
  <si>
    <t>DINIL S.A.</t>
  </si>
  <si>
    <t>DISEÑO BASICO SRL</t>
  </si>
  <si>
    <t>DISMONT LTDA.</t>
  </si>
  <si>
    <t>DISTRICOMP SA</t>
  </si>
  <si>
    <t>LIPINER S.A.</t>
  </si>
  <si>
    <t>MAPED SRL</t>
  </si>
  <si>
    <t>DONYKLEN S.A.</t>
  </si>
  <si>
    <t>DOZO FABIO AURELIO</t>
  </si>
  <si>
    <t>DAUBER MARTA ALBERTO MARI</t>
  </si>
  <si>
    <t>DR. PABLO LABANDERA</t>
  </si>
  <si>
    <t>AGNETA S.A</t>
  </si>
  <si>
    <t>DUARTE MARTÍNEZ FREDDY JE</t>
  </si>
  <si>
    <t>DUBOURDIEU NAVA DENISE</t>
  </si>
  <si>
    <t>ANTONIOL GOLLER MARIA SOF</t>
  </si>
  <si>
    <t>DURAPEX SA</t>
  </si>
  <si>
    <t>DWR CONSULTING SRL</t>
  </si>
  <si>
    <t>EP ADMIN LTDA</t>
  </si>
  <si>
    <t>COLMAN DELGADO HECTOR LEO</t>
  </si>
  <si>
    <t>ECLIPSE EVENTOS SAS</t>
  </si>
  <si>
    <t>ECOPY SRL</t>
  </si>
  <si>
    <t>EDELWEYSS MARIA SCHURJIN</t>
  </si>
  <si>
    <t>EDICIONES SRL</t>
  </si>
  <si>
    <t>COUNCIL OF EUROPE - EDQM</t>
  </si>
  <si>
    <t>EDUARDO ARIEL SOSA NELCIS</t>
  </si>
  <si>
    <t>REVELACION SA</t>
  </si>
  <si>
    <t>ADMINISTRACION NACIONAL D</t>
  </si>
  <si>
    <t>EL FARO LTDA</t>
  </si>
  <si>
    <t>CALDESBLEN SA-EL ITALIANO</t>
  </si>
  <si>
    <t>MICROCOSMOS S.A</t>
  </si>
  <si>
    <t>EL PAIS SA</t>
  </si>
  <si>
    <t>EL PALACIO DEL CAFE SA</t>
  </si>
  <si>
    <t>TEVEMIX SA</t>
  </si>
  <si>
    <t>EL PAQUIN LTDA</t>
  </si>
  <si>
    <t>BASCE UGARTE MARIA ELOISA</t>
  </si>
  <si>
    <t>NARVINES S.A.</t>
  </si>
  <si>
    <t>NEVES JOAQUIN JIMENEZ DE</t>
  </si>
  <si>
    <t>ETNLFARMA SA</t>
  </si>
  <si>
    <t>ELANET SA</t>
  </si>
  <si>
    <t>ELBA PATRICIA VILA DE LEÓ</t>
  </si>
  <si>
    <t>ELIASUR SA</t>
  </si>
  <si>
    <t>ELOISA RIVA</t>
  </si>
  <si>
    <t>TRIPLE LAB SAS</t>
  </si>
  <si>
    <t>ASOCIACION CIVIL ESCLEROS</t>
  </si>
  <si>
    <t>MARCOVECCHIO URCELAY PABL</t>
  </si>
  <si>
    <t>ENCATEX SA</t>
  </si>
  <si>
    <t>FUNDACION DR.FCO FERNANDE</t>
  </si>
  <si>
    <t>ENDEAVOR URUGUAY</t>
  </si>
  <si>
    <t>HERRERA HEBER ENRIQUE</t>
  </si>
  <si>
    <t>BAY S.A.</t>
  </si>
  <si>
    <t>ERGUS SRL</t>
  </si>
  <si>
    <t>ERNST &amp; YOUNG UY SAS</t>
  </si>
  <si>
    <t>ESCARAMUZA SRL</t>
  </si>
  <si>
    <t>BEAUTIFUL STATE S.R.L.</t>
  </si>
  <si>
    <t>TAZ LTDA</t>
  </si>
  <si>
    <t>ESTACION LUJAN SRL</t>
  </si>
  <si>
    <t>BOMGREEN SA</t>
  </si>
  <si>
    <t>FERNANDO RAFAEL PENA BECE</t>
  </si>
  <si>
    <t>ROBERTO RUGLIO BACHINO</t>
  </si>
  <si>
    <t>TECHERA TRINKENSCHU VICTO</t>
  </si>
  <si>
    <t>ESTUDIO VARELA Y ASOC. SR</t>
  </si>
  <si>
    <t>EVELYN CRUDO</t>
  </si>
  <si>
    <t>TOC SAS PRUEBA PROV</t>
  </si>
  <si>
    <t>EXPEDITORS INTERNATIONAL</t>
  </si>
  <si>
    <t>F &amp; F S R L</t>
  </si>
  <si>
    <t>GARCIA FERNANDO DANIEL</t>
  </si>
  <si>
    <t>HUNTER DESARROLLOS Y VENT</t>
  </si>
  <si>
    <t>FF- FABIANA PEREGALLI</t>
  </si>
  <si>
    <t>FACULTAD DE QUIMICA</t>
  </si>
  <si>
    <t>FANIRAL SA</t>
  </si>
  <si>
    <t>MAREDADA S.A</t>
  </si>
  <si>
    <t>DISMEDICAL S.A.</t>
  </si>
  <si>
    <t>FARMAMONDO LATINOAMERICA</t>
  </si>
  <si>
    <t>INFORMEDICA S.R.L. - FARM</t>
  </si>
  <si>
    <t>PLATERAN S.A.</t>
  </si>
  <si>
    <t>COBOE S.A.</t>
  </si>
  <si>
    <t>FARMATEST</t>
  </si>
  <si>
    <t>DRA. MARISA I. FAZZINO AG</t>
  </si>
  <si>
    <t>FEDERAL EXPRESS CORP.</t>
  </si>
  <si>
    <t>FELEMAX SA</t>
  </si>
  <si>
    <t>FERDICOR SA</t>
  </si>
  <si>
    <t>FERNANDEZ NUÑEZ HERMANOS</t>
  </si>
  <si>
    <t>FERRARI SRL</t>
  </si>
  <si>
    <t>FERREIRA BACCIARINI JOAQU</t>
  </si>
  <si>
    <t>MAYER AGUSTIN , GONZALEZ</t>
  </si>
  <si>
    <t>DARI SRL</t>
  </si>
  <si>
    <t>GIAMPIERO ABATEMARCO</t>
  </si>
  <si>
    <t>ADRIANA GUTIERREZ</t>
  </si>
  <si>
    <t>ALDANA MARISOL CISNERO FL</t>
  </si>
  <si>
    <t>ANA LAURA BOGAO</t>
  </si>
  <si>
    <t>BELÉN ROCÍO PUGA MILÁN</t>
  </si>
  <si>
    <t>BETIANA FALCON</t>
  </si>
  <si>
    <t>CAROLINA DE FERRARI</t>
  </si>
  <si>
    <t>CAROLINA RABELA</t>
  </si>
  <si>
    <t>ALEJANDRO DAMIAN CEJAS</t>
  </si>
  <si>
    <t>CELESTE KALEFF</t>
  </si>
  <si>
    <t>CHIARA APPENNINO</t>
  </si>
  <si>
    <t>CHIARA APPENNINO FAZZOLAR</t>
  </si>
  <si>
    <t>DANIELA FERNANDEZ</t>
  </si>
  <si>
    <t>DIANA VIRGINIA CASTRO BEL</t>
  </si>
  <si>
    <t>ELIANA RIBEIRO</t>
  </si>
  <si>
    <t>PATRICIA FILLUELO</t>
  </si>
  <si>
    <t>GUILLERMO LOPEZ MORAS</t>
  </si>
  <si>
    <t>GUSTAVO ALVAREZ</t>
  </si>
  <si>
    <t>HERNAN COLMENERO</t>
  </si>
  <si>
    <t>JORGE FRUTOS</t>
  </si>
  <si>
    <t>JOSEFINA PONCE DE LEÓN</t>
  </si>
  <si>
    <t>JULIA STEPHANIE ARIAS CRU</t>
  </si>
  <si>
    <t>LEONARDO FABIAN LARRAMEND</t>
  </si>
  <si>
    <t>LAURA MARTINEZ</t>
  </si>
  <si>
    <t>MARCELO FORNOS</t>
  </si>
  <si>
    <t>MARTIN AIRALDI</t>
  </si>
  <si>
    <t>GONZALO NANDE</t>
  </si>
  <si>
    <t>PATRICIO JAUREGUIBERRY</t>
  </si>
  <si>
    <t>SANTIAGO LOPEZ REY</t>
  </si>
  <si>
    <t>VALERIA PERDOMO</t>
  </si>
  <si>
    <t>VERONICA SEIJAS</t>
  </si>
  <si>
    <t>JOSELINE MANSINI</t>
  </si>
  <si>
    <t>ALEXIS DA ROZA</t>
  </si>
  <si>
    <t>JUAN MANUEL BOUTUREIRA</t>
  </si>
  <si>
    <t>MARIA PIRRONGELLI</t>
  </si>
  <si>
    <t>MIKAELA GONZALEZ</t>
  </si>
  <si>
    <t>ANDRES ASTI</t>
  </si>
  <si>
    <t>ALFONSO PONCE DE LEON</t>
  </si>
  <si>
    <t>FRATOCCHI INVERNIZZI VALE</t>
  </si>
  <si>
    <t>PARBER S.R.L</t>
  </si>
  <si>
    <t>FUNDACION MANUEL PEREZ</t>
  </si>
  <si>
    <t>FONDO NACIONAL DE RECURSO</t>
  </si>
  <si>
    <t>FONDO FIJO</t>
  </si>
  <si>
    <t>EDARLA S.A.</t>
  </si>
  <si>
    <t>DE MARIO A. VIÑAS PACHECO</t>
  </si>
  <si>
    <t>ROMALUR SA</t>
  </si>
  <si>
    <t>ANDRES GARCIA VERDIE</t>
  </si>
  <si>
    <t>KIELTO SA</t>
  </si>
  <si>
    <t>FRANCISCO BEISSO</t>
  </si>
  <si>
    <t>FRATELLO LTDA</t>
  </si>
  <si>
    <t>FRIGORÍFICO CASA BLANCA S</t>
  </si>
  <si>
    <t>FUNDACION PARA EL DESARRO</t>
  </si>
  <si>
    <t>FUNDACION HONRAR LA VIDA</t>
  </si>
  <si>
    <t>FUNDACION HILO ROSA</t>
  </si>
  <si>
    <t>FUNDACIÓN HUMANIZA JOSEFI</t>
  </si>
  <si>
    <t>GABRIEL ALBERTO VANELLI C</t>
  </si>
  <si>
    <t>GUSTAVO RUVERTONI</t>
  </si>
  <si>
    <t>BENDAHAN MARIN GABRIEL</t>
  </si>
  <si>
    <t>CR GABRIEL FERRERE &amp; ASES</t>
  </si>
  <si>
    <t>ALEJANDRO S.SZIFER HERSZE</t>
  </si>
  <si>
    <t>DIVONY S.A.</t>
  </si>
  <si>
    <t>SOLUCIONES PUBLICITARIAS</t>
  </si>
  <si>
    <t>GAMBER SA</t>
  </si>
  <si>
    <t>J. RODRIGUEZ GANDARA Y CI</t>
  </si>
  <si>
    <t>GARAGE CERRITO LTDA.</t>
  </si>
  <si>
    <t>AETATIS SA</t>
  </si>
  <si>
    <t>STAHL SA</t>
  </si>
  <si>
    <t>KEIMER SA</t>
  </si>
  <si>
    <t>GRANDES COMPLEJOS S.R.L.</t>
  </si>
  <si>
    <t>GBT - GRUPO BIOTOSCANA S.</t>
  </si>
  <si>
    <t>GBT - GRUPO BIOTOSCANA SA</t>
  </si>
  <si>
    <t>GEALOR SA-</t>
  </si>
  <si>
    <t>MOSTEIRO LARRASCQ GERARDO</t>
  </si>
  <si>
    <t>GERARDO DANIEL IBARRURI P</t>
  </si>
  <si>
    <t>GERARDO OSCAR PERNIGOTTI</t>
  </si>
  <si>
    <t>GERMAN FERRE CASTIGLIA</t>
  </si>
  <si>
    <t>GISELLA SILVIA MAGGIOLO V</t>
  </si>
  <si>
    <t>GLADIL S.A.</t>
  </si>
  <si>
    <t>BENSASSON ZENGIN LEA</t>
  </si>
  <si>
    <t>DIFIER S.A</t>
  </si>
  <si>
    <t>G.O.C.U.R</t>
  </si>
  <si>
    <t>GOMEZ Y ASOCIADOS SRL</t>
  </si>
  <si>
    <t>FRUTICOLA LIBERTAD S.A.</t>
  </si>
  <si>
    <t>GRALADO S.A.</t>
  </si>
  <si>
    <t>LESA LTDA</t>
  </si>
  <si>
    <t>GESTION Y PERSONAS S.A. S</t>
  </si>
  <si>
    <t>GREEN IT SRL</t>
  </si>
  <si>
    <t>ALANIS VANELLI LOURDES GR</t>
  </si>
  <si>
    <t>MARIO LEV BURCIKUS</t>
  </si>
  <si>
    <t>GRUPO OPCION SAS</t>
  </si>
  <si>
    <t>GRUPO PUBLICITARIO PERFIL</t>
  </si>
  <si>
    <t>ASOCIACION CIVIL EAN URUG</t>
  </si>
  <si>
    <t>GLAXOSMITHKLINE URUGUAY S</t>
  </si>
  <si>
    <t>XICARA S.A.</t>
  </si>
  <si>
    <t>GUSTAVO A MATEU</t>
  </si>
  <si>
    <t>GXC S.A</t>
  </si>
  <si>
    <t>INFODYNAMICS SRL</t>
  </si>
  <si>
    <t>HENNES &amp; MAURITZ URUGUAY</t>
  </si>
  <si>
    <t>ACUAMAR S.A.</t>
  </si>
  <si>
    <t>HASFELY SA</t>
  </si>
  <si>
    <t>HDI SEGUROS S.A.</t>
  </si>
  <si>
    <t>SOC. DE HEMATOLOGIA DEL U</t>
  </si>
  <si>
    <t>FUNDACION HERRERA RAMOS</t>
  </si>
  <si>
    <t>FERNANDEZ GONZALEZ YANINA</t>
  </si>
  <si>
    <t>NIMACLOUD SA</t>
  </si>
  <si>
    <t>FERIS GRASSI MIGUEL RAMON</t>
  </si>
  <si>
    <t>ARISMENDI BASCOU Y RODRIG</t>
  </si>
  <si>
    <t>DDBA LTDA</t>
  </si>
  <si>
    <t>KEROLIN S.A.</t>
  </si>
  <si>
    <t>RONDILCOR S.A.</t>
  </si>
  <si>
    <t>LA SOCIEDAD HOSPITAL BRIT</t>
  </si>
  <si>
    <t>UDELAR - H. DE CLINICAS -</t>
  </si>
  <si>
    <t>LOTIDER S.A.</t>
  </si>
  <si>
    <t>ARENA ROSA S A</t>
  </si>
  <si>
    <t>TANILO S.A</t>
  </si>
  <si>
    <t>MONTEFOR S.A.</t>
  </si>
  <si>
    <t>NARANPARK S.A.</t>
  </si>
  <si>
    <t>ALARIL S.A.</t>
  </si>
  <si>
    <t>ALONSO Y CIA LTDA</t>
  </si>
  <si>
    <t>HUGO QUEIROLO</t>
  </si>
  <si>
    <t>FIDEICOMISO 62148/11</t>
  </si>
  <si>
    <t>REDINAR SA</t>
  </si>
  <si>
    <t>IBERIA LINEAS AEREAS DE E</t>
  </si>
  <si>
    <t>IBERPARK SA</t>
  </si>
  <si>
    <t>TINCROY S.A</t>
  </si>
  <si>
    <t>IGNACIO DIAZ AMONTE</t>
  </si>
  <si>
    <t>VELTIDOR SA</t>
  </si>
  <si>
    <t>VELTIMOR S.A</t>
  </si>
  <si>
    <t>ILETUR SA</t>
  </si>
  <si>
    <t>INTENDENCIA DE MONTEVIDEO</t>
  </si>
  <si>
    <t>AROCENA ALONSO Y AROCENA</t>
  </si>
  <si>
    <t>INTERAMERICANA DE COMPUTO</t>
  </si>
  <si>
    <t>ABACAUS SA</t>
  </si>
  <si>
    <t>LAGOMARSINO IGLESIAS WALT</t>
  </si>
  <si>
    <t>INGENER S.A.</t>
  </si>
  <si>
    <t>INTERCAR SA</t>
  </si>
  <si>
    <t>INVENTADA 2</t>
  </si>
  <si>
    <t>MARBUS S.A</t>
  </si>
  <si>
    <t>INZONE S.A.</t>
  </si>
  <si>
    <t>INSUMOS PROFESIONALES PAR</t>
  </si>
  <si>
    <t>IMS HEALTH URUGUAY SA</t>
  </si>
  <si>
    <t>BANCO ITAU COMPRA ME - NO</t>
  </si>
  <si>
    <t>ITAU - PRESTAMOS USD</t>
  </si>
  <si>
    <t>ITPRO S.A.S.</t>
  </si>
  <si>
    <t>TENVIA S.A.</t>
  </si>
  <si>
    <t>FF- IVAN CHURSIN</t>
  </si>
  <si>
    <t>ARISPE MARTINEZ RUBEN NEL</t>
  </si>
  <si>
    <t>ALTENIX S.A.</t>
  </si>
  <si>
    <t>JANKOVICS RETTICH DANIEL</t>
  </si>
  <si>
    <t>JHEREMY ENRIQUE REYES CAS</t>
  </si>
  <si>
    <t>JORGE ALONZO</t>
  </si>
  <si>
    <t>ESTABLECIMIENTO JUANICO S</t>
  </si>
  <si>
    <t>JUJO S.R.L.</t>
  </si>
  <si>
    <t>JULIA ARIAS</t>
  </si>
  <si>
    <t>CARRAU MAGARIÑOS JULIANA</t>
  </si>
  <si>
    <t>JULIO RAMIREZ Y CIA S.A.</t>
  </si>
  <si>
    <t>JUNAMER LTD</t>
  </si>
  <si>
    <t>KALTIN SA</t>
  </si>
  <si>
    <t>KAVET S.A.</t>
  </si>
  <si>
    <t>LGJ SAS</t>
  </si>
  <si>
    <t>AFACOR S.A.</t>
  </si>
  <si>
    <t>MARIA MAGDALENA FERIA COR</t>
  </si>
  <si>
    <t>DE LOS REYES CARRERA JOSE</t>
  </si>
  <si>
    <t>KNIGHT THERAPEUTICS INTER</t>
  </si>
  <si>
    <t>MORA LTDA</t>
  </si>
  <si>
    <t>KORO SA</t>
  </si>
  <si>
    <t>KPM S.R.L</t>
  </si>
  <si>
    <t>KPMG SOCIEDAD CIVIL</t>
  </si>
  <si>
    <t>KUEHNE NAGEL</t>
  </si>
  <si>
    <t>MAR DE HIERBAS SA</t>
  </si>
  <si>
    <t>JEROME LTDA</t>
  </si>
  <si>
    <t>LA CASA VIOLETA SA</t>
  </si>
  <si>
    <t>LA CLARABOYA SA</t>
  </si>
  <si>
    <t>TRISOL SA</t>
  </si>
  <si>
    <t>LA ESKINA 8 SRL</t>
  </si>
  <si>
    <t>LOPEZ Y PARDIÑAS LTDA</t>
  </si>
  <si>
    <t>BAZAR LA IBERICA S A</t>
  </si>
  <si>
    <t>TOMASA SRL</t>
  </si>
  <si>
    <t>LA NUEVA AVENIDA S.A.</t>
  </si>
  <si>
    <t>BIELOMAS SA</t>
  </si>
  <si>
    <t>SUSANA ESTHER GOLOVCO NIK</t>
  </si>
  <si>
    <t>PEREIRA MARQUEZ ALEJANDRO</t>
  </si>
  <si>
    <t>POSEDI SRL</t>
  </si>
  <si>
    <t>SIEMBRASUR S.A.</t>
  </si>
  <si>
    <t>LAGO BUSTAMANTE GONZALO G</t>
  </si>
  <si>
    <t>ESTACIÓN LAGOMAR LTDA</t>
  </si>
  <si>
    <t>LARDEY SA</t>
  </si>
  <si>
    <t>LAN CARGO SA</t>
  </si>
  <si>
    <t>PASWER INTERNATIONAL S.A.</t>
  </si>
  <si>
    <t>LATU</t>
  </si>
  <si>
    <t>LEDASIT S.A</t>
  </si>
  <si>
    <t>LEOPOLDO GROSS Y ASOC. S.</t>
  </si>
  <si>
    <t>ESTUDIO LEIZA-SCHURJIN</t>
  </si>
  <si>
    <t>LEM PEDRO MARTINEZ QUEIRO</t>
  </si>
  <si>
    <t>LEONARDO BARNADA USD</t>
  </si>
  <si>
    <t>MAINE NAVAS LEONARDO ROBE</t>
  </si>
  <si>
    <t>AGUIAR COZZANO LETICIA BE</t>
  </si>
  <si>
    <t>MARIO LEV BURCIKUS-USD</t>
  </si>
  <si>
    <t>PARKING LIBERTAD</t>
  </si>
  <si>
    <t>CUADRADO AONSO FERNANDO J</t>
  </si>
  <si>
    <t>LIDERTIS S.A</t>
  </si>
  <si>
    <t>LIFE CARE SRL</t>
  </si>
  <si>
    <t>MARIA VIRGINIA FASANO FER</t>
  </si>
  <si>
    <t>LYA SA</t>
  </si>
  <si>
    <t>ANA MARIA YAQUE COSTA Y N</t>
  </si>
  <si>
    <t>DEKINEL SA</t>
  </si>
  <si>
    <t>LODIL S.A.</t>
  </si>
  <si>
    <t>LOGICALIS URUGUAY S.A.</t>
  </si>
  <si>
    <t>RUMPEL SA</t>
  </si>
  <si>
    <t>LOS DOMINGUEZ SA</t>
  </si>
  <si>
    <t>LOS ESPAÑOLES</t>
  </si>
  <si>
    <t>DRANTO SOCIEDAD ANONIMA</t>
  </si>
  <si>
    <t>LSQA S.A.</t>
  </si>
  <si>
    <t>IGNACIO GAMIO</t>
  </si>
  <si>
    <t>LUCIA CARPIUC- QUIM.FARMA</t>
  </si>
  <si>
    <t>MELIBAN S.A.</t>
  </si>
  <si>
    <t>VALOR INDUSTRIAL SA</t>
  </si>
  <si>
    <t>ICANIL SA</t>
  </si>
  <si>
    <t>LYMO S.A</t>
  </si>
  <si>
    <t>RAMALA S.A.</t>
  </si>
  <si>
    <t>MARIA DEL PILAR FERREIRA</t>
  </si>
  <si>
    <t>MACARENA V.</t>
  </si>
  <si>
    <t>MACROMERCADO MAYORISTA SA</t>
  </si>
  <si>
    <t>QUINTILIANO TECHERA VIERA</t>
  </si>
  <si>
    <t>RAMON DOBAL FILGUIERA</t>
  </si>
  <si>
    <t>MALCAR S.R.L.</t>
  </si>
  <si>
    <t>ARIS S A</t>
  </si>
  <si>
    <t>MANRIQUE MAIOCHI MARIA IN</t>
  </si>
  <si>
    <t>MAPA SA</t>
  </si>
  <si>
    <t>MAPFRE URUGUAY SEGUROS S.</t>
  </si>
  <si>
    <t>MARCELO APPENNINO FERNAND</t>
  </si>
  <si>
    <t>MARCELO OMAR COLABELLI</t>
  </si>
  <si>
    <t>MARCELO SENA_PRESTAMO PER</t>
  </si>
  <si>
    <t>MARCIRY S.A.</t>
  </si>
  <si>
    <t>MAREAL S.R.L</t>
  </si>
  <si>
    <t>JORGE ESTEBAN RIGANTI MUR</t>
  </si>
  <si>
    <t>MARIA CARINA MARTINEZ ALV</t>
  </si>
  <si>
    <t>MARIA G. ROSTAN Y BRUNO T</t>
  </si>
  <si>
    <t>MARIA PIRRONGELLI USD</t>
  </si>
  <si>
    <t>MARIA SOLEDAD ORTEGA</t>
  </si>
  <si>
    <t>MARÍA TERESSA ÁLVAREZ ROM</t>
  </si>
  <si>
    <t>MARIANA N. CHAVES DEVITTA</t>
  </si>
  <si>
    <t>MARIAPASION LTDA</t>
  </si>
  <si>
    <t>CUALDERON SA</t>
  </si>
  <si>
    <t>MARLIS LTDA</t>
  </si>
  <si>
    <t>MECANUS SA</t>
  </si>
  <si>
    <t>PATRICIA MENDEZ FADOL</t>
  </si>
  <si>
    <t>MEGER LTDA</t>
  </si>
  <si>
    <t>CHAISIN SRL- MERCHANDISIN</t>
  </si>
  <si>
    <t>IMPRENTA MERCUR SA</t>
  </si>
  <si>
    <t>OSCAR OMAR LAMEDA</t>
  </si>
  <si>
    <t>ELUFAR SA</t>
  </si>
  <si>
    <t>FARMACIA CALERO SRL</t>
  </si>
  <si>
    <t>MILSIN S.A.</t>
  </si>
  <si>
    <t>RENIER S.A.</t>
  </si>
  <si>
    <t>MIRO RESTO BAR</t>
  </si>
  <si>
    <t>QUISDER TRADING S.A.</t>
  </si>
  <si>
    <t>KOPEL JINCHUK JANINE Y LE</t>
  </si>
  <si>
    <t>MITRIBA SRL</t>
  </si>
  <si>
    <t>MONLER S.A.</t>
  </si>
  <si>
    <t>MONTES ROJO LTDA</t>
  </si>
  <si>
    <t>SHOPPING CENTERS (URUGUAY</t>
  </si>
  <si>
    <t>MORALES Y CASTELLANO SRL</t>
  </si>
  <si>
    <t>MOSCA HNOS SA</t>
  </si>
  <si>
    <t>ISMAEL DIMAR MARTINEZ LOP</t>
  </si>
  <si>
    <t>MOTOCICLO SA</t>
  </si>
  <si>
    <t>MOVIREC S.A.</t>
  </si>
  <si>
    <t>TELEFONICA MOVILES S.A.</t>
  </si>
  <si>
    <t>IMAGEN DEL SUR SA</t>
  </si>
  <si>
    <t>MINISTERIO DE SALUD PUBLI</t>
  </si>
  <si>
    <t>TA-TA SA</t>
  </si>
  <si>
    <t>H. GILLARDO Y CIA SRL</t>
  </si>
  <si>
    <t>MOREIRA PAGES CECILIA</t>
  </si>
  <si>
    <t>MUNSER AVIACION SA</t>
  </si>
  <si>
    <t>MURILLO AYALA DANIEL EDUA</t>
  </si>
  <si>
    <t>MURRY S.A. - PTMOS.</t>
  </si>
  <si>
    <t>MVC PRO LTDA</t>
  </si>
  <si>
    <t>GANISOL SA</t>
  </si>
  <si>
    <t>FERVIEN S.A.</t>
  </si>
  <si>
    <t>NARAL S.A.</t>
  </si>
  <si>
    <t>NARANPARK SA</t>
  </si>
  <si>
    <t>NATALIA MIRANDA SINISCALC</t>
  </si>
  <si>
    <t>PERDIGON LAUBER ANA MARIA</t>
  </si>
  <si>
    <t>NAVIA SRL</t>
  </si>
  <si>
    <t>NAVINTEN S.A</t>
  </si>
  <si>
    <t>DONATTE MARTINEZ NICOLAS</t>
  </si>
  <si>
    <t>NEFROSUL SA</t>
  </si>
  <si>
    <t>EBYSMER S.A.</t>
  </si>
  <si>
    <t>NETSUPPORT S R L</t>
  </si>
  <si>
    <t>NETY SA</t>
  </si>
  <si>
    <t>COLUMBIA PALACE HOTEL SA</t>
  </si>
  <si>
    <t>NICATEL S.A.</t>
  </si>
  <si>
    <t>SUMMITT &amp; SMILES LTDA</t>
  </si>
  <si>
    <t>NIELSEN URUGUAY (US)LLC S</t>
  </si>
  <si>
    <t>NORA BEATRIZ MAGARIÑOS BÉ</t>
  </si>
  <si>
    <t>RISELCO S.A.</t>
  </si>
  <si>
    <t>GARCIA VILLANUEVA JUAN FR</t>
  </si>
  <si>
    <t>NUEVO PROVEEDOR</t>
  </si>
  <si>
    <t>ESIRAT S.A. - NYCLAJO</t>
  </si>
  <si>
    <t>OMH CONSULTING SRL</t>
  </si>
  <si>
    <t>JALSIFOOD SRL</t>
  </si>
  <si>
    <t>OBSERVATORIO ONCOLOGICO D</t>
  </si>
  <si>
    <t>LIBRERIAS DEL LITORAL S A</t>
  </si>
  <si>
    <t>OGI SA</t>
  </si>
  <si>
    <t>OLECAR S.A.</t>
  </si>
  <si>
    <t>PIMIENTA BARCELO ADRIANA</t>
  </si>
  <si>
    <t>OP.LOGISTICO - QUISDER TR</t>
  </si>
  <si>
    <t>OP.LOGISTICO - MAREDADA S</t>
  </si>
  <si>
    <t>OP.LOGISTICO - ADM.NACION</t>
  </si>
  <si>
    <t>OP.LOGISTICO - UES S.A.</t>
  </si>
  <si>
    <t>EDICIONES MEDICAS SAS</t>
  </si>
  <si>
    <t>CALIBAN SA</t>
  </si>
  <si>
    <t>LABORATORIO INSTITUTO MAT</t>
  </si>
  <si>
    <t>KASPEN SA</t>
  </si>
  <si>
    <t>ASOCIACION URUGUAYA ORT</t>
  </si>
  <si>
    <t>MONTEVIDEOOSAKA S.A.</t>
  </si>
  <si>
    <t>OSVALDO DOMINGUEZ MARISTA</t>
  </si>
  <si>
    <t>OSVALDO DE LA FUENTE LANT</t>
  </si>
  <si>
    <t>GALARZA PARDO DIEGO</t>
  </si>
  <si>
    <t>PACIFIC 5 LTDA</t>
  </si>
  <si>
    <t>CANTELMAR SA</t>
  </si>
  <si>
    <t>PANIFICACION Y CONFITERIA</t>
  </si>
  <si>
    <t>PANAMERICANA SRL</t>
  </si>
  <si>
    <t>PAOLA DAYANA VITABAR SUAR</t>
  </si>
  <si>
    <t>FLASCH SA-PAPELERIA</t>
  </si>
  <si>
    <t>HECHT TURNIANSKY Y MARCOS</t>
  </si>
  <si>
    <t>TIAGOMARE SA</t>
  </si>
  <si>
    <t>VOLOCHINKI NAN EVA AMINTA</t>
  </si>
  <si>
    <t>DIEGO FUENTES QUINTAS</t>
  </si>
  <si>
    <t>ANDRES &amp; PABLO LTDA</t>
  </si>
  <si>
    <t>PARQUE DEL PLATA LTDA</t>
  </si>
  <si>
    <t>PASEO DEL PUERTO S.A.</t>
  </si>
  <si>
    <t>INSTITUT PASTEUR DE MONTE</t>
  </si>
  <si>
    <t>LABORATORIO PELLIER SRL</t>
  </si>
  <si>
    <t>PERCIBAL LTDA</t>
  </si>
  <si>
    <t>PEREGRINUS CONSULTING SRL</t>
  </si>
  <si>
    <t>FUNDACION PEREZ SCREMINI</t>
  </si>
  <si>
    <t>PETRO NORTE SRL</t>
  </si>
  <si>
    <t>PETRO SUR LTDA</t>
  </si>
  <si>
    <t>PETROSUR -SAN JOSE SRL</t>
  </si>
  <si>
    <t>PETROSUR SAN JOSE SRL</t>
  </si>
  <si>
    <t>PE Y EME SRL</t>
  </si>
  <si>
    <t>FIDEICOMISO 789/2010</t>
  </si>
  <si>
    <t>TRIBANOR SOCIEDAD ANONIMA</t>
  </si>
  <si>
    <t>MEMKOR SOCIEDAD ANONIMA</t>
  </si>
  <si>
    <t>PIEDRA Y SOL S.A.</t>
  </si>
  <si>
    <t>FARMAZUL SA</t>
  </si>
  <si>
    <t>PIMOD SRL</t>
  </si>
  <si>
    <t>PINARES DE ATLANTIDA SRL</t>
  </si>
  <si>
    <t>PISO 40-CLUB DE EJECUTIVO</t>
  </si>
  <si>
    <t>NODOUNO S.R.L.</t>
  </si>
  <si>
    <t>TEXICO SA</t>
  </si>
  <si>
    <t>PIZZAS GUS SRL</t>
  </si>
  <si>
    <t>IBELAR S.A</t>
  </si>
  <si>
    <t>PLATESILVER SA</t>
  </si>
  <si>
    <t>FUNDACIÓN PORSALEU</t>
  </si>
  <si>
    <t>PORTO SEGURO DEL URUGUAY</t>
  </si>
  <si>
    <t>DEBORIL S.A.</t>
  </si>
  <si>
    <t>OCEANIR SA</t>
  </si>
  <si>
    <t>PRILVELOZ SA</t>
  </si>
  <si>
    <t>PRIETO BARTHE ANDRES-GARR</t>
  </si>
  <si>
    <t>PABLO MARTIN GARDIOL AGUI</t>
  </si>
  <si>
    <t>MULTIMAGEN LTDA</t>
  </si>
  <si>
    <t>GENPER S.A.</t>
  </si>
  <si>
    <t>CPD</t>
  </si>
  <si>
    <t>PROYECTAR SRL</t>
  </si>
  <si>
    <t>PRUEBA BP</t>
  </si>
  <si>
    <t>PRUEBA BP PROVEEDOR UY</t>
  </si>
  <si>
    <t>PRUEBA FARMA</t>
  </si>
  <si>
    <t>EXPROMAR SA</t>
  </si>
  <si>
    <t>PUERTA DEL SUR S.A.</t>
  </si>
  <si>
    <t>PUERTO FORTUNA S.R.L</t>
  </si>
  <si>
    <t>ARBP GOLDEN PORT SRL</t>
  </si>
  <si>
    <t>FRADINCO SA</t>
  </si>
  <si>
    <t>PUPPI FABIANA</t>
  </si>
  <si>
    <t>PABLO VARELA GALLINAL</t>
  </si>
  <si>
    <t>ABEFIR SA- QUATROMANOS</t>
  </si>
  <si>
    <t>FUNDACION DR. MANUEL QUIN</t>
  </si>
  <si>
    <t>RACKS LTDA</t>
  </si>
  <si>
    <t>RADIAL MERCEDES LTDA</t>
  </si>
  <si>
    <t>RAUL EDUARDO GONZALEZ BER</t>
  </si>
  <si>
    <t>GEMERA SAS</t>
  </si>
  <si>
    <t>RECALADA SRL</t>
  </si>
  <si>
    <t>CAROTTA DERUDDER FERNANDO</t>
  </si>
  <si>
    <t>REF UY SAS</t>
  </si>
  <si>
    <t>VILLA LUCERO SA- REGENCY</t>
  </si>
  <si>
    <t>LIATIN S.A.</t>
  </si>
  <si>
    <t>REINOVIA S.A.</t>
  </si>
  <si>
    <t>COVI S.A.</t>
  </si>
  <si>
    <t>REMISES LA ESPAÑOLA SAS</t>
  </si>
  <si>
    <t>REY SANGUINETTI MARIA ALE</t>
  </si>
  <si>
    <t>MODELO NATURAL SRL</t>
  </si>
  <si>
    <t>ROBERTO FRANQUEZ SILVA</t>
  </si>
  <si>
    <t>ROCHE INTERNATIONAL LTD.</t>
  </si>
  <si>
    <t>RODRIGUEZ GRECO ISMAEL</t>
  </si>
  <si>
    <t>ROMIS SA</t>
  </si>
  <si>
    <t>RONCO RAMOS ALVARO LUIS</t>
  </si>
  <si>
    <t>RUBEN ALEJANDRO SARETT ME</t>
  </si>
  <si>
    <t>NIBACOR SA</t>
  </si>
  <si>
    <t>RUIZ DIAZ VINCON HERNAN R</t>
  </si>
  <si>
    <t>RUMILFAX S.A</t>
  </si>
  <si>
    <t>NICOLAS FABEIRO PEREZ</t>
  </si>
  <si>
    <t>S.OMBU SA</t>
  </si>
  <si>
    <t>S.T.I. LTDA</t>
  </si>
  <si>
    <t>RODRIGO TOMAS PIÑERO</t>
  </si>
  <si>
    <t>SAICO SISTEMAS SRL</t>
  </si>
  <si>
    <t>SAN MARINO LTDA</t>
  </si>
  <si>
    <t>SAN ROQUE SA</t>
  </si>
  <si>
    <t>SANDRA MARIA MIRABALLES L</t>
  </si>
  <si>
    <t>TEVELFOX SA</t>
  </si>
  <si>
    <t>SANOFI AVENTIS URUGUAY S.</t>
  </si>
  <si>
    <t>SANTA FE LTDA</t>
  </si>
  <si>
    <t>FRANCA SRL</t>
  </si>
  <si>
    <t>SANTANDER - PRESTAMOS USD</t>
  </si>
  <si>
    <t>SANTIAGO ALOY SOCIEDAD AN</t>
  </si>
  <si>
    <t>SANTIAGO F. COUSILLAS ROD</t>
  </si>
  <si>
    <t>SBI SEGUROS URUGUAY S.A.</t>
  </si>
  <si>
    <t>OP.LOG. -MURRY S.A. - SCI</t>
  </si>
  <si>
    <t>SEDALER S.A</t>
  </si>
  <si>
    <t>ROBITEL SA</t>
  </si>
  <si>
    <t>SEIDOR URUGUAY INFORMATIC</t>
  </si>
  <si>
    <t>ALCARAZ SA</t>
  </si>
  <si>
    <t>DIAGMED S.A.</t>
  </si>
  <si>
    <t>SENUSNET SA</t>
  </si>
  <si>
    <t>POZZI Y POZZI S.R.L</t>
  </si>
  <si>
    <t>LARAFELL S.A.</t>
  </si>
  <si>
    <t>N Y R LTDA</t>
  </si>
  <si>
    <t>SERVICENTRO SOLYMAR SRL</t>
  </si>
  <si>
    <t>SOCIEDAD GASTROENTEROLOGI</t>
  </si>
  <si>
    <t>COLONIA NATURAL SA</t>
  </si>
  <si>
    <t>ANA LIA PERSAK TOURN</t>
  </si>
  <si>
    <t>SILVIA MANNOCCI</t>
  </si>
  <si>
    <t>SIMANOR SA</t>
  </si>
  <si>
    <t>SIROCCO SRL</t>
  </si>
  <si>
    <t>SKOL SOLUTIONS S.R.L.</t>
  </si>
  <si>
    <t>SOCIEDAD DE MEDICINA INTE</t>
  </si>
  <si>
    <t>SOCIEDAD DE NEUROLOGÍA DE</t>
  </si>
  <si>
    <t>EMPRESA SOBOL SA</t>
  </si>
  <si>
    <t>SOCIEDAD DE OTO-RINO-LARI</t>
  </si>
  <si>
    <t>SOMOS URUGUAY SRL</t>
  </si>
  <si>
    <t>SOTHIS ENTERPRISE R.P, S.</t>
  </si>
  <si>
    <t>SOCIEDAD DE PSIQUIATRIA B</t>
  </si>
  <si>
    <t>STAND UY S.A.S.</t>
  </si>
  <si>
    <t>STORAGE URUGUAY SA</t>
  </si>
  <si>
    <t>MILDRE MELLO Y DIEGO BATT</t>
  </si>
  <si>
    <t>SOCIEDAD URUGUAYA DE CARD</t>
  </si>
  <si>
    <t>SOCIEDAD URUGUAYA DE NEUM</t>
  </si>
  <si>
    <t>SUELDOS A PAGAR USD</t>
  </si>
  <si>
    <t>SOCIEDAD URUGUAYA DE ENDO</t>
  </si>
  <si>
    <t>SOCIEDAD URUGUAYA DE MAST</t>
  </si>
  <si>
    <t>SOCIEDAD URUGUAYA DE NEUR</t>
  </si>
  <si>
    <t>SOCIEDAD URUGUAYA DE PEDI</t>
  </si>
  <si>
    <t>SOCIEDAD URUGUAYA DE REUM</t>
  </si>
  <si>
    <t>SEGUROS SURA S.A.</t>
  </si>
  <si>
    <t>SWISS MEDICAL URUGUAY S A</t>
  </si>
  <si>
    <t>SYLMA S.R.L.</t>
  </si>
  <si>
    <t>CAIRELE IBARBUDES CARLOS</t>
  </si>
  <si>
    <t>N Y G GOURMET LTDA.</t>
  </si>
  <si>
    <t>GARCIA SCIRGALEA ANA LUCI</t>
  </si>
  <si>
    <t>TARAN Y CIA S.A</t>
  </si>
  <si>
    <t>LUQUE SPOSATO ADRIAN MARC</t>
  </si>
  <si>
    <t>TATA S.A.</t>
  </si>
  <si>
    <t>TERMINAL DE CARGAS URUGUA</t>
  </si>
  <si>
    <t>TECNOESSO SRL</t>
  </si>
  <si>
    <t>TECNOMADERA S.A.</t>
  </si>
  <si>
    <t>TECNOWEB SRL</t>
  </si>
  <si>
    <t>TELECTRONICA S.A.</t>
  </si>
  <si>
    <t>FELEMARK SA</t>
  </si>
  <si>
    <t>TEST 25 02 * VALIDACION</t>
  </si>
  <si>
    <t>NAMBI S.A</t>
  </si>
  <si>
    <t>RAFELIR S A</t>
  </si>
  <si>
    <t>BREMERI S.A.</t>
  </si>
  <si>
    <t>LUNCHEON TICKETS SA- EDEN</t>
  </si>
  <si>
    <t>TIEMPOST URUGUAY</t>
  </si>
  <si>
    <t>HENDERSON Y CIA S.A</t>
  </si>
  <si>
    <t>GRANDES TIENDAS MONTEVIDE</t>
  </si>
  <si>
    <t>TIOR S.A.</t>
  </si>
  <si>
    <t>TIZIXIME SRL</t>
  </si>
  <si>
    <t>TODO POR UUGUAY</t>
  </si>
  <si>
    <t>TS GROUP SRL</t>
  </si>
  <si>
    <t>TORRESTIR SA</t>
  </si>
  <si>
    <t>TRANQUILO BAR</t>
  </si>
  <si>
    <t>BUCANSOL SOCIEDAD ANONIMA</t>
  </si>
  <si>
    <t>DENTIDAD SA</t>
  </si>
  <si>
    <t>TRESELES LTDA</t>
  </si>
  <si>
    <t>OTT ACEVEDO TRINIDAD ANA</t>
  </si>
  <si>
    <t>VILLAMARIN M.SANDRA Y M J</t>
  </si>
  <si>
    <t>TUTEUR S.A.</t>
  </si>
  <si>
    <t>UNIVERSIDAD CATOLICA DEL</t>
  </si>
  <si>
    <t>UDILER S.A.</t>
  </si>
  <si>
    <t>UES S.A.</t>
  </si>
  <si>
    <t>NERLEZIR S.A.</t>
  </si>
  <si>
    <t>INST. URUGUAYO DE NORMAS</t>
  </si>
  <si>
    <t>ANDRES RAMIREZ</t>
  </si>
  <si>
    <t>ECOLANDIA SA</t>
  </si>
  <si>
    <t>UPPARCAR SRL</t>
  </si>
  <si>
    <t>SIBEL SA</t>
  </si>
  <si>
    <t>GERCRIS LTDA</t>
  </si>
  <si>
    <t>URUGUAY XXI</t>
  </si>
  <si>
    <t>URUPARK</t>
  </si>
  <si>
    <t>URUPOST S.A.</t>
  </si>
  <si>
    <t>URUTRAME LTDA</t>
  </si>
  <si>
    <t>UTE</t>
  </si>
  <si>
    <t>VALLIS RODRIGUEZ JUAN MAR</t>
  </si>
  <si>
    <t>VANY SA</t>
  </si>
  <si>
    <t>JUACAFE SRL</t>
  </si>
  <si>
    <t>BONAX SA</t>
  </si>
  <si>
    <t>CARLOS VASSALLO</t>
  </si>
  <si>
    <t>ALEPUR LTDA</t>
  </si>
  <si>
    <t>VERONICA MENDIZABAL</t>
  </si>
  <si>
    <t>MIRIAM R.BONILLA SILVEIRA</t>
  </si>
  <si>
    <t>V Y T VIAJES Y TURISMO LT</t>
  </si>
  <si>
    <t>VIAJESE S.A.</t>
  </si>
  <si>
    <t>VIAVIP S.A.</t>
  </si>
  <si>
    <t>MORI BARCELO PATRICIA ELI</t>
  </si>
  <si>
    <t>NUEVO VIÑEDO SA</t>
  </si>
  <si>
    <t>VISA</t>
  </si>
  <si>
    <t>VOLONTERIO AGUIRRE CARLA</t>
  </si>
  <si>
    <t>VOLPE HERMANOS LTDA</t>
  </si>
  <si>
    <t>VUILLE DE LEON JOAQUIN AR</t>
  </si>
  <si>
    <t>WASABI PUBLICIDAD LIMITAD</t>
  </si>
  <si>
    <t>WELLWO TECHNOLOGIC, SL</t>
  </si>
  <si>
    <t>WORLD COURIER DE URUGUAY</t>
  </si>
  <si>
    <t>WSL SRL</t>
  </si>
  <si>
    <t>WTC FREE ZONE S.A.</t>
  </si>
  <si>
    <t>DERNILOG S.A.</t>
  </si>
  <si>
    <t>XEVE S.R.L.</t>
  </si>
  <si>
    <t>SUCESS URUGUAY SRL</t>
  </si>
  <si>
    <t>YUN XIE</t>
  </si>
  <si>
    <t>ENLY SA</t>
  </si>
  <si>
    <t>CADILNOR S.A.</t>
  </si>
  <si>
    <t>GRIMIFER SA</t>
  </si>
  <si>
    <t>Fecha factura</t>
  </si>
  <si>
    <t>Nro Factura</t>
  </si>
  <si>
    <t>Cta mayor</t>
  </si>
  <si>
    <t>Cta mayor NRO SAP</t>
  </si>
  <si>
    <t>Provisión Licencia y CS</t>
  </si>
  <si>
    <t>Accidentes de Trabajo</t>
  </si>
  <si>
    <t>Acciones en Circulación</t>
  </si>
  <si>
    <t>Acciones Promocionales</t>
  </si>
  <si>
    <t>Acondicionamiento Producción</t>
  </si>
  <si>
    <t>Activo Diferido</t>
  </si>
  <si>
    <t>Administrations costs AMWAY</t>
  </si>
  <si>
    <t>Aguinaldos</t>
  </si>
  <si>
    <t>Ajuste ventas del ejercicio</t>
  </si>
  <si>
    <t>Alimentación empleados</t>
  </si>
  <si>
    <t>Almacenamiento</t>
  </si>
  <si>
    <t>Almacenamiento AMWAY</t>
  </si>
  <si>
    <t>Alquileres y Expensas</t>
  </si>
  <si>
    <t>Amortización</t>
  </si>
  <si>
    <t>Amortización Acumulada Bienes Intangibles</t>
  </si>
  <si>
    <t>Amortización Acumulada Inmuebles - Edificios</t>
  </si>
  <si>
    <t>Amortización Acumulada Instalaciones</t>
  </si>
  <si>
    <t>Amortización Acumulada Instalaciones sobre inmuebl</t>
  </si>
  <si>
    <t>Amortización Acumulada Leasing Vehiculos</t>
  </si>
  <si>
    <t>Amortización Acumulada Máquinas y Equipos</t>
  </si>
  <si>
    <t>Amortización Acumulada Muebles y Utiles</t>
  </si>
  <si>
    <t>Amortización Acumulada Rodados</t>
  </si>
  <si>
    <t>Amortización Acumulada Sistemas de Software</t>
  </si>
  <si>
    <t>Anticipo a proveedores</t>
  </si>
  <si>
    <t>Anticipo a proveedores en CHF</t>
  </si>
  <si>
    <t>Anticipo a proveedores en EUR</t>
  </si>
  <si>
    <t>Anticipo a proveedores en USD</t>
  </si>
  <si>
    <t>Anticipo de Sueldos</t>
  </si>
  <si>
    <t>Anticipo I.CO.S.A.</t>
  </si>
  <si>
    <t>Anticipo I.V.A. Importación</t>
  </si>
  <si>
    <t>Anticipo IMESI Importación</t>
  </si>
  <si>
    <t>Anticipo Impuesto al Patrimonio</t>
  </si>
  <si>
    <t>Anticipo IRAE</t>
  </si>
  <si>
    <t>Anticipo IRAE Importación</t>
  </si>
  <si>
    <t>Anticipo proveedores del exterior</t>
  </si>
  <si>
    <t>Aportes a capitalizar</t>
  </si>
  <si>
    <t>Aranceles plataforma</t>
  </si>
  <si>
    <t>Arrendamiento de impresoras</t>
  </si>
  <si>
    <t>Asesoramiento en rr.hh.</t>
  </si>
  <si>
    <t>Asesoramiento Logístico</t>
  </si>
  <si>
    <t>Atenciones y agasajos</t>
  </si>
  <si>
    <t>Baja Bienes de Uso</t>
  </si>
  <si>
    <t>Bajas a Herrera</t>
  </si>
  <si>
    <t>Bajas AMWAY</t>
  </si>
  <si>
    <t>Bajas Hornos</t>
  </si>
  <si>
    <t>Bajas Medicamentos (CeBe)</t>
  </si>
  <si>
    <t>Banco B.R.O.U. Uy- Cheques no debitados</t>
  </si>
  <si>
    <t>Banco B.R.O.U. Uy- Depósitos no Acreditados</t>
  </si>
  <si>
    <t>Banco B.R.O.U. Uy- Saldo Banco</t>
  </si>
  <si>
    <t>Banco BBVA Uy USD- Cheques no debitados</t>
  </si>
  <si>
    <t>Banco BBVA Uy USD- Depósitos no Acreditados</t>
  </si>
  <si>
    <t>Banco BBVA Uy USD- Saldo Banco</t>
  </si>
  <si>
    <t>Banco BBVA Uy UYU- Cheques no debitados</t>
  </si>
  <si>
    <t>Banco BBVA Uy UYU- Depósitos no Acreditados</t>
  </si>
  <si>
    <t>Banco BBVA Uy UYU- Saldo Banco</t>
  </si>
  <si>
    <t>Banco Itaú Uy USD- Cheques no debitados</t>
  </si>
  <si>
    <t>Banco Itaú Uy USD- Depósitos no Acreditados</t>
  </si>
  <si>
    <t>Banco Itaú Uy USD- Saldo Banco</t>
  </si>
  <si>
    <t>Banco Itaú Uy- Cheques no debitados</t>
  </si>
  <si>
    <t>Banco Itaú Uy- Depósitos no Acreditados</t>
  </si>
  <si>
    <t>Banco Itaú Uy- Saldo Banco</t>
  </si>
  <si>
    <t>Banco Santander USD- Cheques no debitados</t>
  </si>
  <si>
    <t>Banco Santander USD- Depósitos no Acreditados</t>
  </si>
  <si>
    <t>Banco Santander USD- Saldo Banco</t>
  </si>
  <si>
    <t>Banco Santander Uy- Cheques no debitados</t>
  </si>
  <si>
    <t>Banco Santander Uy- Depósitos no Acreditados</t>
  </si>
  <si>
    <t>Banco Santander Uy- Saldo Banco</t>
  </si>
  <si>
    <t>Bienes de cambio</t>
  </si>
  <si>
    <t>Bienes intangibles</t>
  </si>
  <si>
    <t>Bonificación Comercial</t>
  </si>
  <si>
    <t>Bonificación Comercial 22%</t>
  </si>
  <si>
    <t>Bonificación Farmadescuento</t>
  </si>
  <si>
    <t>Bonificación Farmadescuento 22%</t>
  </si>
  <si>
    <t>Bonificaciones Obtenidas</t>
  </si>
  <si>
    <t>Bonos</t>
  </si>
  <si>
    <t>Caja (pesos)</t>
  </si>
  <si>
    <t>Carga inicial Activo</t>
  </si>
  <si>
    <t>Carga inicial Pasivo</t>
  </si>
  <si>
    <t>Carga inicial Patrimonio Neto</t>
  </si>
  <si>
    <t>Carga inicial Resultado Negativo</t>
  </si>
  <si>
    <t>Carga inicial Resultado Positivo</t>
  </si>
  <si>
    <t>Cargas Sociales a Pagar</t>
  </si>
  <si>
    <t>Cargas Sociales R.N.S.S. (SUSS)</t>
  </si>
  <si>
    <t>Cargas Sociales RNOS</t>
  </si>
  <si>
    <t>Certificaciones y Escribaría</t>
  </si>
  <si>
    <t>Certificados de crédito en DGI</t>
  </si>
  <si>
    <t>Cesion de Creditos</t>
  </si>
  <si>
    <t>Cheques Diferidos en USD</t>
  </si>
  <si>
    <t>Cheques Diferidos Entregados</t>
  </si>
  <si>
    <t>CMV Traspasos</t>
  </si>
  <si>
    <t>Comestibles</t>
  </si>
  <si>
    <t>Comisiones s/ventas</t>
  </si>
  <si>
    <t>Comisiones Tarjetas de Cred. y Deb.</t>
  </si>
  <si>
    <t>Consumo Materiales de Embalaje</t>
  </si>
  <si>
    <t>Consumo Materiales SIN Acondicionar</t>
  </si>
  <si>
    <t>Consumos</t>
  </si>
  <si>
    <t>Correo y Mensajeria</t>
  </si>
  <si>
    <t>Costo de Mercadería</t>
  </si>
  <si>
    <t>Costo de Mercadería Hornos</t>
  </si>
  <si>
    <t>Costo de mercadería no gravada</t>
  </si>
  <si>
    <t>Costo de Mercaderías Exportadas</t>
  </si>
  <si>
    <t>Costo de Reposición</t>
  </si>
  <si>
    <t>Cta compensadora transferencias entre bcos propios</t>
  </si>
  <si>
    <t>Cta Movimientos a Analizar</t>
  </si>
  <si>
    <t>Cuenta técnica AF</t>
  </si>
  <si>
    <t>Cultura</t>
  </si>
  <si>
    <t>Cuotas Sociales</t>
  </si>
  <si>
    <t>Depósito bancario en garantía</t>
  </si>
  <si>
    <t>Depósito en Garantía Alquileres</t>
  </si>
  <si>
    <t>Descuento pronto pago</t>
  </si>
  <si>
    <t>Descuento pronto pago 22%</t>
  </si>
  <si>
    <t>Descuentos Financieros</t>
  </si>
  <si>
    <t>Descuentos otorgados</t>
  </si>
  <si>
    <t>Deudores en Gestión Judicial</t>
  </si>
  <si>
    <t>Deudores Incobrables</t>
  </si>
  <si>
    <t>Deudores por Venta Master</t>
  </si>
  <si>
    <t>Deudores por Venta Medicamentos</t>
  </si>
  <si>
    <t>Deudores por Venta Oca</t>
  </si>
  <si>
    <t>Deudores por venta UY - USD</t>
  </si>
  <si>
    <t>Deudores por venta Visa</t>
  </si>
  <si>
    <t>Deudores por Ventas - Pagos a Imputar</t>
  </si>
  <si>
    <t>Deudores por ventas a Facturar</t>
  </si>
  <si>
    <t>DGI a Pagar</t>
  </si>
  <si>
    <t>Dif cambio  Banco B.R.O.U. Uy- Cheques no debitado</t>
  </si>
  <si>
    <t>Dif cambio Anticipo de Sueldos</t>
  </si>
  <si>
    <t>Dif Cambio Banco BBVA Uy USD- Cheques no debitados</t>
  </si>
  <si>
    <t>Dif Cambio Banco Itaú Uy USD- Cheques no debitados</t>
  </si>
  <si>
    <t>Dif Cambio Banco Santander USD- Depósitos no Acred</t>
  </si>
  <si>
    <t>Dif Cambio Bco Santander USD- Cheques no debitados</t>
  </si>
  <si>
    <t>Dif Cambio Cheques Diferidos USD</t>
  </si>
  <si>
    <t>Dif cambio Depósito en garantía</t>
  </si>
  <si>
    <t>Dif cambio Documentos a cobrar</t>
  </si>
  <si>
    <t>Dif cambio Gastos Reintegrables</t>
  </si>
  <si>
    <t>Dif cambio Importaciones en trámite</t>
  </si>
  <si>
    <t>Dif cambio Intereses a devengar</t>
  </si>
  <si>
    <t>Dif Cambio Novartis USD</t>
  </si>
  <si>
    <t>Dif Cambio Nutricia USD</t>
  </si>
  <si>
    <t>Dif cambio Plazos Fijos</t>
  </si>
  <si>
    <t>Dif Cambio Prestamos Accionistas USD</t>
  </si>
  <si>
    <t>Dif cambio Préstamos al personal</t>
  </si>
  <si>
    <t>Dif cambio Préstamos otorgados</t>
  </si>
  <si>
    <t>Dif cambio Prov. Retenciones Prov Devengadas</t>
  </si>
  <si>
    <t>Dif Cambio Proveedores CHF</t>
  </si>
  <si>
    <t>Dif Cambio Proveedores del exterior</t>
  </si>
  <si>
    <t>Dif Cambio Proveedores EUR</t>
  </si>
  <si>
    <t>Dif Cambio Proveedores USD</t>
  </si>
  <si>
    <t>Dif cambio Provisión Notas de crédito</t>
  </si>
  <si>
    <t>Dif Cambio Retiros a Cuenta de Utilidades - USD</t>
  </si>
  <si>
    <t>Dif Camio Banco BBVA Uy USD- Depósitos no Acred</t>
  </si>
  <si>
    <t>Dif Camio Banco Itaú Uy USD- Depósitos no Acred</t>
  </si>
  <si>
    <t>Dif de cambio Deudores realizada</t>
  </si>
  <si>
    <t>Diferencia de Caja</t>
  </si>
  <si>
    <t>Diferencia de Cambio - Gs. a Recuperar Athnas</t>
  </si>
  <si>
    <t>Diferencia de Cambio - Seguros a Devengar</t>
  </si>
  <si>
    <t>Diferencia de Cambio Anticipo a proveedores en CHF</t>
  </si>
  <si>
    <t>Diferencia de Cambio Anticipo a proveedores en EUR</t>
  </si>
  <si>
    <t>Diferencia de Cambio Anticipo a proveedores en USD</t>
  </si>
  <si>
    <t>Diferencia de cambio Deudores por Venta en USD</t>
  </si>
  <si>
    <t>Diferencia de Cambio Dividendos a Pagar en Dólares</t>
  </si>
  <si>
    <t>Diferencia de Cambio F.F. en USD</t>
  </si>
  <si>
    <t>Diferencia de cambio Prestamos Bancarios USD</t>
  </si>
  <si>
    <t>Diferencia de Cambio Prestamos Empleados USD</t>
  </si>
  <si>
    <t>Diferencia de cambio Sueldos a pagar en USD</t>
  </si>
  <si>
    <t>Diferencia de Cambio Valores a depositar USD</t>
  </si>
  <si>
    <t>Diferencia de precio</t>
  </si>
  <si>
    <t>Diferencia de precio Derivadas</t>
  </si>
  <si>
    <t>Diferencia Precio Estándar</t>
  </si>
  <si>
    <t>Diferencias de cambio</t>
  </si>
  <si>
    <t>Diferencias de cambio Deudores</t>
  </si>
  <si>
    <t>Diferencias de cambio Proveedores</t>
  </si>
  <si>
    <t>Distribución AMWAY</t>
  </si>
  <si>
    <t>Distribución de Medicamentos</t>
  </si>
  <si>
    <t>Dividendos a Pagar</t>
  </si>
  <si>
    <t>Dividendos a Pagar en Dólares</t>
  </si>
  <si>
    <t>Documentos a cobrar</t>
  </si>
  <si>
    <t>Donaciones</t>
  </si>
  <si>
    <t>Estudios de mercado</t>
  </si>
  <si>
    <t>Etiquetado AMWAY</t>
  </si>
  <si>
    <t>Eventos</t>
  </si>
  <si>
    <t>Facturas a recibir</t>
  </si>
  <si>
    <t>Facturas a recibir Extras</t>
  </si>
  <si>
    <t>Fletes</t>
  </si>
  <si>
    <t>FML - Etiqueta de Seguridad</t>
  </si>
  <si>
    <t>FM-ET-SEGU</t>
  </si>
  <si>
    <t>FML - Etiquetado</t>
  </si>
  <si>
    <t>FM-ETIQUET</t>
  </si>
  <si>
    <t>FML - Inject</t>
  </si>
  <si>
    <t>FM-INJECT</t>
  </si>
  <si>
    <t>FML - Prospectos</t>
  </si>
  <si>
    <t>FM-PROSPEC</t>
  </si>
  <si>
    <t>FML - Re Estuchado</t>
  </si>
  <si>
    <t>FM-ESTUCHA</t>
  </si>
  <si>
    <t>Fondo de Revaluación</t>
  </si>
  <si>
    <t>Fondos Fijos</t>
  </si>
  <si>
    <t>Fondos Fijos en USD</t>
  </si>
  <si>
    <t>Gastos a devengar</t>
  </si>
  <si>
    <t>Gastos a Recuperar</t>
  </si>
  <si>
    <t>Gastos a recuperar Mundipharma</t>
  </si>
  <si>
    <t>Gastos a recuperar Mylan</t>
  </si>
  <si>
    <t>Gastos a recuperar OTROS</t>
  </si>
  <si>
    <t>Gastos a recuperar Sandoz</t>
  </si>
  <si>
    <t>Gastos a recuperar Teva</t>
  </si>
  <si>
    <t>Gastos a Rendir</t>
  </si>
  <si>
    <t>Gastos de Comercializacion</t>
  </si>
  <si>
    <t>Gastos de Distribución Exportaciones</t>
  </si>
  <si>
    <t>Gastos de Rodados</t>
  </si>
  <si>
    <t>Gastos en el exterior</t>
  </si>
  <si>
    <t>Gastos Generales</t>
  </si>
  <si>
    <t>Gastos Importación</t>
  </si>
  <si>
    <t>Gastos legales</t>
  </si>
  <si>
    <t>Gastos no Deducibles</t>
  </si>
  <si>
    <t>Gastos personal</t>
  </si>
  <si>
    <t>Gastos Reintegrables</t>
  </si>
  <si>
    <t>Gastos Reintegrables - Athnas</t>
  </si>
  <si>
    <t>Gastos Reintegrables Nutricia</t>
  </si>
  <si>
    <t>Gastos y Comisiones Bancarios</t>
  </si>
  <si>
    <t>Honorarios Contables y Legales</t>
  </si>
  <si>
    <t>Honorarios diversos</t>
  </si>
  <si>
    <t>Honorarios profesionales</t>
  </si>
  <si>
    <t>I.CO.S.A.</t>
  </si>
  <si>
    <t>I.CO.S.A. a Pagar</t>
  </si>
  <si>
    <t>I.V.A. Crédito Fiscal</t>
  </si>
  <si>
    <t>I.V.A. Crédito Fiscal Tasa Mínima</t>
  </si>
  <si>
    <t>I.V.A. Débito Fiscal</t>
  </si>
  <si>
    <t>I.V.A. Importación</t>
  </si>
  <si>
    <t>I.V.A. Saldo a Favor</t>
  </si>
  <si>
    <t>I.V.A. Ventas TB</t>
  </si>
  <si>
    <t>IMESI 11,5%</t>
  </si>
  <si>
    <t>IMESI 19%</t>
  </si>
  <si>
    <t>Importaciones en trámite</t>
  </si>
  <si>
    <t>Imprenta</t>
  </si>
  <si>
    <t>Impuesto a la Ganancia</t>
  </si>
  <si>
    <t>Impuesto al Patrimonio</t>
  </si>
  <si>
    <t>Impuesto al Patrimonio a Pagar</t>
  </si>
  <si>
    <t>Impuesto Diferido</t>
  </si>
  <si>
    <t>Impuesto sobre ventas</t>
  </si>
  <si>
    <t>Impuestos, Tasas y Contribuciones</t>
  </si>
  <si>
    <t>Indemnizaciones al personal</t>
  </si>
  <si>
    <t>Ingreso por venta no gravada</t>
  </si>
  <si>
    <t>Ingresos por Exportación de Medicamentos</t>
  </si>
  <si>
    <t>Ingresos por Servicios</t>
  </si>
  <si>
    <t>Ingresos por Venta Medicamentos</t>
  </si>
  <si>
    <t>Ingresos por Venta Medicamentos 22%</t>
  </si>
  <si>
    <t>Inmuebles - Edificios</t>
  </si>
  <si>
    <t>Inmuebles - Terrenos</t>
  </si>
  <si>
    <t>Instalaciones</t>
  </si>
  <si>
    <t>Instalaciones sobre inmuebles de 3º</t>
  </si>
  <si>
    <t>Insumos Acondicionamiento</t>
  </si>
  <si>
    <t>Insumos de Laboratorio</t>
  </si>
  <si>
    <t>Insumos Packaging</t>
  </si>
  <si>
    <t>Intereses</t>
  </si>
  <si>
    <t>Intereses a devengar</t>
  </si>
  <si>
    <t>Intereses Bancarios</t>
  </si>
  <si>
    <t>Intereses devengados</t>
  </si>
  <si>
    <t>Intereses ganados</t>
  </si>
  <si>
    <t>Internet</t>
  </si>
  <si>
    <t>IVA Compras Indirecto 10%.</t>
  </si>
  <si>
    <t>IVA Compras Indirecto 22%.</t>
  </si>
  <si>
    <t>Leasing de Vehículos</t>
  </si>
  <si>
    <t>Librería</t>
  </si>
  <si>
    <t>Licencia</t>
  </si>
  <si>
    <t>Licencias software</t>
  </si>
  <si>
    <t>Limpieza</t>
  </si>
  <si>
    <t>Luz</t>
  </si>
  <si>
    <t>Mantenimiento</t>
  </si>
  <si>
    <t>Mantenimiento vehículos</t>
  </si>
  <si>
    <t>Máquinas y Equipos</t>
  </si>
  <si>
    <t>Ministerio de Salud</t>
  </si>
  <si>
    <t>Moneda Extranjera</t>
  </si>
  <si>
    <t>Movilidad</t>
  </si>
  <si>
    <t>Muebles y Utiles</t>
  </si>
  <si>
    <t>Muestras medicas y propagandas</t>
  </si>
  <si>
    <t>Multas</t>
  </si>
  <si>
    <t>Nota de Cred. a Recibir Remitidos</t>
  </si>
  <si>
    <t>Notas de Crédito a Recibir</t>
  </si>
  <si>
    <t>Obras en curso</t>
  </si>
  <si>
    <t>Otras Deudas</t>
  </si>
  <si>
    <t>Otros costos de ventas</t>
  </si>
  <si>
    <t>Otros gastos de movilidad</t>
  </si>
  <si>
    <t>Otros Gtos Grales</t>
  </si>
  <si>
    <t>Otros Ingresos</t>
  </si>
  <si>
    <t>Otros servicios contratados</t>
  </si>
  <si>
    <t>OTT Dto 94/2002</t>
  </si>
  <si>
    <t>Pasajes y hospedajes Vendedores</t>
  </si>
  <si>
    <t>Pasajes y traslados</t>
  </si>
  <si>
    <t>Percepción C.J.P.P.U.</t>
  </si>
  <si>
    <t>Percepción IRAE</t>
  </si>
  <si>
    <t>Percepción IVA</t>
  </si>
  <si>
    <t>Percepcion RG 3450 Ext</t>
  </si>
  <si>
    <t>Pick &amp; Pack AMWAY</t>
  </si>
  <si>
    <t>Plazos Fijos</t>
  </si>
  <si>
    <t>Prestamos a Empleados USD</t>
  </si>
  <si>
    <t>Prestamos Accionistas</t>
  </si>
  <si>
    <t>Prestamos Accionistas en dólares</t>
  </si>
  <si>
    <t>Prestamos al personal</t>
  </si>
  <si>
    <t>Prestamos bancarios</t>
  </si>
  <si>
    <t>Prestamos bancarios USD</t>
  </si>
  <si>
    <t>Préstamos otorgados</t>
  </si>
  <si>
    <t>Prev. p/Desv. de Bs. de Cambio</t>
  </si>
  <si>
    <t>Previsión para Ds. Incobrables</t>
  </si>
  <si>
    <t>Productos bonificado</t>
  </si>
  <si>
    <t>Productos bonificado 22%</t>
  </si>
  <si>
    <t>Productos no terminados</t>
  </si>
  <si>
    <t>Productos Promocionales</t>
  </si>
  <si>
    <t>Promociones y eventos</t>
  </si>
  <si>
    <t>Prov. Retenciones Prov Devengadas</t>
  </si>
  <si>
    <t>Proveedores del exterior</t>
  </si>
  <si>
    <t>Proveedores Diversos</t>
  </si>
  <si>
    <t>Proveedores en CHF</t>
  </si>
  <si>
    <t>Proveedores en Euros</t>
  </si>
  <si>
    <t>Proveedores en USD</t>
  </si>
  <si>
    <t>Proveedores Novartis USD</t>
  </si>
  <si>
    <t>Proveedores Nutricia USD</t>
  </si>
  <si>
    <t>Provision gratificaciones al personal</t>
  </si>
  <si>
    <t>Provisión Impuesto al Patrimonio</t>
  </si>
  <si>
    <t>Provisión Impuesto IRAE</t>
  </si>
  <si>
    <t>Provisión Notas de crédito</t>
  </si>
  <si>
    <t>Provision para Gs Diversos</t>
  </si>
  <si>
    <t>Provisión SAC</t>
  </si>
  <si>
    <t>Provisión Trade Investment</t>
  </si>
  <si>
    <t>Provisión Vacaciones</t>
  </si>
  <si>
    <t>Publicidad</t>
  </si>
  <si>
    <t>Red.IVA Ley 19210</t>
  </si>
  <si>
    <t>Redondeos</t>
  </si>
  <si>
    <t>Regularizadora Bienes de Cambio</t>
  </si>
  <si>
    <t>Regularizadora MM.</t>
  </si>
  <si>
    <t>Repuestos Hornos</t>
  </si>
  <si>
    <t>Reserva Legal</t>
  </si>
  <si>
    <t>Resultado del Ejercicio</t>
  </si>
  <si>
    <t>Resultado Venta de Bienes de Uso</t>
  </si>
  <si>
    <t>Resultados Acumulados</t>
  </si>
  <si>
    <t>Retención I.V.A.</t>
  </si>
  <si>
    <t>Retención Impuesto a las Ganancias</t>
  </si>
  <si>
    <t>Retenciones IRAE</t>
  </si>
  <si>
    <t>Retenciones IRNR</t>
  </si>
  <si>
    <t>Retenciones IRPF</t>
  </si>
  <si>
    <t>Retenciones IVA</t>
  </si>
  <si>
    <t>Retenciones proveedores del exterior</t>
  </si>
  <si>
    <t>Retiros a Cuenta de Utilidades</t>
  </si>
  <si>
    <t>Retiros a Cuenta de Utilidades - EUR</t>
  </si>
  <si>
    <t>Retiros a Cuenta de Utilidades - USD</t>
  </si>
  <si>
    <t>Reuniones de capacitación</t>
  </si>
  <si>
    <t>Rodados</t>
  </si>
  <si>
    <t>Salarios vacacionales</t>
  </si>
  <si>
    <t>Seguridad</t>
  </si>
  <si>
    <t>Seguridad e higiene</t>
  </si>
  <si>
    <t>Seguros</t>
  </si>
  <si>
    <t>Seguros a devengar</t>
  </si>
  <si>
    <t>Seguros generales</t>
  </si>
  <si>
    <t>Servicio de Acondicionamiento PP</t>
  </si>
  <si>
    <t>Servicios de Promoción</t>
  </si>
  <si>
    <t>Servicios de Promoción AMWAY</t>
  </si>
  <si>
    <t>Servicios Informáticos</t>
  </si>
  <si>
    <t>Siniestros</t>
  </si>
  <si>
    <t>Sistemas de Software</t>
  </si>
  <si>
    <t>Sueldos</t>
  </si>
  <si>
    <t>Sueldos a Pagar</t>
  </si>
  <si>
    <t>Sueldos a Pagar en USD</t>
  </si>
  <si>
    <t>Suscripciones y membresías</t>
  </si>
  <si>
    <t>Telefonía</t>
  </si>
  <si>
    <t>Tickets de alimentación</t>
  </si>
  <si>
    <t>Trade Investment</t>
  </si>
  <si>
    <t>Valores a Depositar</t>
  </si>
  <si>
    <t>Valores a depositar USD</t>
  </si>
  <si>
    <t>No</t>
  </si>
  <si>
    <t>Si</t>
  </si>
  <si>
    <t>N Doc</t>
  </si>
  <si>
    <t>N Pos</t>
  </si>
  <si>
    <t>OC</t>
  </si>
  <si>
    <t>Factura con RUT</t>
  </si>
  <si>
    <t>Factura del exterior</t>
  </si>
  <si>
    <t>Base imponible 22</t>
  </si>
  <si>
    <t>Iva 22</t>
  </si>
  <si>
    <t>Base imponible 10</t>
  </si>
  <si>
    <t>Iva 10</t>
  </si>
  <si>
    <t>Cta Iva 22</t>
  </si>
  <si>
    <t>Cta Iva 10</t>
  </si>
  <si>
    <t>Iva</t>
  </si>
  <si>
    <t>Base</t>
  </si>
  <si>
    <t>25.11.2025</t>
  </si>
  <si>
    <t>cta puente</t>
  </si>
  <si>
    <t>23.34</t>
  </si>
  <si>
    <t>lalala</t>
  </si>
  <si>
    <t>msm</t>
  </si>
  <si>
    <t>23.45</t>
  </si>
  <si>
    <t>mfm</t>
  </si>
  <si>
    <t>ood</t>
  </si>
  <si>
    <t>mmm</t>
  </si>
  <si>
    <t>dk</t>
  </si>
  <si>
    <t>Descuentos</t>
  </si>
  <si>
    <t>Propina</t>
  </si>
  <si>
    <t>Descripción</t>
  </si>
  <si>
    <t>Dirección</t>
  </si>
  <si>
    <t>Asignación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</si>
</sst>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dd\.mm\.yyyy"/>
    <numFmt numFmtId="166" formatCode="dd/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rgb="FFFFFFFF"/>
      <name val="Arial"/>
      <family val="2"/>
    </font>
    <font>
      <i/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4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theme="4" tint="0.39997558519241921"/>
      </left>
      <right/>
      <top style="medium">
        <color rgb="FFCCCCCC"/>
      </top>
      <bottom/>
      <diagonal/>
    </border>
    <border>
      <left/>
      <right style="thin">
        <color theme="4" tint="0.39997558519241921"/>
      </right>
      <top style="medium">
        <color rgb="FFCCCCCC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wrapText="1"/>
    </xf>
    <xf numFmtId="0" fontId="0" fillId="0" borderId="7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wrapText="1"/>
    </xf>
    <xf numFmtId="0" fontId="0" fillId="3" borderId="9" xfId="0" applyFill="1" applyBorder="1" applyAlignment="1">
      <alignment vertical="center" wrapText="1"/>
    </xf>
    <xf numFmtId="0" fontId="7" fillId="0" borderId="0" xfId="0" applyFont="1" applyAlignment="1">
      <alignment vertical="center"/>
    </xf>
    <xf numFmtId="0" fontId="3" fillId="0" borderId="10" xfId="0" applyFont="1" applyBorder="1" applyAlignment="1">
      <alignment horizontal="center" vertical="center" wrapText="1"/>
    </xf>
    <xf numFmtId="0" fontId="6" fillId="3" borderId="9" xfId="0" applyFont="1" applyFill="1" applyBorder="1" applyAlignment="1">
      <alignment vertical="center"/>
    </xf>
    <xf numFmtId="14" fontId="3" fillId="0" borderId="10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3" xfId="0" applyFill="1" applyBorder="1" applyAlignment="1">
      <alignment vertical="center" wrapText="1"/>
    </xf>
    <xf numFmtId="0" fontId="6" fillId="3" borderId="2" xfId="0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3" fillId="6" borderId="10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9" fontId="2" fillId="2" borderId="0" xfId="1" applyFont="1" applyFill="1" applyAlignment="1">
      <alignment horizontal="center"/>
    </xf>
    <xf numFmtId="0" fontId="8" fillId="3" borderId="1" xfId="0" applyFont="1" applyFill="1" applyBorder="1" applyAlignment="1">
      <alignment horizontal="center" wrapText="1"/>
    </xf>
    <xf numFmtId="0" fontId="8" fillId="3" borderId="1" xfId="0" applyFont="1" applyFill="1" applyBorder="1" applyAlignment="1">
      <alignment horizontal="left" wrapText="1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15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wrapText="1"/>
    </xf>
    <xf numFmtId="0" fontId="3" fillId="9" borderId="10" xfId="0" applyFont="1" applyFill="1" applyBorder="1" applyAlignment="1">
      <alignment horizontal="center" vertical="center" wrapText="1"/>
    </xf>
    <xf numFmtId="0" fontId="0" fillId="0" borderId="3" xfId="0" applyBorder="1" applyAlignment="1">
      <alignment wrapText="1"/>
    </xf>
    <xf numFmtId="0" fontId="0" fillId="0" borderId="0" xfId="0" applyAlignment="1">
      <alignment horizontal="right" wrapText="1"/>
    </xf>
    <xf numFmtId="0" fontId="3" fillId="0" borderId="0" xfId="0" applyFont="1" applyAlignment="1">
      <alignment horizontal="center" wrapText="1"/>
    </xf>
    <xf numFmtId="0" fontId="0" fillId="0" borderId="9" xfId="0" applyBorder="1" applyAlignment="1">
      <alignment horizontal="center" wrapText="1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11" xfId="0" applyBorder="1" applyAlignment="1">
      <alignment wrapText="1"/>
    </xf>
    <xf numFmtId="0" fontId="0" fillId="0" borderId="9" xfId="0" applyBorder="1" applyAlignment="1">
      <alignment wrapText="1"/>
    </xf>
    <xf numFmtId="164" fontId="0" fillId="0" borderId="0" xfId="2" applyFont="1" applyAlignment="1">
      <alignment wrapText="1"/>
    </xf>
    <xf numFmtId="0" fontId="0" fillId="8" borderId="1" xfId="0" applyFill="1" applyBorder="1" applyAlignment="1">
      <alignment horizontal="left" wrapText="1"/>
    </xf>
    <xf numFmtId="0" fontId="3" fillId="0" borderId="13" xfId="0" applyFont="1" applyBorder="1" applyAlignment="1">
      <alignment horizontal="left" wrapText="1"/>
    </xf>
    <xf numFmtId="0" fontId="9" fillId="0" borderId="0" xfId="0" applyFont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wrapText="1"/>
    </xf>
    <xf numFmtId="2" fontId="0" fillId="0" borderId="0" xfId="0" applyNumberFormat="1"/>
    <xf numFmtId="1" fontId="0" fillId="0" borderId="0" xfId="0" applyNumberFormat="1"/>
    <xf numFmtId="1" fontId="0" fillId="0" borderId="5" xfId="0" applyNumberFormat="1" applyBorder="1" applyAlignment="1">
      <alignment wrapText="1"/>
    </xf>
    <xf numFmtId="1" fontId="0" fillId="0" borderId="0" xfId="0" applyNumberFormat="1" applyAlignment="1">
      <alignment wrapText="1"/>
    </xf>
    <xf numFmtId="1" fontId="3" fillId="0" borderId="10" xfId="0" applyNumberFormat="1" applyFont="1" applyBorder="1" applyAlignment="1">
      <alignment horizontal="center" vertical="center" wrapText="1"/>
    </xf>
    <xf numFmtId="1" fontId="0" fillId="3" borderId="3" xfId="0" applyNumberFormat="1" applyFill="1" applyBorder="1" applyAlignment="1">
      <alignment vertical="center" wrapText="1"/>
    </xf>
    <xf numFmtId="1" fontId="0" fillId="3" borderId="9" xfId="0" applyNumberFormat="1" applyFill="1" applyBorder="1" applyAlignment="1">
      <alignment vertical="center" wrapText="1"/>
    </xf>
    <xf numFmtId="1" fontId="0" fillId="0" borderId="9" xfId="0" applyNumberFormat="1" applyBorder="1" applyAlignment="1">
      <alignment wrapText="1"/>
    </xf>
    <xf numFmtId="9" fontId="0" fillId="5" borderId="10" xfId="0" applyNumberFormat="1" applyFill="1" applyBorder="1" applyAlignment="1">
      <alignment vertical="center" wrapText="1"/>
    </xf>
    <xf numFmtId="2" fontId="0" fillId="0" borderId="0" xfId="0" applyNumberFormat="1" applyAlignment="1">
      <alignment horizontal="center"/>
    </xf>
    <xf numFmtId="2" fontId="0" fillId="0" borderId="5" xfId="0" applyNumberFormat="1" applyBorder="1" applyAlignment="1">
      <alignment horizontal="center" wrapText="1"/>
    </xf>
    <xf numFmtId="2" fontId="0" fillId="0" borderId="0" xfId="0" applyNumberFormat="1" applyAlignment="1">
      <alignment horizontal="center" wrapText="1"/>
    </xf>
    <xf numFmtId="2" fontId="0" fillId="0" borderId="10" xfId="0" applyNumberFormat="1" applyBorder="1" applyAlignment="1">
      <alignment vertical="center" wrapText="1"/>
    </xf>
    <xf numFmtId="2" fontId="0" fillId="5" borderId="10" xfId="0" applyNumberFormat="1" applyFill="1" applyBorder="1" applyAlignment="1">
      <alignment vertical="center" wrapText="1"/>
    </xf>
    <xf numFmtId="2" fontId="0" fillId="0" borderId="3" xfId="0" applyNumberFormat="1" applyBorder="1" applyAlignment="1">
      <alignment horizontal="center"/>
    </xf>
    <xf numFmtId="2" fontId="0" fillId="0" borderId="9" xfId="0" applyNumberFormat="1" applyBorder="1" applyAlignment="1">
      <alignment horizontal="center" wrapText="1"/>
    </xf>
    <xf numFmtId="2" fontId="0" fillId="0" borderId="6" xfId="0" applyNumberFormat="1" applyBorder="1" applyAlignment="1">
      <alignment wrapText="1"/>
    </xf>
    <xf numFmtId="2" fontId="0" fillId="0" borderId="8" xfId="0" applyNumberFormat="1" applyBorder="1" applyAlignment="1">
      <alignment wrapText="1"/>
    </xf>
    <xf numFmtId="2" fontId="0" fillId="0" borderId="10" xfId="0" applyNumberFormat="1" applyBorder="1" applyAlignment="1">
      <alignment wrapText="1"/>
    </xf>
    <xf numFmtId="0" fontId="4" fillId="7" borderId="2" xfId="0" applyFont="1" applyFill="1" applyBorder="1"/>
    <xf numFmtId="0" fontId="4" fillId="7" borderId="3" xfId="0" applyFont="1" applyFill="1" applyBorder="1"/>
    <xf numFmtId="2" fontId="10" fillId="3" borderId="10" xfId="0" applyNumberFormat="1" applyFont="1" applyFill="1" applyBorder="1" applyAlignment="1">
      <alignment horizontal="center" vertical="center" wrapText="1"/>
    </xf>
    <xf numFmtId="2" fontId="4" fillId="7" borderId="3" xfId="0" applyNumberFormat="1" applyFont="1" applyFill="1" applyBorder="1"/>
    <xf numFmtId="2" fontId="0" fillId="3" borderId="9" xfId="0" applyNumberFormat="1" applyFill="1" applyBorder="1" applyAlignment="1">
      <alignment horizontal="center" vertical="center" wrapText="1"/>
    </xf>
    <xf numFmtId="0" fontId="3" fillId="0" borderId="13" xfId="0" applyFont="1" applyBorder="1" applyAlignment="1">
      <alignment wrapText="1"/>
    </xf>
    <xf numFmtId="2" fontId="0" fillId="0" borderId="5" xfId="0" applyNumberFormat="1" applyBorder="1" applyAlignment="1">
      <alignment wrapText="1"/>
    </xf>
    <xf numFmtId="2" fontId="0" fillId="0" borderId="0" xfId="0" applyNumberFormat="1" applyAlignment="1">
      <alignment wrapText="1"/>
    </xf>
    <xf numFmtId="2" fontId="0" fillId="5" borderId="10" xfId="2" applyNumberFormat="1" applyFont="1" applyFill="1" applyBorder="1" applyAlignment="1">
      <alignment vertical="center" wrapText="1"/>
    </xf>
    <xf numFmtId="2" fontId="0" fillId="0" borderId="0" xfId="2" applyNumberFormat="1" applyFont="1" applyAlignment="1">
      <alignment wrapText="1"/>
    </xf>
    <xf numFmtId="2" fontId="0" fillId="0" borderId="3" xfId="0" applyNumberFormat="1" applyBorder="1" applyAlignment="1">
      <alignment wrapText="1"/>
    </xf>
    <xf numFmtId="2" fontId="3" fillId="0" borderId="13" xfId="0" applyNumberFormat="1" applyFont="1" applyBorder="1" applyAlignment="1">
      <alignment horizontal="left" wrapText="1"/>
    </xf>
    <xf numFmtId="2" fontId="0" fillId="0" borderId="9" xfId="0" applyNumberFormat="1" applyBorder="1" applyAlignment="1">
      <alignment wrapText="1"/>
    </xf>
    <xf numFmtId="0" fontId="14" fillId="10" borderId="1" xfId="0" applyFont="1" applyFill="1" applyBorder="1"/>
    <xf numFmtId="0" fontId="14" fillId="10" borderId="15" xfId="0" applyFont="1" applyFill="1" applyBorder="1"/>
    <xf numFmtId="0" fontId="14" fillId="10" borderId="15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vertical="center" wrapText="1"/>
    </xf>
    <xf numFmtId="0" fontId="10" fillId="3" borderId="10" xfId="0" applyFont="1" applyFill="1" applyBorder="1" applyAlignment="1">
      <alignment horizontal="center" vertical="center" wrapText="1"/>
    </xf>
    <xf numFmtId="1" fontId="10" fillId="3" borderId="10" xfId="0" applyNumberFormat="1" applyFont="1" applyFill="1" applyBorder="1" applyAlignment="1">
      <alignment horizontal="center" vertical="center" wrapText="1"/>
    </xf>
    <xf numFmtId="2" fontId="10" fillId="3" borderId="9" xfId="0" applyNumberFormat="1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2" fontId="0" fillId="0" borderId="8" xfId="0" applyNumberFormat="1" applyBorder="1" applyAlignment="1">
      <alignment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2" fontId="0" fillId="5" borderId="8" xfId="2" applyNumberFormat="1" applyFont="1" applyFill="1" applyBorder="1" applyAlignment="1">
      <alignment vertical="center" wrapText="1"/>
    </xf>
    <xf numFmtId="0" fontId="3" fillId="6" borderId="16" xfId="0" applyFont="1" applyFill="1" applyBorder="1" applyAlignment="1">
      <alignment horizontal="center" vertical="center" wrapText="1"/>
    </xf>
    <xf numFmtId="9" fontId="0" fillId="5" borderId="8" xfId="0" applyNumberFormat="1" applyFill="1" applyBorder="1" applyAlignment="1">
      <alignment vertical="center" wrapText="1"/>
    </xf>
    <xf numFmtId="2" fontId="0" fillId="5" borderId="8" xfId="0" applyNumberFormat="1" applyFill="1" applyBorder="1" applyAlignment="1">
      <alignment vertical="center" wrapText="1"/>
    </xf>
    <xf numFmtId="14" fontId="3" fillId="0" borderId="8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9" fillId="11" borderId="1" xfId="0" applyFont="1" applyFill="1" applyBorder="1"/>
    <xf numFmtId="0" fontId="3" fillId="0" borderId="1" xfId="0" applyFont="1" applyBorder="1"/>
    <xf numFmtId="49" fontId="3" fillId="0" borderId="1" xfId="0" quotePrefix="1" applyNumberFormat="1" applyFont="1" applyBorder="1"/>
    <xf numFmtId="2" fontId="10" fillId="0" borderId="0" xfId="0" applyNumberFormat="1" applyFont="1" applyAlignment="1">
      <alignment horizontal="center" vertical="center" wrapText="1"/>
    </xf>
    <xf numFmtId="0" fontId="3" fillId="0" borderId="19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7" xfId="0" applyBorder="1"/>
    <xf numFmtId="0" fontId="3" fillId="0" borderId="18" xfId="0" applyFont="1" applyBorder="1" applyAlignment="1">
      <alignment wrapText="1"/>
    </xf>
    <xf numFmtId="0" fontId="3" fillId="0" borderId="19" xfId="0" applyFont="1" applyBorder="1" applyAlignment="1">
      <alignment horizontal="right" wrapText="1"/>
    </xf>
    <xf numFmtId="0" fontId="15" fillId="3" borderId="0" xfId="0" applyFont="1" applyFill="1" applyAlignment="1">
      <alignment horizontal="center" wrapText="1"/>
    </xf>
    <xf numFmtId="0" fontId="15" fillId="3" borderId="26" xfId="0" applyFont="1" applyFill="1" applyBorder="1" applyAlignment="1">
      <alignment horizontal="center" wrapText="1"/>
    </xf>
    <xf numFmtId="0" fontId="3" fillId="0" borderId="26" xfId="0" applyFont="1" applyBorder="1" applyAlignment="1">
      <alignment wrapText="1"/>
    </xf>
    <xf numFmtId="0" fontId="3" fillId="0" borderId="27" xfId="0" applyFont="1" applyBorder="1" applyAlignment="1">
      <alignment wrapText="1"/>
    </xf>
    <xf numFmtId="165" fontId="0" fillId="0" borderId="0" xfId="0" applyNumberFormat="1"/>
    <xf numFmtId="165" fontId="0" fillId="0" borderId="5" xfId="0" applyNumberFormat="1" applyBorder="1" applyAlignment="1">
      <alignment wrapText="1"/>
    </xf>
    <xf numFmtId="165" fontId="0" fillId="0" borderId="0" xfId="0" applyNumberFormat="1" applyAlignment="1">
      <alignment wrapText="1"/>
    </xf>
    <xf numFmtId="165" fontId="5" fillId="0" borderId="0" xfId="0" applyNumberFormat="1" applyFont="1" applyAlignment="1">
      <alignment wrapText="1"/>
    </xf>
    <xf numFmtId="165" fontId="5" fillId="0" borderId="0" xfId="0" applyNumberFormat="1" applyFont="1" applyAlignment="1">
      <alignment vertical="center"/>
    </xf>
    <xf numFmtId="165" fontId="4" fillId="7" borderId="3" xfId="0" applyNumberFormat="1" applyFont="1" applyFill="1" applyBorder="1"/>
    <xf numFmtId="165" fontId="10" fillId="3" borderId="10" xfId="0" applyNumberFormat="1" applyFont="1" applyFill="1" applyBorder="1" applyAlignment="1">
      <alignment horizontal="center" vertical="center" wrapText="1"/>
    </xf>
    <xf numFmtId="165" fontId="3" fillId="0" borderId="10" xfId="0" applyNumberFormat="1" applyFont="1" applyBorder="1" applyAlignment="1">
      <alignment horizontal="center" vertical="center" wrapText="1"/>
    </xf>
    <xf numFmtId="165" fontId="3" fillId="0" borderId="8" xfId="0" applyNumberFormat="1" applyFont="1" applyBorder="1" applyAlignment="1">
      <alignment horizontal="center" vertical="center" wrapText="1"/>
    </xf>
    <xf numFmtId="165" fontId="0" fillId="3" borderId="3" xfId="0" applyNumberFormat="1" applyFill="1" applyBorder="1" applyAlignment="1">
      <alignment vertical="center"/>
    </xf>
    <xf numFmtId="165" fontId="0" fillId="3" borderId="9" xfId="0" applyNumberFormat="1" applyFill="1" applyBorder="1" applyAlignment="1">
      <alignment vertical="center"/>
    </xf>
    <xf numFmtId="165" fontId="0" fillId="0" borderId="0" xfId="0" applyNumberFormat="1" applyAlignment="1">
      <alignment horizontal="right" wrapText="1"/>
    </xf>
    <xf numFmtId="165" fontId="0" fillId="0" borderId="9" xfId="0" applyNumberFormat="1" applyBorder="1" applyAlignment="1">
      <alignment wrapText="1"/>
    </xf>
    <xf numFmtId="0" fontId="15" fillId="3" borderId="28" xfId="0" applyFont="1" applyFill="1" applyBorder="1" applyAlignment="1">
      <alignment horizontal="center" wrapText="1"/>
    </xf>
    <xf numFmtId="0" fontId="15" fillId="3" borderId="29" xfId="0" applyFont="1" applyFill="1" applyBorder="1" applyAlignment="1">
      <alignment horizontal="center" wrapText="1"/>
    </xf>
    <xf numFmtId="1" fontId="0" fillId="5" borderId="10" xfId="0" applyNumberFormat="1" applyFill="1" applyBorder="1" applyAlignment="1">
      <alignment vertical="center" wrapText="1"/>
    </xf>
    <xf numFmtId="1" fontId="0" fillId="0" borderId="0" xfId="0" applyNumberFormat="1" applyAlignment="1">
      <alignment horizontal="center"/>
    </xf>
    <xf numFmtId="1" fontId="0" fillId="0" borderId="5" xfId="0" applyNumberFormat="1" applyBorder="1" applyAlignment="1">
      <alignment horizontal="center" wrapText="1"/>
    </xf>
    <xf numFmtId="1" fontId="0" fillId="0" borderId="0" xfId="0" applyNumberFormat="1" applyAlignment="1">
      <alignment horizontal="center" wrapText="1"/>
    </xf>
    <xf numFmtId="1" fontId="4" fillId="7" borderId="3" xfId="0" applyNumberFormat="1" applyFont="1" applyFill="1" applyBorder="1"/>
    <xf numFmtId="1" fontId="0" fillId="3" borderId="9" xfId="0" applyNumberFormat="1" applyFill="1" applyBorder="1" applyAlignment="1">
      <alignment horizontal="center" vertical="center" wrapText="1"/>
    </xf>
    <xf numFmtId="1" fontId="0" fillId="0" borderId="9" xfId="0" applyNumberFormat="1" applyBorder="1" applyAlignment="1">
      <alignment horizontal="center" wrapText="1"/>
    </xf>
    <xf numFmtId="14" fontId="14" fillId="10" borderId="15" xfId="0" applyNumberFormat="1" applyFont="1" applyFill="1" applyBorder="1"/>
    <xf numFmtId="14" fontId="0" fillId="0" borderId="0" xfId="0" applyNumberFormat="1"/>
    <xf numFmtId="14" fontId="0" fillId="0" borderId="5" xfId="0" applyNumberFormat="1" applyBorder="1" applyAlignment="1">
      <alignment wrapText="1"/>
    </xf>
    <xf numFmtId="14" fontId="0" fillId="0" borderId="0" xfId="0" applyNumberFormat="1" applyAlignment="1">
      <alignment wrapText="1"/>
    </xf>
    <xf numFmtId="14" fontId="4" fillId="7" borderId="3" xfId="0" applyNumberFormat="1" applyFont="1" applyFill="1" applyBorder="1"/>
    <xf numFmtId="14" fontId="10" fillId="3" borderId="10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/>
    </xf>
    <xf numFmtId="14" fontId="0" fillId="3" borderId="9" xfId="0" applyNumberFormat="1" applyFill="1" applyBorder="1" applyAlignment="1">
      <alignment vertical="center"/>
    </xf>
    <xf numFmtId="14" fontId="0" fillId="0" borderId="0" xfId="0" applyNumberFormat="1" applyAlignment="1">
      <alignment horizontal="right" wrapText="1"/>
    </xf>
    <xf numFmtId="14" fontId="0" fillId="0" borderId="9" xfId="0" applyNumberFormat="1" applyBorder="1" applyAlignment="1">
      <alignment wrapText="1"/>
    </xf>
    <xf numFmtId="2" fontId="3" fillId="0" borderId="10" xfId="0" applyNumberFormat="1" applyFont="1" applyBorder="1" applyAlignment="1">
      <alignment horizontal="center" vertical="center" wrapText="1"/>
    </xf>
    <xf numFmtId="2" fontId="3" fillId="0" borderId="8" xfId="0" applyNumberFormat="1" applyFont="1" applyBorder="1" applyAlignment="1">
      <alignment horizontal="center" vertical="center" wrapText="1"/>
    </xf>
    <xf numFmtId="2" fontId="0" fillId="0" borderId="30" xfId="0" applyNumberFormat="1" applyBorder="1" applyAlignment="1">
      <alignment horizontal="center" wrapText="1"/>
    </xf>
    <xf numFmtId="2" fontId="0" fillId="0" borderId="31" xfId="0" applyNumberFormat="1" applyBorder="1" applyAlignment="1">
      <alignment horizontal="center" wrapText="1"/>
    </xf>
    <xf numFmtId="0" fontId="4" fillId="7" borderId="32" xfId="0" applyFont="1" applyFill="1" applyBorder="1"/>
    <xf numFmtId="2" fontId="10" fillId="3" borderId="33" xfId="0" applyNumberFormat="1" applyFont="1" applyFill="1" applyBorder="1" applyAlignment="1">
      <alignment horizontal="center" vertical="center" wrapText="1"/>
    </xf>
    <xf numFmtId="2" fontId="0" fillId="5" borderId="33" xfId="0" applyNumberFormat="1" applyFill="1" applyBorder="1" applyAlignment="1">
      <alignment vertical="center" wrapText="1"/>
    </xf>
    <xf numFmtId="0" fontId="0" fillId="3" borderId="33" xfId="0" applyFill="1" applyBorder="1" applyAlignment="1">
      <alignment horizontal="center" vertical="center" wrapText="1"/>
    </xf>
    <xf numFmtId="2" fontId="0" fillId="0" borderId="33" xfId="0" applyNumberFormat="1" applyBorder="1" applyAlignment="1">
      <alignment horizontal="center" wrapText="1"/>
    </xf>
    <xf numFmtId="14" fontId="0" fillId="0" borderId="3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0" xfId="0" applyFill="1" applyAlignment="1">
      <alignment wrapText="1"/>
    </xf>
    <xf numFmtId="14" fontId="5" fillId="0" borderId="0" xfId="0" applyNumberFormat="1" applyFont="1" applyFill="1" applyAlignment="1">
      <alignment wrapText="1"/>
    </xf>
    <xf numFmtId="14" fontId="0" fillId="0" borderId="0" xfId="0" applyNumberFormat="1" applyFill="1" applyAlignment="1">
      <alignment wrapText="1"/>
    </xf>
    <xf numFmtId="14" fontId="0" fillId="0" borderId="3" xfId="0" applyNumberFormat="1" applyFill="1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14" fontId="0" fillId="0" borderId="3" xfId="0" applyNumberFormat="1" applyFill="1" applyBorder="1" applyAlignment="1">
      <alignment horizontal="center" wrapText="1"/>
    </xf>
    <xf numFmtId="0" fontId="0" fillId="0" borderId="0" xfId="0" applyFill="1"/>
    <xf numFmtId="2" fontId="10" fillId="0" borderId="0" xfId="0" applyNumberFormat="1" applyFont="1" applyFill="1" applyAlignment="1">
      <alignment horizontal="center" vertical="center" wrapText="1"/>
    </xf>
    <xf numFmtId="0" fontId="5" fillId="0" borderId="0" xfId="0" applyFont="1" applyFill="1" applyAlignment="1">
      <alignment wrapText="1"/>
    </xf>
    <xf numFmtId="0" fontId="0" fillId="0" borderId="14" xfId="0" applyFill="1" applyBorder="1" applyAlignment="1">
      <alignment horizontal="center" wrapText="1"/>
    </xf>
    <xf numFmtId="15" fontId="3" fillId="0" borderId="0" xfId="0" applyNumberFormat="1" applyFont="1" applyFill="1" applyAlignment="1">
      <alignment horizontal="center" wrapText="1"/>
    </xf>
    <xf numFmtId="0" fontId="0" fillId="0" borderId="0" xfId="0" applyFill="1" applyAlignment="1">
      <alignment horizontal="center"/>
    </xf>
    <xf numFmtId="14" fontId="5" fillId="0" borderId="0" xfId="0" applyNumberFormat="1" applyFont="1" applyFill="1" applyAlignment="1">
      <alignment vertical="center"/>
    </xf>
    <xf numFmtId="14" fontId="0" fillId="0" borderId="0" xfId="0" applyNumberFormat="1" applyFill="1"/>
    <xf numFmtId="1" fontId="0" fillId="0" borderId="0" xfId="0" applyNumberFormat="1" applyFill="1"/>
    <xf numFmtId="0" fontId="3" fillId="0" borderId="0" xfId="0" applyFont="1" applyFill="1" applyAlignment="1">
      <alignment wrapText="1"/>
    </xf>
    <xf numFmtId="0" fontId="3" fillId="4" borderId="9" xfId="0" applyNumberFormat="1" applyFont="1" applyFill="1" applyBorder="1" applyAlignment="1">
      <alignment horizontal="center" vertical="center" wrapText="1"/>
    </xf>
    <xf numFmtId="166" fontId="3" fillId="0" borderId="10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/>
        <top style="medium">
          <color rgb="FFCCCCCC"/>
        </top>
        <bottom/>
        <vertical/>
        <horizontal/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FF0000"/>
        </patternFill>
      </fill>
      <alignment horizontal="center" vertical="bottom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1" formatCode="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 style="medium">
          <color rgb="FF000000"/>
        </bottom>
      </border>
    </dxf>
    <dxf>
      <numFmt numFmtId="1" formatCode="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 style="medium">
          <color rgb="FF000000"/>
        </bottom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 style="medium">
          <color rgb="FF000000"/>
        </bottom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/mm/yyyy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13" formatCode="0%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dd\.mm\.yyyy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dd\.mm\.yyyy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D8D8D8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 style="medium">
          <color rgb="FF000000"/>
        </bottom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13" formatCode="0%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/mm/yyyy"/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/mm/yyyy"/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rgb="FF000000"/>
        </bottom>
      </border>
    </dxf>
    <dxf>
      <border outline="0">
        <left style="medium">
          <color indexed="64"/>
        </left>
        <right style="medium">
          <color rgb="FF000000"/>
        </right>
        <top style="medium">
          <color indexed="64"/>
        </top>
        <bottom style="medium">
          <color rgb="FF000000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  <color rgb="FFFFAFAF"/>
      <color rgb="FFFF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1256551</xdr:colOff>
      <xdr:row>4</xdr:row>
      <xdr:rowOff>65596</xdr:rowOff>
    </xdr:from>
    <xdr:to>
      <xdr:col>18</xdr:col>
      <xdr:colOff>985800</xdr:colOff>
      <xdr:row>8</xdr:row>
      <xdr:rowOff>53331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0A59-A0B9-44BD-A8E8-3CF52F513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5408" y="800382"/>
          <a:ext cx="2963627" cy="9039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1256551</xdr:colOff>
      <xdr:row>4</xdr:row>
      <xdr:rowOff>65596</xdr:rowOff>
    </xdr:from>
    <xdr:to>
      <xdr:col>18</xdr:col>
      <xdr:colOff>1312371</xdr:colOff>
      <xdr:row>8</xdr:row>
      <xdr:rowOff>53331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0CB2634-7F1A-4D52-A45F-6E4454468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82351" y="808546"/>
          <a:ext cx="2976820" cy="895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BCE7B1-1C83-4C1B-9493-2B001DD3363D}" name="Tabla1" displayName="Tabla1" ref="D13:AA38" totalsRowShown="0" headerRowDxfId="67" dataDxfId="65" headerRowBorderDxfId="66" tableBorderDxfId="64">
  <tableColumns count="24">
    <tableColumn id="1" xr3:uid="{3D43DEE6-E5D2-458A-A6E6-FFBD608E5E6B}" name="N Doc" dataDxfId="63">
      <calculatedColumnFormula array="1">IF(Tabla1[[#This Row],[Importe total]]="","",SUM(IF(Tabla1[Importe total]&lt;&gt;"",1,0)*(ROW(Tabla1[Importe total])&lt;=ROW())))</calculatedColumnFormula>
    </tableColumn>
    <tableColumn id="2" xr3:uid="{EFBEE1CB-4558-4D93-8CD4-B072572837D4}" name="Fecha factura" dataDxfId="62"/>
    <tableColumn id="3" xr3:uid="{69848031-56C6-49D1-A590-81E6CEF67D36}" name="Fecha cont" dataDxfId="61"/>
    <tableColumn id="4" xr3:uid="{88F70672-A4A9-44EA-B7CB-EA972992A374}" name="Nro Factura" dataDxfId="60"/>
    <tableColumn id="5" xr3:uid="{B8B49880-EC2C-4D15-8ADA-A424685386B7}" name="OC" dataDxfId="59"/>
    <tableColumn id="6" xr3:uid="{69D27351-C159-4674-BCF0-0258110FDC0A}" name="Factura con RUT" dataDxfId="58"/>
    <tableColumn id="7" xr3:uid="{A3ED31D0-6970-4C21-B6E0-007E3B2FB28B}" name="Factura del exterior" dataDxfId="57"/>
    <tableColumn id="8" xr3:uid="{44E5E667-B625-4337-BA9E-3DE1C694F616}" name="Proveedor" dataDxfId="56"/>
    <tableColumn id="9" xr3:uid="{FE19A7C8-13A8-44C9-8C23-87BCE92C3471}" name="Descr. Del gasto" dataDxfId="55"/>
    <tableColumn id="10" xr3:uid="{DE0815F0-E1F7-46E6-ACFC-73D703F07F7A}" name="Cuenta contable" dataDxfId="54">
      <calculatedColumnFormula>+IFERROR(VLOOKUP(L14,clave_PlanillaGastos_2024!$B$2:$C$17,2,FALSE),"-")</calculatedColumnFormula>
    </tableColumn>
    <tableColumn id="11" xr3:uid="{234A58A6-6F08-4BA0-8EE3-E7D0738EB130}" name="Imputación gasto" dataDxfId="53"/>
    <tableColumn id="12" xr3:uid="{0D8771B5-3A12-44DC-BBD5-42D302BA4AC5}" name="CECO" dataDxfId="52">
      <calculatedColumnFormula>+IFERROR(VLOOKUP(N14,clave_PlanillaGastos_2024!$B$20:$C$64,2,FALSE),"-")</calculatedColumnFormula>
    </tableColumn>
    <tableColumn id="13" xr3:uid="{76650400-A023-4018-BCA0-52BC1E12DC41}" name="Importe total" dataDxfId="51"/>
    <tableColumn id="14" xr3:uid="{A5409856-BE2F-4571-A78B-456B45EF7D6C}" name="Moneda" dataDxfId="50"/>
    <tableColumn id="15" xr3:uid="{47502367-1A51-4A8E-9386-8A0CD0EFF5BB}" name="Tipo IVA" dataDxfId="49">
      <calculatedColumnFormula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calculatedColumnFormula>
    </tableColumn>
    <tableColumn id="16" xr3:uid="{7CA114DD-D3C6-4AE0-B529-410155F2E5C2}" name="Base imponible 22" dataDxfId="48"/>
    <tableColumn id="17" xr3:uid="{341F472F-C53B-4153-92EB-694C2D0E8EE8}" name="Iva 22" dataDxfId="47">
      <calculatedColumnFormula>IF(Tabla1[[#This Row],[Base imponible 22]]="","",IF(Tabla1[[#This Row],[Base imponible 22]]=0,0,Tabla1[[#This Row],[Base imponible 22]]*0.22))</calculatedColumnFormula>
    </tableColumn>
    <tableColumn id="18" xr3:uid="{C723E7B6-839E-46C5-8D1E-474428193ED8}" name="Base imponible 10" dataDxfId="46"/>
    <tableColumn id="19" xr3:uid="{9D4FF4BA-EF33-4A29-B48A-2E6D9BE25276}" name="Iva 10" dataDxfId="45">
      <calculatedColumnFormula>IF(Tabla1[[#This Row],[Base imponible 10]]="","",IF(Tabla1[[#This Row],[Base imponible 10]]=0,0,Tabla1[[#This Row],[Base imponible 10]]*0.1))</calculatedColumnFormula>
    </tableColumn>
    <tableColumn id="20" xr3:uid="{FC4B9A65-00D7-4FC9-A2B5-2235B8942B79}" name="Exento" dataDxfId="44"/>
    <tableColumn id="24" xr3:uid="{02FF0BD0-A67F-4550-AF91-D398D45688A9}" name="Descuentos" dataDxfId="43"/>
    <tableColumn id="26" xr3:uid="{34E36034-03E6-483F-896F-7746EA1111EA}" name="Propina" dataDxfId="42"/>
    <tableColumn id="22" xr3:uid="{740DBE60-E090-421D-A2AD-5B0CEF3A75A7}" name="Dirección" dataDxfId="41"/>
    <tableColumn id="31" xr3:uid="{15BC8002-DE22-4BE0-98B1-F4455CAF67FC}" name="Descripción" dataDxfId="40">
      <calculatedColumnFormula>IF(AND(E14&lt;&gt;"",L14&lt;&gt;""),L14,"")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F7B1E0-8CFD-48D7-9FF0-E44B17283BBA}" name="Tabla13" displayName="Tabla13" ref="D13:AI38" totalsRowShown="0" headerRowDxfId="39" dataDxfId="37" headerRowBorderDxfId="38" tableBorderDxfId="36">
  <tableColumns count="32">
    <tableColumn id="1" xr3:uid="{83B22ACE-DB38-443E-8EE0-792B51AA8843}" name="N Doc" dataDxfId="35">
      <calculatedColumnFormula array="1">IF(Tabla13[[#This Row],[Importe total]]="","",SUM(IF(Tabla13[Importe total]&lt;&gt;"",1,0)*(ROW(Tabla13[Importe total])&lt;=ROW())))</calculatedColumnFormula>
    </tableColumn>
    <tableColumn id="2" xr3:uid="{6DD44AAE-B96F-41EA-81BB-BDB51CA67024}" name="Fecha factura" dataDxfId="34"/>
    <tableColumn id="3" xr3:uid="{BFE92997-F3CC-4F54-AAC5-EE5A296B844D}" name="Fecha cont" dataDxfId="33"/>
    <tableColumn id="4" xr3:uid="{6DA0F668-D71A-4331-978D-76A093167976}" name="Nro Factura" dataDxfId="32"/>
    <tableColumn id="5" xr3:uid="{D479C369-DFF9-480F-B574-F0AB2ECB4817}" name="OC" dataDxfId="31"/>
    <tableColumn id="6" xr3:uid="{18A2BC50-7241-4DEC-9CE8-E65DC7B98691}" name="Factura con RUT" dataDxfId="30"/>
    <tableColumn id="7" xr3:uid="{F7EF3D8D-6618-4F77-9EFF-6DA848738D00}" name="Factura del exterior" dataDxfId="29"/>
    <tableColumn id="8" xr3:uid="{F4C8BBA1-64C8-4CCD-A368-C97C7CE341DF}" name="Proveedor" dataDxfId="28"/>
    <tableColumn id="9" xr3:uid="{09FFF8CC-CBA7-42A9-B166-915240D036FD}" name="Descr. Del gasto" dataDxfId="27"/>
    <tableColumn id="10" xr3:uid="{258F67E4-7443-4711-BD89-8D99AB111052}" name="Cuenta contable" dataDxfId="26">
      <calculatedColumnFormula>+IFERROR(VLOOKUP(L14,clave_PlanillaGastos_2024!$B$2:$C$17,2,FALSE),"-")</calculatedColumnFormula>
    </tableColumn>
    <tableColumn id="11" xr3:uid="{00443E07-F814-4125-8942-C491F3D1A0A5}" name="Imputación gasto" dataDxfId="25"/>
    <tableColumn id="12" xr3:uid="{14159AB1-48A5-4509-BB97-C8735A1024EB}" name="CECO" dataDxfId="24">
      <calculatedColumnFormula>+IFERROR(VLOOKUP(N14,clave_PlanillaGastos_2024!$B$20:$C$64,2,FALSE),"-")</calculatedColumnFormula>
    </tableColumn>
    <tableColumn id="13" xr3:uid="{B98C16A3-4C42-461B-A6B2-A3BC14F2A60F}" name="Importe total" dataDxfId="23"/>
    <tableColumn id="14" xr3:uid="{41D3468B-DAC0-42FC-B988-946EB360C265}" name="Moneda" dataDxfId="22"/>
    <tableColumn id="15" xr3:uid="{6B7C2B65-EF4A-4FF9-A440-BBF58C4200FD}" name="Tipo IVA" dataDxfId="21"/>
    <tableColumn id="16" xr3:uid="{C8FEBD77-B576-469F-B2E5-B0BC2BB8B6A9}" name="Base imponible 22" dataDxfId="20"/>
    <tableColumn id="17" xr3:uid="{DB6A4645-1CEB-4302-8D52-3FE8F077E703}" name="Iva 22" dataDxfId="19">
      <calculatedColumnFormula>S14*0.22</calculatedColumnFormula>
    </tableColumn>
    <tableColumn id="18" xr3:uid="{471822CE-F18D-4CB7-B37A-CAA1F7F2320E}" name="Base imponible 10" dataDxfId="18"/>
    <tableColumn id="19" xr3:uid="{BB9A7CEC-0497-45F7-800C-447C703E95A3}" name="Iva 10" dataDxfId="17">
      <calculatedColumnFormula>U14*0.1</calculatedColumnFormula>
    </tableColumn>
    <tableColumn id="20" xr3:uid="{336E5DC7-6ADB-4CC8-BDCB-FBBF6205CA39}" name="Exento" dataDxfId="16"/>
    <tableColumn id="21" xr3:uid="{06A5A058-76D0-4E8D-B0C8-6612790364F6}" name="Iva" dataDxfId="15"/>
    <tableColumn id="34" xr3:uid="{BC0295BB-CFD4-45F3-8778-BB650818FF4D}" name="Base" dataDxfId="14">
      <calculatedColumnFormula>Tabla13[[#This Row],[Importe total]]-Tabla13[[#This Row],[Iva]]</calculatedColumnFormula>
    </tableColumn>
    <tableColumn id="24" xr3:uid="{3E939F8D-9491-4812-B92E-6CFE1854E17E}" name="Ind impuestos" dataDxfId="13">
      <calculatedColumnFormula>IF(OR(I14="",J14=""),"",IF(OR(I14="No",J14="Si"),"E0","A0"))</calculatedColumnFormula>
    </tableColumn>
    <tableColumn id="26" xr3:uid="{5389AD24-391B-483E-A1EF-26B967EE1C7F}" name="Clase Doc" dataDxfId="12">
      <calculatedColumnFormula>IF(G14&lt;&gt;"","KR",IF(AND(G14="",P14&lt;&gt;""),"SA",""))</calculatedColumnFormula>
    </tableColumn>
    <tableColumn id="27" xr3:uid="{87A7CD84-0E14-4389-8E25-5246FBF1C1E0}" name="Banco Destino" dataDxfId="11"/>
    <tableColumn id="28" xr3:uid="{4F44C6A1-7875-4DA5-B1A7-7A63C0409F05}" name="Asignacion" dataDxfId="10"/>
    <tableColumn id="29" xr3:uid="{9F29632A-8C29-4135-8C31-B1284C524069}" name="Topes" dataDxfId="9"/>
    <tableColumn id="25" xr3:uid="{F91427B3-3626-4DE7-80DA-391EF327576A}" name="Titular" dataDxfId="8">
      <calculatedColumnFormula>IF(OR(Formulario!$G$7="",Tabla13[[#This Row],[Fecha factura]]="",""),"",VLOOKUP($G$7,'Descripciones de gastos'!D:E,2,FALSE))</calculatedColumnFormula>
    </tableColumn>
    <tableColumn id="33" xr3:uid="{5E900BF9-8B93-4FBA-AC5C-F01B0737FA84}" name="Cta Iva 22" dataDxfId="7">
      <calculatedColumnFormula>VLOOKUP("IVA Compras Indirecto 22%.",'Descripciones de gastos'!G:H,2,FALSE)</calculatedColumnFormula>
    </tableColumn>
    <tableColumn id="32" xr3:uid="{6E91A2A5-84CB-41BE-9E71-04208949DF15}" name="Cta Iva 10" dataDxfId="6">
      <calculatedColumnFormula>VLOOKUP("IVA Compras Indirecto 10%.",'Descripciones de gastos'!G:H,2,FALSE)</calculatedColumnFormula>
    </tableColumn>
    <tableColumn id="31" xr3:uid="{447483AD-601A-41D2-9906-82DD7D678CC1}" name="Texto posición" dataDxfId="5">
      <calculatedColumnFormula>IF(AND(E14&lt;&gt;"",L14&lt;&gt;""),L14,"")</calculatedColumnFormula>
    </tableColumn>
    <tableColumn id="30" xr3:uid="{9D51990B-848A-4F55-B188-98647E5F1DE6}" name="Correctamente documentado ?" dataDxfId="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819750-DE7B-43FD-9FF4-9EC05D9CB421}" name="Tabla4" displayName="Tabla4" ref="D1:E1164" totalsRowShown="0" headerRowDxfId="3" tableBorderDxfId="2">
  <autoFilter ref="D1:E1164" xr:uid="{51819750-DE7B-43FD-9FF4-9EC05D9CB421}"/>
  <tableColumns count="2">
    <tableColumn id="1" xr3:uid="{59189CC4-081E-42CE-A39D-53E07ABA0985}" name="Proveedor" dataDxfId="1"/>
    <tableColumn id="2" xr3:uid="{F15D5D31-C9A8-46D9-B18D-17A1E9371E3D}" name="Sociedad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E273D-0F81-4362-B6FB-C85C71FCD51D}">
  <sheetPr codeName="Hoja1">
    <tabColor rgb="FFC00000"/>
    <pageSetUpPr fitToPage="1"/>
  </sheetPr>
  <dimension ref="B2:AC49"/>
  <sheetViews>
    <sheetView showGridLines="0" tabSelected="1" topLeftCell="B1" zoomScale="70" zoomScaleNormal="70" workbookViewId="0">
      <selection activeCell="K23" sqref="K23"/>
    </sheetView>
  </sheetViews>
  <sheetFormatPr defaultColWidth="8.77734375" defaultRowHeight="14.4" x14ac:dyDescent="0.3"/>
  <cols>
    <col min="1" max="1" width="5.21875" customWidth="1"/>
    <col min="3" max="4" width="6.21875" customWidth="1"/>
    <col min="5" max="5" width="13.77734375" style="146" customWidth="1"/>
    <col min="6" max="6" width="12.5546875" style="146" customWidth="1"/>
    <col min="7" max="7" width="15.77734375" style="55" customWidth="1"/>
    <col min="8" max="8" width="9.109375" customWidth="1"/>
    <col min="9" max="9" width="19" customWidth="1"/>
    <col min="10" max="10" width="21.21875" customWidth="1"/>
    <col min="11" max="11" width="17.33203125" customWidth="1"/>
    <col min="12" max="12" width="24" customWidth="1"/>
    <col min="13" max="13" width="20.77734375" hidden="1" customWidth="1"/>
    <col min="14" max="14" width="24" style="1" customWidth="1"/>
    <col min="15" max="15" width="24" style="1" hidden="1" customWidth="1"/>
    <col min="16" max="16" width="19.21875" style="54" customWidth="1"/>
    <col min="17" max="17" width="11.109375" style="1" customWidth="1"/>
    <col min="18" max="18" width="16.109375" style="1" bestFit="1" customWidth="1"/>
    <col min="19" max="19" width="24.33203125" style="63" customWidth="1"/>
    <col min="20" max="20" width="15.109375" style="63" customWidth="1"/>
    <col min="21" max="21" width="23.44140625" style="63" customWidth="1"/>
    <col min="22" max="23" width="15.109375" style="63" customWidth="1"/>
    <col min="24" max="24" width="15.77734375" style="63" customWidth="1"/>
    <col min="25" max="26" width="14.5546875" style="55" customWidth="1"/>
    <col min="27" max="27" width="22.5546875" style="63" customWidth="1"/>
    <col min="28" max="28" width="15.109375" style="54" customWidth="1"/>
  </cols>
  <sheetData>
    <row r="2" spans="2:29" ht="15" thickBot="1" x14ac:dyDescent="0.35"/>
    <row r="3" spans="2:29" x14ac:dyDescent="0.3">
      <c r="B3" s="3"/>
      <c r="C3" s="4"/>
      <c r="D3" s="4"/>
      <c r="E3" s="147"/>
      <c r="F3" s="147"/>
      <c r="G3" s="56"/>
      <c r="H3" s="4"/>
      <c r="I3" s="4"/>
      <c r="J3" s="4"/>
      <c r="K3" s="4"/>
      <c r="L3" s="4"/>
      <c r="M3" s="4"/>
      <c r="N3" s="5"/>
      <c r="O3" s="5"/>
      <c r="P3" s="79"/>
      <c r="Q3" s="5"/>
      <c r="R3" s="5"/>
      <c r="S3" s="64"/>
      <c r="T3" s="64"/>
      <c r="U3" s="64"/>
      <c r="V3" s="64"/>
      <c r="W3" s="64"/>
      <c r="X3" s="64"/>
      <c r="Y3" s="56"/>
      <c r="Z3" s="56"/>
      <c r="AA3" s="157"/>
    </row>
    <row r="4" spans="2:29" x14ac:dyDescent="0.3">
      <c r="B4" s="6"/>
      <c r="C4" s="7"/>
      <c r="D4" s="9" t="s">
        <v>74</v>
      </c>
      <c r="E4" s="148"/>
      <c r="F4" s="148"/>
      <c r="G4" s="57"/>
      <c r="H4" s="7"/>
      <c r="I4" s="7"/>
      <c r="J4" s="7"/>
      <c r="K4" s="7"/>
      <c r="L4" s="7"/>
      <c r="M4" s="7"/>
      <c r="N4" s="8"/>
      <c r="O4" s="8"/>
      <c r="P4" s="80"/>
      <c r="Q4" s="8"/>
      <c r="R4" s="8"/>
      <c r="S4" s="65"/>
      <c r="T4" s="65"/>
      <c r="U4" s="65"/>
      <c r="V4" s="65"/>
      <c r="W4" s="65"/>
      <c r="X4" s="65"/>
      <c r="Y4" s="57"/>
      <c r="Z4" s="57"/>
      <c r="AA4" s="158"/>
    </row>
    <row r="5" spans="2:29" x14ac:dyDescent="0.3">
      <c r="B5" s="6"/>
      <c r="C5" s="7"/>
      <c r="E5" s="148"/>
      <c r="F5" s="148"/>
      <c r="G5" s="7"/>
      <c r="H5" s="7"/>
      <c r="I5" s="7"/>
      <c r="J5" s="7"/>
      <c r="K5" s="7"/>
      <c r="L5" s="7"/>
      <c r="M5" s="7"/>
      <c r="N5" s="8"/>
      <c r="O5" s="8"/>
      <c r="P5" s="80"/>
      <c r="Q5" s="8"/>
      <c r="R5" s="8"/>
      <c r="S5" s="65"/>
      <c r="T5" s="65"/>
      <c r="U5" s="65"/>
      <c r="V5" s="65"/>
      <c r="W5" s="65"/>
      <c r="X5" s="65"/>
      <c r="Y5" s="57"/>
      <c r="Z5" s="57"/>
      <c r="AA5" s="158"/>
    </row>
    <row r="6" spans="2:29" ht="19.05" customHeight="1" thickBot="1" x14ac:dyDescent="0.35">
      <c r="B6" s="6"/>
      <c r="C6" s="7"/>
      <c r="D6" s="167"/>
      <c r="E6" s="168" t="s">
        <v>8</v>
      </c>
      <c r="F6" s="169"/>
      <c r="G6" s="170"/>
      <c r="H6" s="171"/>
      <c r="I6" s="167"/>
      <c r="J6" s="168" t="s">
        <v>1685</v>
      </c>
      <c r="K6" s="172"/>
      <c r="L6" s="173"/>
      <c r="M6" s="173"/>
      <c r="N6" s="174"/>
      <c r="O6" s="108"/>
      <c r="P6" s="108"/>
      <c r="Q6" s="8"/>
      <c r="R6" s="8"/>
      <c r="S6" s="65"/>
      <c r="T6" s="65"/>
      <c r="U6" s="65"/>
      <c r="V6" s="65"/>
      <c r="W6" s="65"/>
      <c r="X6" s="65"/>
      <c r="Y6" s="57"/>
      <c r="Z6" s="57"/>
      <c r="AA6" s="158"/>
    </row>
    <row r="7" spans="2:29" ht="19.05" customHeight="1" thickBot="1" x14ac:dyDescent="0.35">
      <c r="B7" s="6"/>
      <c r="C7" s="7"/>
      <c r="D7" s="175"/>
      <c r="E7" s="168" t="s">
        <v>75</v>
      </c>
      <c r="F7" s="168"/>
      <c r="G7" s="176"/>
      <c r="H7" s="176"/>
      <c r="I7" s="175"/>
      <c r="J7" s="175"/>
      <c r="K7" s="175"/>
      <c r="L7" s="173"/>
      <c r="M7" s="177"/>
      <c r="N7" s="178"/>
      <c r="P7" s="108"/>
      <c r="Q7" s="8"/>
      <c r="R7" s="8"/>
      <c r="S7" s="65"/>
      <c r="T7" s="65"/>
      <c r="U7" s="65"/>
      <c r="V7" s="65"/>
      <c r="W7" s="65"/>
      <c r="X7" s="65"/>
      <c r="Y7" s="57"/>
      <c r="Z7" s="57"/>
      <c r="AA7" s="158"/>
    </row>
    <row r="8" spans="2:29" ht="19.05" customHeight="1" thickBot="1" x14ac:dyDescent="0.35">
      <c r="B8" s="6"/>
      <c r="C8" s="7"/>
      <c r="D8" s="175"/>
      <c r="E8" s="179" t="s">
        <v>76</v>
      </c>
      <c r="F8" s="168"/>
      <c r="G8" s="176"/>
      <c r="H8" s="176"/>
      <c r="I8" s="175" t="str">
        <f>IF(G8="","",(IF(G8&gt;22,"MAXIMO 22 DÍAS","")))</f>
        <v/>
      </c>
      <c r="J8" s="175"/>
      <c r="K8" s="175"/>
      <c r="L8" s="173"/>
      <c r="M8" s="167"/>
      <c r="N8" s="174"/>
      <c r="O8" s="108"/>
      <c r="P8" s="108"/>
      <c r="Q8" s="8"/>
      <c r="R8" s="8"/>
      <c r="S8" s="65"/>
      <c r="T8" s="65"/>
      <c r="U8" s="65"/>
      <c r="V8" s="65"/>
      <c r="W8" s="65"/>
      <c r="X8" s="65"/>
      <c r="Y8" s="57"/>
      <c r="Z8" s="57"/>
      <c r="AA8" s="158"/>
    </row>
    <row r="9" spans="2:29" ht="19.5" customHeight="1" x14ac:dyDescent="0.3">
      <c r="B9" s="6"/>
      <c r="C9" s="7"/>
      <c r="D9" s="175"/>
      <c r="E9" s="180"/>
      <c r="F9" s="168"/>
      <c r="G9" s="181"/>
      <c r="H9" s="173"/>
      <c r="I9" s="175"/>
      <c r="J9" s="175"/>
      <c r="K9" s="175"/>
      <c r="L9" s="173"/>
      <c r="M9" s="182"/>
      <c r="N9" s="174"/>
      <c r="Q9" s="7"/>
      <c r="R9" s="8"/>
      <c r="S9" s="65"/>
      <c r="T9" s="65"/>
      <c r="U9" s="65"/>
      <c r="V9" s="65"/>
      <c r="W9" s="65"/>
      <c r="X9" s="65"/>
      <c r="Y9" s="57"/>
      <c r="Z9" s="57"/>
      <c r="AA9" s="158"/>
    </row>
    <row r="10" spans="2:29" x14ac:dyDescent="0.3">
      <c r="B10" s="6"/>
      <c r="C10" s="7"/>
      <c r="P10" s="80"/>
      <c r="R10" s="8"/>
      <c r="S10" s="65"/>
      <c r="T10" s="65"/>
      <c r="U10" s="65"/>
      <c r="V10" s="65"/>
      <c r="W10" s="65"/>
      <c r="X10" s="65"/>
      <c r="AA10" s="158"/>
    </row>
    <row r="11" spans="2:29" x14ac:dyDescent="0.3">
      <c r="B11" s="6"/>
      <c r="C11" s="7"/>
      <c r="D11" s="10"/>
      <c r="E11" s="148"/>
      <c r="F11" s="148"/>
      <c r="G11" s="57"/>
      <c r="H11" s="7"/>
      <c r="I11" s="7"/>
      <c r="J11" s="7"/>
      <c r="K11" s="7"/>
      <c r="L11" s="7"/>
      <c r="M11" s="7"/>
      <c r="N11" s="8"/>
      <c r="O11" s="8"/>
      <c r="P11" s="80"/>
      <c r="Q11" s="8"/>
      <c r="R11" s="8"/>
      <c r="S11" s="65"/>
      <c r="T11" s="65"/>
      <c r="U11" s="65"/>
      <c r="V11" s="65"/>
      <c r="W11" s="65"/>
      <c r="X11" s="65"/>
      <c r="Y11" s="57"/>
      <c r="Z11" s="57"/>
      <c r="AA11" s="158"/>
    </row>
    <row r="12" spans="2:29" ht="15" thickBot="1" x14ac:dyDescent="0.35">
      <c r="B12" s="6"/>
      <c r="C12" s="7"/>
      <c r="D12" s="73" t="s">
        <v>77</v>
      </c>
      <c r="E12" s="149"/>
      <c r="F12" s="149"/>
      <c r="G12" s="74"/>
      <c r="H12" s="74"/>
      <c r="I12" s="74"/>
      <c r="J12" s="74"/>
      <c r="K12" s="74"/>
      <c r="L12" s="74"/>
      <c r="M12" s="74"/>
      <c r="N12" s="74"/>
      <c r="O12" s="74"/>
      <c r="P12" s="76"/>
      <c r="Q12" s="74"/>
      <c r="R12" s="74"/>
      <c r="S12" s="76"/>
      <c r="T12" s="76"/>
      <c r="U12" s="76"/>
      <c r="V12" s="76"/>
      <c r="W12" s="76"/>
      <c r="X12" s="76"/>
      <c r="Y12" s="74"/>
      <c r="Z12" s="74"/>
      <c r="AA12" s="159"/>
    </row>
    <row r="13" spans="2:29" s="28" customFormat="1" ht="27" thickBot="1" x14ac:dyDescent="0.35">
      <c r="B13" s="27"/>
      <c r="C13" s="48"/>
      <c r="D13" s="91" t="s">
        <v>1658</v>
      </c>
      <c r="E13" s="150" t="s">
        <v>1288</v>
      </c>
      <c r="F13" s="150" t="s">
        <v>159</v>
      </c>
      <c r="G13" s="92" t="s">
        <v>1289</v>
      </c>
      <c r="H13" s="92" t="s">
        <v>1660</v>
      </c>
      <c r="I13" s="91" t="s">
        <v>1661</v>
      </c>
      <c r="J13" s="91" t="s">
        <v>1662</v>
      </c>
      <c r="K13" s="91" t="s">
        <v>78</v>
      </c>
      <c r="L13" s="91" t="s">
        <v>81</v>
      </c>
      <c r="M13" s="91" t="s">
        <v>140</v>
      </c>
      <c r="N13" s="91" t="s">
        <v>9</v>
      </c>
      <c r="O13" s="91" t="s">
        <v>127</v>
      </c>
      <c r="P13" s="75" t="s">
        <v>7</v>
      </c>
      <c r="Q13" s="91" t="s">
        <v>67</v>
      </c>
      <c r="R13" s="91" t="s">
        <v>149</v>
      </c>
      <c r="S13" s="75" t="s">
        <v>1663</v>
      </c>
      <c r="T13" s="75" t="s">
        <v>1664</v>
      </c>
      <c r="U13" s="75" t="s">
        <v>1665</v>
      </c>
      <c r="V13" s="75" t="s">
        <v>1666</v>
      </c>
      <c r="W13" s="75" t="s">
        <v>148</v>
      </c>
      <c r="X13" s="75" t="s">
        <v>1681</v>
      </c>
      <c r="Y13" s="92" t="s">
        <v>1682</v>
      </c>
      <c r="Z13" s="92" t="s">
        <v>1684</v>
      </c>
      <c r="AA13" s="160" t="s">
        <v>1683</v>
      </c>
      <c r="AB13" s="63"/>
      <c r="AC13" s="63"/>
    </row>
    <row r="14" spans="2:29" ht="15" customHeight="1" thickBot="1" x14ac:dyDescent="0.35">
      <c r="B14" s="6"/>
      <c r="C14" s="7"/>
      <c r="D14" s="89" t="str" cm="1">
        <f t="array" ref="D14">IF(Tabla1[[#This Row],[Importe total]]="","",SUM(IF(Tabla1[Importe total]&lt;&gt;"",1,0)*(ROW(Tabla1[Importe total])&lt;=ROW())))</f>
        <v/>
      </c>
      <c r="E14" s="15"/>
      <c r="F14" s="15"/>
      <c r="G14" s="58"/>
      <c r="H14" s="66"/>
      <c r="I14" s="66"/>
      <c r="J14" s="66"/>
      <c r="K14" s="13"/>
      <c r="L14" s="23"/>
      <c r="M14" s="36" t="str">
        <f>+IFERROR(VLOOKUP(L14,clave_PlanillaGastos_2024!$B$2:$C$17,2,FALSE),"-")</f>
        <v>-</v>
      </c>
      <c r="N14" s="23"/>
      <c r="O14" s="36"/>
      <c r="P14" s="81"/>
      <c r="Q14" s="26"/>
      <c r="R14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14" s="67"/>
      <c r="T14" s="67" t="str">
        <f>IF(Tabla1[[#This Row],[Base imponible 22]]="","",IF(Tabla1[[#This Row],[Base imponible 22]]=0,0,Tabla1[[#This Row],[Base imponible 22]]*0.22))</f>
        <v/>
      </c>
      <c r="U14" s="67"/>
      <c r="V14" s="67" t="str">
        <f>IF(Tabla1[[#This Row],[Base imponible 10]]="","",IF(Tabla1[[#This Row],[Base imponible 10]]=0,0,Tabla1[[#This Row],[Base imponible 10]]*0.1))</f>
        <v/>
      </c>
      <c r="W14" s="67"/>
      <c r="X14" s="155"/>
      <c r="Y14" s="58"/>
      <c r="Z14" s="58"/>
      <c r="AA14" s="161" t="str">
        <f t="shared" ref="AA14:AA38" si="0">IF(AND(E14&lt;&gt;"",L14&lt;&gt;""),L14,"")</f>
        <v/>
      </c>
      <c r="AC14" s="54"/>
    </row>
    <row r="15" spans="2:29" ht="15" customHeight="1" thickBot="1" x14ac:dyDescent="0.35">
      <c r="B15" s="6"/>
      <c r="C15" s="7"/>
      <c r="D15" s="89" t="str" cm="1">
        <f t="array" ref="D15">IF(Tabla1[[#This Row],[Importe total]]="","",SUM(IF(Tabla1[Importe total]&lt;&gt;"",1,0)*(ROW(Tabla1[Importe total])&lt;=ROW())))</f>
        <v/>
      </c>
      <c r="E15" s="15"/>
      <c r="F15" s="15"/>
      <c r="G15" s="58"/>
      <c r="H15" s="66"/>
      <c r="I15" s="66"/>
      <c r="J15" s="66"/>
      <c r="K15" s="13"/>
      <c r="L15" s="23"/>
      <c r="M15" s="36" t="str">
        <f>+IFERROR(VLOOKUP(L15,clave_PlanillaGastos_2024!$B$2:$C$17,2,FALSE),"-")</f>
        <v>-</v>
      </c>
      <c r="N15" s="23"/>
      <c r="O15" s="36"/>
      <c r="P15" s="81"/>
      <c r="Q15" s="26"/>
      <c r="R15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15" s="67"/>
      <c r="T15" s="67" t="str">
        <f>IF(Tabla1[[#This Row],[Base imponible 22]]="","",IF(Tabla1[[#This Row],[Base imponible 22]]=0,0,Tabla1[[#This Row],[Base imponible 22]]*0.22))</f>
        <v/>
      </c>
      <c r="U15" s="67"/>
      <c r="V15" s="67" t="str">
        <f>IF(Tabla1[[#This Row],[Base imponible 10]]="","",IF(Tabla1[[#This Row],[Base imponible 10]]=0,0,Tabla1[[#This Row],[Base imponible 10]]*0.1))</f>
        <v/>
      </c>
      <c r="W15" s="67"/>
      <c r="X15" s="155"/>
      <c r="Y15" s="58"/>
      <c r="Z15" s="58"/>
      <c r="AA15" s="161" t="str">
        <f t="shared" si="0"/>
        <v/>
      </c>
      <c r="AC15" s="54"/>
    </row>
    <row r="16" spans="2:29" ht="15" customHeight="1" thickBot="1" x14ac:dyDescent="0.35">
      <c r="B16" s="6"/>
      <c r="C16" s="7"/>
      <c r="D16" s="89" t="str" cm="1">
        <f t="array" ref="D16">IF(Tabla1[[#This Row],[Importe total]]="","",SUM(IF(Tabla1[Importe total]&lt;&gt;"",1,0)*(ROW(Tabla1[Importe total])&lt;=ROW())))</f>
        <v/>
      </c>
      <c r="E16" s="15"/>
      <c r="F16" s="15"/>
      <c r="G16" s="58"/>
      <c r="H16" s="66"/>
      <c r="I16" s="66"/>
      <c r="J16" s="66"/>
      <c r="K16" s="13"/>
      <c r="L16" s="23"/>
      <c r="M16" s="36" t="str">
        <f>+IFERROR(VLOOKUP(L16,clave_PlanillaGastos_2024!$B$2:$C$17,2,FALSE),"-")</f>
        <v>-</v>
      </c>
      <c r="N16" s="23"/>
      <c r="O16" s="36" t="str">
        <f>+IFERROR(VLOOKUP(N16,clave_PlanillaGastos_2024!$B$20:$C$64,2,FALSE),"-")</f>
        <v>-</v>
      </c>
      <c r="P16" s="81"/>
      <c r="Q16" s="26"/>
      <c r="R16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16" s="67"/>
      <c r="T16" s="67" t="str">
        <f>IF(Tabla1[[#This Row],[Base imponible 22]]="","",IF(Tabla1[[#This Row],[Base imponible 22]]=0,0,Tabla1[[#This Row],[Base imponible 22]]*0.22))</f>
        <v/>
      </c>
      <c r="U16" s="67"/>
      <c r="V16" s="67" t="str">
        <f>IF(Tabla1[[#This Row],[Base imponible 10]]="","",IF(Tabla1[[#This Row],[Base imponible 10]]=0,0,Tabla1[[#This Row],[Base imponible 10]]*0.1))</f>
        <v/>
      </c>
      <c r="W16" s="67"/>
      <c r="X16" s="155"/>
      <c r="Y16" s="58"/>
      <c r="Z16" s="58"/>
      <c r="AA16" s="161" t="str">
        <f t="shared" si="0"/>
        <v/>
      </c>
      <c r="AC16" s="54"/>
    </row>
    <row r="17" spans="2:29" ht="15" customHeight="1" thickBot="1" x14ac:dyDescent="0.35">
      <c r="B17" s="6"/>
      <c r="C17" s="7"/>
      <c r="D17" s="89" t="str" cm="1">
        <f t="array" ref="D17">IF(Tabla1[[#This Row],[Importe total]]="","",SUM(IF(Tabla1[Importe total]&lt;&gt;"",1,0)*(ROW(Tabla1[Importe total])&lt;=ROW())))</f>
        <v/>
      </c>
      <c r="E17" s="103"/>
      <c r="F17" s="15"/>
      <c r="G17" s="58"/>
      <c r="H17" s="66"/>
      <c r="I17" s="66"/>
      <c r="J17" s="66"/>
      <c r="K17" s="13"/>
      <c r="L17" s="23"/>
      <c r="M17" s="36" t="str">
        <f>+IFERROR(VLOOKUP(L17,clave_PlanillaGastos_2024!$B$2:$C$17,2,FALSE),"-")</f>
        <v>-</v>
      </c>
      <c r="N17" s="23"/>
      <c r="O17" s="36" t="str">
        <f>+IFERROR(VLOOKUP(N17,clave_PlanillaGastos_2024!$B$20:$C$64,2,FALSE),"-")</f>
        <v>-</v>
      </c>
      <c r="P17" s="81"/>
      <c r="Q17" s="26"/>
      <c r="R17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17" s="67"/>
      <c r="T17" s="67" t="str">
        <f>IF(Tabla1[[#This Row],[Base imponible 22]]="","",IF(Tabla1[[#This Row],[Base imponible 22]]=0,0,Tabla1[[#This Row],[Base imponible 22]]*0.22))</f>
        <v/>
      </c>
      <c r="U17" s="67"/>
      <c r="V17" s="67" t="str">
        <f>IF(Tabla1[[#This Row],[Base imponible 10]]="","",IF(Tabla1[[#This Row],[Base imponible 10]]=0,0,Tabla1[[#This Row],[Base imponible 10]]*0.1))</f>
        <v/>
      </c>
      <c r="W17" s="67"/>
      <c r="X17" s="155"/>
      <c r="Y17" s="58"/>
      <c r="Z17" s="58"/>
      <c r="AA17" s="161" t="str">
        <f t="shared" si="0"/>
        <v/>
      </c>
      <c r="AC17" s="54"/>
    </row>
    <row r="18" spans="2:29" ht="15" customHeight="1" thickBot="1" x14ac:dyDescent="0.35">
      <c r="B18" s="6"/>
      <c r="C18" s="7"/>
      <c r="D18" s="183" t="str" cm="1">
        <f t="array" ref="D18">IF(Tabla1[[#This Row],[Importe total]]="","",SUM(IF(Tabla1[Importe total]&lt;&gt;"",1,0)*(ROW(Tabla1[Importe total])&lt;=ROW())))</f>
        <v/>
      </c>
      <c r="E18" s="185"/>
      <c r="F18" s="184"/>
      <c r="G18" s="58"/>
      <c r="H18" s="66"/>
      <c r="I18" s="66"/>
      <c r="J18" s="66"/>
      <c r="K18" s="13"/>
      <c r="L18" s="23"/>
      <c r="M18" s="36" t="str">
        <f>+IFERROR(VLOOKUP(L18,clave_PlanillaGastos_2024!$B$2:$C$17,2,FALSE),"-")</f>
        <v>-</v>
      </c>
      <c r="N18" s="23"/>
      <c r="O18" s="36" t="str">
        <f>+IFERROR(VLOOKUP(N18,clave_PlanillaGastos_2024!$B$20:$C$64,2,FALSE),"-")</f>
        <v>-</v>
      </c>
      <c r="P18" s="81"/>
      <c r="Q18" s="26"/>
      <c r="R18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18" s="67"/>
      <c r="T18" s="67" t="str">
        <f>IF(Tabla1[[#This Row],[Base imponible 22]]="","",IF(Tabla1[[#This Row],[Base imponible 22]]=0,0,Tabla1[[#This Row],[Base imponible 22]]*0.22))</f>
        <v/>
      </c>
      <c r="U18" s="67"/>
      <c r="V18" s="67" t="str">
        <f>IF(Tabla1[[#This Row],[Base imponible 10]]="","",IF(Tabla1[[#This Row],[Base imponible 10]]=0,0,Tabla1[[#This Row],[Base imponible 10]]*0.1))</f>
        <v/>
      </c>
      <c r="W18" s="67"/>
      <c r="X18" s="155"/>
      <c r="Y18" s="58"/>
      <c r="Z18" s="58"/>
      <c r="AA18" s="161" t="str">
        <f>IF(AND(E18&lt;&gt;"",L18&lt;&gt;""),L18,"")</f>
        <v/>
      </c>
      <c r="AC18" s="54"/>
    </row>
    <row r="19" spans="2:29" ht="15" customHeight="1" thickBot="1" x14ac:dyDescent="0.35">
      <c r="B19" s="6"/>
      <c r="C19" s="7"/>
      <c r="D19" s="89" t="str" cm="1">
        <f t="array" ref="D19">IF(Tabla1[[#This Row],[Importe total]]="","",SUM(IF(Tabla1[Importe total]&lt;&gt;"",1,0)*(ROW(Tabla1[Importe total])&lt;=ROW())))</f>
        <v/>
      </c>
      <c r="E19" s="15"/>
      <c r="F19" s="15"/>
      <c r="G19" s="58"/>
      <c r="H19" s="66"/>
      <c r="I19" s="66"/>
      <c r="J19" s="66"/>
      <c r="K19" s="13"/>
      <c r="L19" s="23"/>
      <c r="M19" s="36" t="str">
        <f>+IFERROR(VLOOKUP(L19,clave_PlanillaGastos_2024!$B$2:$C$17,2,FALSE),"-")</f>
        <v>-</v>
      </c>
      <c r="N19" s="23"/>
      <c r="O19" s="36" t="str">
        <f>+IFERROR(VLOOKUP(N19,clave_PlanillaGastos_2024!$B$20:$C$64,2,FALSE),"-")</f>
        <v>-</v>
      </c>
      <c r="P19" s="81"/>
      <c r="Q19" s="26"/>
      <c r="R19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19" s="67"/>
      <c r="T19" s="67" t="str">
        <f>IF(Tabla1[[#This Row],[Base imponible 22]]="","",IF(Tabla1[[#This Row],[Base imponible 22]]=0,0,Tabla1[[#This Row],[Base imponible 22]]*0.22))</f>
        <v/>
      </c>
      <c r="U19" s="67"/>
      <c r="V19" s="67" t="str">
        <f>IF(Tabla1[[#This Row],[Base imponible 10]]="","",IF(Tabla1[[#This Row],[Base imponible 10]]=0,0,Tabla1[[#This Row],[Base imponible 10]]*0.1))</f>
        <v/>
      </c>
      <c r="W19" s="67"/>
      <c r="X19" s="155"/>
      <c r="Y19" s="58"/>
      <c r="Z19" s="58"/>
      <c r="AA19" s="161" t="str">
        <f t="shared" si="0"/>
        <v/>
      </c>
      <c r="AC19" s="54"/>
    </row>
    <row r="20" spans="2:29" ht="15" customHeight="1" thickBot="1" x14ac:dyDescent="0.35">
      <c r="B20" s="6"/>
      <c r="C20" s="7"/>
      <c r="D20" s="89" t="str" cm="1">
        <f t="array" ref="D20">IF(Tabla1[[#This Row],[Importe total]]="","",SUM(IF(Tabla1[Importe total]&lt;&gt;"",1,0)*(ROW(Tabla1[Importe total])&lt;=ROW())))</f>
        <v/>
      </c>
      <c r="E20" s="15"/>
      <c r="F20" s="15"/>
      <c r="G20" s="58"/>
      <c r="H20" s="66"/>
      <c r="I20" s="66"/>
      <c r="J20" s="66"/>
      <c r="K20" s="13"/>
      <c r="L20" s="23"/>
      <c r="M20" s="36" t="str">
        <f>+IFERROR(VLOOKUP(L20,clave_PlanillaGastos_2024!$B$2:$C$17,2,FALSE),"-")</f>
        <v>-</v>
      </c>
      <c r="N20" s="23"/>
      <c r="O20" s="36" t="str">
        <f>+IFERROR(VLOOKUP(N20,clave_PlanillaGastos_2024!$B$20:$C$64,2,FALSE),"-")</f>
        <v>-</v>
      </c>
      <c r="P20" s="81"/>
      <c r="Q20" s="26"/>
      <c r="R20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0" s="67"/>
      <c r="T20" s="67" t="str">
        <f>IF(Tabla1[[#This Row],[Base imponible 22]]="","",IF(Tabla1[[#This Row],[Base imponible 22]]=0,0,Tabla1[[#This Row],[Base imponible 22]]*0.22))</f>
        <v/>
      </c>
      <c r="U20" s="67"/>
      <c r="V20" s="67" t="str">
        <f>IF(Tabla1[[#This Row],[Base imponible 10]]="","",IF(Tabla1[[#This Row],[Base imponible 10]]=0,0,Tabla1[[#This Row],[Base imponible 10]]*0.1))</f>
        <v/>
      </c>
      <c r="W20" s="67"/>
      <c r="X20" s="155"/>
      <c r="Y20" s="58"/>
      <c r="Z20" s="58"/>
      <c r="AA20" s="161" t="str">
        <f t="shared" si="0"/>
        <v/>
      </c>
      <c r="AC20" s="54"/>
    </row>
    <row r="21" spans="2:29" ht="15" customHeight="1" thickBot="1" x14ac:dyDescent="0.35">
      <c r="B21" s="6"/>
      <c r="C21" s="7"/>
      <c r="D21" s="89" t="str" cm="1">
        <f t="array" ref="D21">IF(Tabla1[[#This Row],[Importe total]]="","",SUM(IF(Tabla1[Importe total]&lt;&gt;"",1,0)*(ROW(Tabla1[Importe total])&lt;=ROW())))</f>
        <v/>
      </c>
      <c r="E21" s="15"/>
      <c r="F21" s="15"/>
      <c r="G21" s="58"/>
      <c r="H21" s="66"/>
      <c r="I21" s="66"/>
      <c r="J21" s="66"/>
      <c r="K21" s="13"/>
      <c r="L21" s="23"/>
      <c r="M21" s="36" t="str">
        <f>+IFERROR(VLOOKUP(L21,clave_PlanillaGastos_2024!$B$2:$C$17,2,FALSE),"-")</f>
        <v>-</v>
      </c>
      <c r="N21" s="23"/>
      <c r="O21" s="36" t="str">
        <f>+IFERROR(VLOOKUP(N21,clave_PlanillaGastos_2024!$B$20:$C$64,2,FALSE),"-")</f>
        <v>-</v>
      </c>
      <c r="P21" s="81"/>
      <c r="Q21" s="26"/>
      <c r="R21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1" s="67"/>
      <c r="T21" s="67" t="str">
        <f>IF(Tabla1[[#This Row],[Base imponible 22]]="","",IF(Tabla1[[#This Row],[Base imponible 22]]=0,0,Tabla1[[#This Row],[Base imponible 22]]*0.22))</f>
        <v/>
      </c>
      <c r="U21" s="67"/>
      <c r="V21" s="67" t="str">
        <f>IF(Tabla1[[#This Row],[Base imponible 10]]="","",IF(Tabla1[[#This Row],[Base imponible 10]]=0,0,Tabla1[[#This Row],[Base imponible 10]]*0.1))</f>
        <v/>
      </c>
      <c r="W21" s="67"/>
      <c r="X21" s="155"/>
      <c r="Y21" s="58"/>
      <c r="Z21" s="58"/>
      <c r="AA21" s="161" t="str">
        <f t="shared" si="0"/>
        <v/>
      </c>
      <c r="AC21" s="54"/>
    </row>
    <row r="22" spans="2:29" ht="15" customHeight="1" thickBot="1" x14ac:dyDescent="0.35">
      <c r="B22" s="6"/>
      <c r="C22" s="7"/>
      <c r="D22" s="89" t="str" cm="1">
        <f t="array" ref="D22">IF(Tabla1[[#This Row],[Importe total]]="","",SUM(IF(Tabla1[Importe total]&lt;&gt;"",1,0)*(ROW(Tabla1[Importe total])&lt;=ROW())))</f>
        <v/>
      </c>
      <c r="E22" s="15"/>
      <c r="F22" s="15"/>
      <c r="G22" s="58"/>
      <c r="H22" s="66"/>
      <c r="I22" s="66"/>
      <c r="J22" s="66"/>
      <c r="K22" s="13"/>
      <c r="L22" s="23"/>
      <c r="M22" s="36" t="str">
        <f>+IFERROR(VLOOKUP(L22,clave_PlanillaGastos_2024!$B$2:$C$17,2,FALSE),"-")</f>
        <v>-</v>
      </c>
      <c r="N22" s="23"/>
      <c r="O22" s="36" t="str">
        <f>+IFERROR(VLOOKUP(N22,clave_PlanillaGastos_2024!$B$20:$C$64,2,FALSE),"-")</f>
        <v>-</v>
      </c>
      <c r="P22" s="81"/>
      <c r="Q22" s="26"/>
      <c r="R22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2" s="67"/>
      <c r="T22" s="67" t="str">
        <f>IF(Tabla1[[#This Row],[Base imponible 22]]="","",IF(Tabla1[[#This Row],[Base imponible 22]]=0,0,Tabla1[[#This Row],[Base imponible 22]]*0.22))</f>
        <v/>
      </c>
      <c r="U22" s="67"/>
      <c r="V22" s="67" t="str">
        <f>IF(Tabla1[[#This Row],[Base imponible 10]]="","",IF(Tabla1[[#This Row],[Base imponible 10]]=0,0,Tabla1[[#This Row],[Base imponible 10]]*0.1))</f>
        <v/>
      </c>
      <c r="W22" s="67"/>
      <c r="X22" s="155"/>
      <c r="Y22" s="58"/>
      <c r="Z22" s="58"/>
      <c r="AA22" s="161" t="str">
        <f t="shared" si="0"/>
        <v/>
      </c>
      <c r="AC22" s="54"/>
    </row>
    <row r="23" spans="2:29" ht="15" customHeight="1" thickBot="1" x14ac:dyDescent="0.35">
      <c r="B23" s="6"/>
      <c r="C23" s="7"/>
      <c r="D23" s="89" t="str" cm="1">
        <f t="array" ref="D23">IF(Tabla1[[#This Row],[Importe total]]="","",SUM(IF(Tabla1[Importe total]&lt;&gt;"",1,0)*(ROW(Tabla1[Importe total])&lt;=ROW())))</f>
        <v/>
      </c>
      <c r="E23" s="15"/>
      <c r="F23" s="15"/>
      <c r="G23" s="58"/>
      <c r="H23" s="66"/>
      <c r="I23" s="66"/>
      <c r="J23" s="66"/>
      <c r="K23" s="13"/>
      <c r="L23" s="23"/>
      <c r="M23" s="36" t="str">
        <f>+IFERROR(VLOOKUP(L23,clave_PlanillaGastos_2024!$B$2:$C$17,2,FALSE),"-")</f>
        <v>-</v>
      </c>
      <c r="N23" s="23"/>
      <c r="O23" s="36" t="str">
        <f>+IFERROR(VLOOKUP(N23,clave_PlanillaGastos_2024!$B$20:$C$64,2,FALSE),"-")</f>
        <v>-</v>
      </c>
      <c r="P23" s="81"/>
      <c r="Q23" s="26"/>
      <c r="R23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3" s="67"/>
      <c r="T23" s="67" t="str">
        <f>IF(Tabla1[[#This Row],[Base imponible 22]]="","",IF(Tabla1[[#This Row],[Base imponible 22]]=0,0,Tabla1[[#This Row],[Base imponible 22]]*0.22))</f>
        <v/>
      </c>
      <c r="U23" s="67"/>
      <c r="V23" s="67" t="str">
        <f>IF(Tabla1[[#This Row],[Base imponible 10]]="","",IF(Tabla1[[#This Row],[Base imponible 10]]=0,0,Tabla1[[#This Row],[Base imponible 10]]*0.1))</f>
        <v/>
      </c>
      <c r="W23" s="67"/>
      <c r="X23" s="155"/>
      <c r="Y23" s="58"/>
      <c r="Z23" s="58"/>
      <c r="AA23" s="161" t="str">
        <f t="shared" si="0"/>
        <v/>
      </c>
      <c r="AC23" s="54"/>
    </row>
    <row r="24" spans="2:29" ht="15" customHeight="1" thickBot="1" x14ac:dyDescent="0.35">
      <c r="B24" s="6"/>
      <c r="C24" s="7"/>
      <c r="D24" s="89" t="str" cm="1">
        <f t="array" ref="D24">IF(Tabla1[[#This Row],[Importe total]]="","",SUM(IF(Tabla1[Importe total]&lt;&gt;"",1,0)*(ROW(Tabla1[Importe total])&lt;=ROW())))</f>
        <v/>
      </c>
      <c r="E24" s="15"/>
      <c r="F24" s="15"/>
      <c r="G24" s="58"/>
      <c r="H24" s="66"/>
      <c r="I24" s="66"/>
      <c r="J24" s="66"/>
      <c r="K24" s="13"/>
      <c r="L24" s="23"/>
      <c r="M24" s="36" t="str">
        <f>+IFERROR(VLOOKUP(L24,clave_PlanillaGastos_2024!$B$2:$C$17,2,FALSE),"-")</f>
        <v>-</v>
      </c>
      <c r="N24" s="23"/>
      <c r="O24" s="36" t="str">
        <f>+IFERROR(VLOOKUP(N24,clave_PlanillaGastos_2024!$B$20:$C$64,2,FALSE),"-")</f>
        <v>-</v>
      </c>
      <c r="P24" s="81"/>
      <c r="Q24" s="26"/>
      <c r="R24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4" s="67"/>
      <c r="T24" s="67" t="str">
        <f>IF(Tabla1[[#This Row],[Base imponible 22]]="","",IF(Tabla1[[#This Row],[Base imponible 22]]=0,0,Tabla1[[#This Row],[Base imponible 22]]*0.22))</f>
        <v/>
      </c>
      <c r="U24" s="67"/>
      <c r="V24" s="67" t="str">
        <f>IF(Tabla1[[#This Row],[Base imponible 10]]="","",IF(Tabla1[[#This Row],[Base imponible 10]]=0,0,Tabla1[[#This Row],[Base imponible 10]]*0.1))</f>
        <v/>
      </c>
      <c r="W24" s="67"/>
      <c r="X24" s="155"/>
      <c r="Y24" s="58"/>
      <c r="Z24" s="58"/>
      <c r="AA24" s="161" t="str">
        <f t="shared" si="0"/>
        <v/>
      </c>
      <c r="AC24" s="54"/>
    </row>
    <row r="25" spans="2:29" ht="15" customHeight="1" thickBot="1" x14ac:dyDescent="0.35">
      <c r="B25" s="6"/>
      <c r="C25" s="7"/>
      <c r="D25" s="89" t="str" cm="1">
        <f t="array" ref="D25">IF(Tabla1[[#This Row],[Importe total]]="","",SUM(IF(Tabla1[Importe total]&lt;&gt;"",1,0)*(ROW(Tabla1[Importe total])&lt;=ROW())))</f>
        <v/>
      </c>
      <c r="E25" s="15"/>
      <c r="F25" s="15"/>
      <c r="G25" s="58"/>
      <c r="H25" s="66"/>
      <c r="I25" s="66"/>
      <c r="J25" s="66"/>
      <c r="K25" s="13"/>
      <c r="L25" s="23"/>
      <c r="M25" s="36" t="str">
        <f>+IFERROR(VLOOKUP(L25,clave_PlanillaGastos_2024!$B$2:$C$17,2,FALSE),"-")</f>
        <v>-</v>
      </c>
      <c r="N25" s="23"/>
      <c r="O25" s="36" t="str">
        <f>+IFERROR(VLOOKUP(N25,clave_PlanillaGastos_2024!$B$20:$C$64,2,FALSE),"-")</f>
        <v>-</v>
      </c>
      <c r="P25" s="81"/>
      <c r="Q25" s="26"/>
      <c r="R25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5" s="67"/>
      <c r="T25" s="67" t="str">
        <f>IF(Tabla1[[#This Row],[Base imponible 22]]="","",IF(Tabla1[[#This Row],[Base imponible 22]]=0,0,Tabla1[[#This Row],[Base imponible 22]]*0.22))</f>
        <v/>
      </c>
      <c r="U25" s="67"/>
      <c r="V25" s="67" t="str">
        <f>IF(Tabla1[[#This Row],[Base imponible 10]]="","",IF(Tabla1[[#This Row],[Base imponible 10]]=0,0,Tabla1[[#This Row],[Base imponible 10]]*0.1))</f>
        <v/>
      </c>
      <c r="W25" s="67"/>
      <c r="X25" s="155"/>
      <c r="Y25" s="58"/>
      <c r="Z25" s="58"/>
      <c r="AA25" s="161" t="str">
        <f t="shared" si="0"/>
        <v/>
      </c>
      <c r="AC25" s="54"/>
    </row>
    <row r="26" spans="2:29" ht="15" customHeight="1" thickBot="1" x14ac:dyDescent="0.35">
      <c r="B26" s="6"/>
      <c r="C26" s="7"/>
      <c r="D26" s="89" t="str" cm="1">
        <f t="array" ref="D26">IF(Tabla1[[#This Row],[Importe total]]="","",SUM(IF(Tabla1[Importe total]&lt;&gt;"",1,0)*(ROW(Tabla1[Importe total])&lt;=ROW())))</f>
        <v/>
      </c>
      <c r="E26" s="15"/>
      <c r="F26" s="15"/>
      <c r="G26" s="58"/>
      <c r="H26" s="66"/>
      <c r="I26" s="66"/>
      <c r="J26" s="66"/>
      <c r="K26" s="13"/>
      <c r="L26" s="23"/>
      <c r="M26" s="36" t="str">
        <f>+IFERROR(VLOOKUP(L26,clave_PlanillaGastos_2024!$B$2:$C$17,2,FALSE),"-")</f>
        <v>-</v>
      </c>
      <c r="N26" s="23"/>
      <c r="O26" s="36" t="str">
        <f>+IFERROR(VLOOKUP(N26,clave_PlanillaGastos_2024!$B$20:$C$64,2,FALSE),"-")</f>
        <v>-</v>
      </c>
      <c r="P26" s="81"/>
      <c r="Q26" s="26"/>
      <c r="R26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6" s="67"/>
      <c r="T26" s="67" t="str">
        <f>IF(Tabla1[[#This Row],[Base imponible 22]]="","",IF(Tabla1[[#This Row],[Base imponible 22]]=0,0,Tabla1[[#This Row],[Base imponible 22]]*0.22))</f>
        <v/>
      </c>
      <c r="U26" s="67"/>
      <c r="V26" s="67" t="str">
        <f>IF(Tabla1[[#This Row],[Base imponible 10]]="","",IF(Tabla1[[#This Row],[Base imponible 10]]=0,0,Tabla1[[#This Row],[Base imponible 10]]*0.1))</f>
        <v/>
      </c>
      <c r="W26" s="67"/>
      <c r="X26" s="155"/>
      <c r="Y26" s="58"/>
      <c r="Z26" s="58"/>
      <c r="AA26" s="161" t="str">
        <f t="shared" si="0"/>
        <v/>
      </c>
      <c r="AC26" s="54"/>
    </row>
    <row r="27" spans="2:29" ht="15" customHeight="1" thickBot="1" x14ac:dyDescent="0.35">
      <c r="B27" s="6"/>
      <c r="C27" s="7"/>
      <c r="D27" s="89" t="str" cm="1">
        <f t="array" ref="D27">IF(Tabla1[[#This Row],[Importe total]]="","",SUM(IF(Tabla1[Importe total]&lt;&gt;"",1,0)*(ROW(Tabla1[Importe total])&lt;=ROW())))</f>
        <v/>
      </c>
      <c r="E27" s="15"/>
      <c r="F27" s="15"/>
      <c r="G27" s="58"/>
      <c r="H27" s="66"/>
      <c r="I27" s="66"/>
      <c r="J27" s="66"/>
      <c r="K27" s="13"/>
      <c r="L27" s="23"/>
      <c r="M27" s="36" t="str">
        <f>+IFERROR(VLOOKUP(L27,clave_PlanillaGastos_2024!$B$2:$C$17,2,FALSE),"-")</f>
        <v>-</v>
      </c>
      <c r="N27" s="23"/>
      <c r="O27" s="36" t="str">
        <f>+IFERROR(VLOOKUP(N27,clave_PlanillaGastos_2024!$B$20:$C$64,2,FALSE),"-")</f>
        <v>-</v>
      </c>
      <c r="P27" s="81"/>
      <c r="Q27" s="26"/>
      <c r="R27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7" s="67"/>
      <c r="T27" s="67" t="str">
        <f>IF(Tabla1[[#This Row],[Base imponible 22]]="","",IF(Tabla1[[#This Row],[Base imponible 22]]=0,0,Tabla1[[#This Row],[Base imponible 22]]*0.22))</f>
        <v/>
      </c>
      <c r="U27" s="67"/>
      <c r="V27" s="67" t="str">
        <f>IF(Tabla1[[#This Row],[Base imponible 10]]="","",IF(Tabla1[[#This Row],[Base imponible 10]]=0,0,Tabla1[[#This Row],[Base imponible 10]]*0.1))</f>
        <v/>
      </c>
      <c r="W27" s="67"/>
      <c r="X27" s="155"/>
      <c r="Y27" s="58"/>
      <c r="Z27" s="58"/>
      <c r="AA27" s="161" t="str">
        <f t="shared" si="0"/>
        <v/>
      </c>
      <c r="AC27" s="54"/>
    </row>
    <row r="28" spans="2:29" ht="15" customHeight="1" thickBot="1" x14ac:dyDescent="0.35">
      <c r="B28" s="6"/>
      <c r="C28" s="7"/>
      <c r="D28" s="89" t="str" cm="1">
        <f t="array" ref="D28">IF(Tabla1[[#This Row],[Importe total]]="","",SUM(IF(Tabla1[Importe total]&lt;&gt;"",1,0)*(ROW(Tabla1[Importe total])&lt;=ROW())))</f>
        <v/>
      </c>
      <c r="E28" s="15"/>
      <c r="F28" s="15"/>
      <c r="G28" s="58"/>
      <c r="H28" s="66"/>
      <c r="I28" s="66"/>
      <c r="J28" s="66"/>
      <c r="K28" s="13"/>
      <c r="L28" s="23"/>
      <c r="M28" s="36" t="str">
        <f>+IFERROR(VLOOKUP(L28,clave_PlanillaGastos_2024!$B$2:$C$17,2,FALSE),"-")</f>
        <v>-</v>
      </c>
      <c r="N28" s="23"/>
      <c r="O28" s="36" t="str">
        <f>+IFERROR(VLOOKUP(N28,clave_PlanillaGastos_2024!$B$20:$C$64,2,FALSE),"-")</f>
        <v>-</v>
      </c>
      <c r="P28" s="81"/>
      <c r="Q28" s="26"/>
      <c r="R28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8" s="67"/>
      <c r="T28" s="67" t="str">
        <f>IF(Tabla1[[#This Row],[Base imponible 22]]="","",IF(Tabla1[[#This Row],[Base imponible 22]]=0,0,Tabla1[[#This Row],[Base imponible 22]]*0.22))</f>
        <v/>
      </c>
      <c r="U28" s="67"/>
      <c r="V28" s="67" t="str">
        <f>IF(Tabla1[[#This Row],[Base imponible 10]]="","",IF(Tabla1[[#This Row],[Base imponible 10]]=0,0,Tabla1[[#This Row],[Base imponible 10]]*0.1))</f>
        <v/>
      </c>
      <c r="W28" s="67"/>
      <c r="X28" s="155"/>
      <c r="Y28" s="58"/>
      <c r="Z28" s="58"/>
      <c r="AA28" s="161" t="str">
        <f t="shared" si="0"/>
        <v/>
      </c>
      <c r="AC28" s="54"/>
    </row>
    <row r="29" spans="2:29" ht="15" customHeight="1" thickBot="1" x14ac:dyDescent="0.35">
      <c r="B29" s="6"/>
      <c r="C29" s="7"/>
      <c r="D29" s="89" t="str" cm="1">
        <f t="array" ref="D29">IF(Tabla1[[#This Row],[Importe total]]="","",SUM(IF(Tabla1[Importe total]&lt;&gt;"",1,0)*(ROW(Tabla1[Importe total])&lt;=ROW())))</f>
        <v/>
      </c>
      <c r="E29" s="15"/>
      <c r="F29" s="15"/>
      <c r="G29" s="58"/>
      <c r="H29" s="66"/>
      <c r="I29" s="66"/>
      <c r="J29" s="66"/>
      <c r="K29" s="13"/>
      <c r="L29" s="23"/>
      <c r="M29" s="36" t="str">
        <f>+IFERROR(VLOOKUP(L29,clave_PlanillaGastos_2024!$B$2:$C$17,2,FALSE),"-")</f>
        <v>-</v>
      </c>
      <c r="N29" s="23"/>
      <c r="O29" s="36" t="str">
        <f>+IFERROR(VLOOKUP(N29,clave_PlanillaGastos_2024!$B$20:$C$64,2,FALSE),"-")</f>
        <v>-</v>
      </c>
      <c r="P29" s="81"/>
      <c r="Q29" s="26"/>
      <c r="R29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29" s="67"/>
      <c r="T29" s="67" t="str">
        <f>IF(Tabla1[[#This Row],[Base imponible 22]]="","",IF(Tabla1[[#This Row],[Base imponible 22]]=0,0,Tabla1[[#This Row],[Base imponible 22]]*0.22))</f>
        <v/>
      </c>
      <c r="U29" s="67"/>
      <c r="V29" s="67" t="str">
        <f>IF(Tabla1[[#This Row],[Base imponible 10]]="","",IF(Tabla1[[#This Row],[Base imponible 10]]=0,0,Tabla1[[#This Row],[Base imponible 10]]*0.1))</f>
        <v/>
      </c>
      <c r="W29" s="67"/>
      <c r="X29" s="155"/>
      <c r="Y29" s="58"/>
      <c r="Z29" s="58"/>
      <c r="AA29" s="161" t="str">
        <f t="shared" si="0"/>
        <v/>
      </c>
      <c r="AC29" s="54"/>
    </row>
    <row r="30" spans="2:29" ht="15" customHeight="1" thickBot="1" x14ac:dyDescent="0.35">
      <c r="B30" s="6"/>
      <c r="C30" s="7"/>
      <c r="D30" s="89" t="str" cm="1">
        <f t="array" ref="D30">IF(Tabla1[[#This Row],[Importe total]]="","",SUM(IF(Tabla1[Importe total]&lt;&gt;"",1,0)*(ROW(Tabla1[Importe total])&lt;=ROW())))</f>
        <v/>
      </c>
      <c r="E30" s="15"/>
      <c r="F30" s="15"/>
      <c r="G30" s="58"/>
      <c r="H30" s="66"/>
      <c r="I30" s="66"/>
      <c r="J30" s="66"/>
      <c r="K30" s="13"/>
      <c r="L30" s="23"/>
      <c r="M30" s="36" t="str">
        <f>+IFERROR(VLOOKUP(L30,clave_PlanillaGastos_2024!$B$2:$C$17,2,FALSE),"-")</f>
        <v>-</v>
      </c>
      <c r="N30" s="23"/>
      <c r="O30" s="36" t="str">
        <f>+IFERROR(VLOOKUP(N30,clave_PlanillaGastos_2024!$B$20:$C$64,2,FALSE),"-")</f>
        <v>-</v>
      </c>
      <c r="P30" s="81"/>
      <c r="Q30" s="26"/>
      <c r="R30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0" s="67"/>
      <c r="T30" s="67" t="str">
        <f>IF(Tabla1[[#This Row],[Base imponible 22]]="","",IF(Tabla1[[#This Row],[Base imponible 22]]=0,0,Tabla1[[#This Row],[Base imponible 22]]*0.22))</f>
        <v/>
      </c>
      <c r="U30" s="67"/>
      <c r="V30" s="67" t="str">
        <f>IF(Tabla1[[#This Row],[Base imponible 10]]="","",IF(Tabla1[[#This Row],[Base imponible 10]]=0,0,Tabla1[[#This Row],[Base imponible 10]]*0.1))</f>
        <v/>
      </c>
      <c r="W30" s="67"/>
      <c r="X30" s="155"/>
      <c r="Y30" s="58"/>
      <c r="Z30" s="58"/>
      <c r="AA30" s="161" t="str">
        <f t="shared" si="0"/>
        <v/>
      </c>
      <c r="AC30" s="54"/>
    </row>
    <row r="31" spans="2:29" ht="15" customHeight="1" thickBot="1" x14ac:dyDescent="0.35">
      <c r="B31" s="6"/>
      <c r="C31" s="7"/>
      <c r="D31" s="89" t="str" cm="1">
        <f t="array" ref="D31">IF(Tabla1[[#This Row],[Importe total]]="","",SUM(IF(Tabla1[Importe total]&lt;&gt;"",1,0)*(ROW(Tabla1[Importe total])&lt;=ROW())))</f>
        <v/>
      </c>
      <c r="E31" s="15"/>
      <c r="F31" s="15"/>
      <c r="G31" s="58"/>
      <c r="H31" s="66"/>
      <c r="I31" s="66"/>
      <c r="J31" s="66"/>
      <c r="K31" s="13"/>
      <c r="L31" s="23"/>
      <c r="M31" s="36" t="str">
        <f>+IFERROR(VLOOKUP(L31,clave_PlanillaGastos_2024!$B$2:$C$17,2,FALSE),"-")</f>
        <v>-</v>
      </c>
      <c r="N31" s="23"/>
      <c r="O31" s="36" t="str">
        <f>+IFERROR(VLOOKUP(N31,clave_PlanillaGastos_2024!$B$20:$C$64,2,FALSE),"-")</f>
        <v>-</v>
      </c>
      <c r="P31" s="81"/>
      <c r="Q31" s="26"/>
      <c r="R31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1" s="67"/>
      <c r="T31" s="67" t="str">
        <f>IF(Tabla1[[#This Row],[Base imponible 22]]="","",IF(Tabla1[[#This Row],[Base imponible 22]]=0,0,Tabla1[[#This Row],[Base imponible 22]]*0.22))</f>
        <v/>
      </c>
      <c r="U31" s="67"/>
      <c r="V31" s="67" t="str">
        <f>IF(Tabla1[[#This Row],[Base imponible 10]]="","",IF(Tabla1[[#This Row],[Base imponible 10]]=0,0,Tabla1[[#This Row],[Base imponible 10]]*0.1))</f>
        <v/>
      </c>
      <c r="W31" s="67"/>
      <c r="X31" s="155"/>
      <c r="Y31" s="58"/>
      <c r="Z31" s="58"/>
      <c r="AA31" s="161" t="str">
        <f t="shared" si="0"/>
        <v/>
      </c>
      <c r="AC31" s="54"/>
    </row>
    <row r="32" spans="2:29" ht="15" customHeight="1" thickBot="1" x14ac:dyDescent="0.35">
      <c r="B32" s="6"/>
      <c r="C32" s="7"/>
      <c r="D32" s="89" t="str" cm="1">
        <f t="array" ref="D32">IF(Tabla1[[#This Row],[Importe total]]="","",SUM(IF(Tabla1[Importe total]&lt;&gt;"",1,0)*(ROW(Tabla1[Importe total])&lt;=ROW())))</f>
        <v/>
      </c>
      <c r="E32" s="15"/>
      <c r="F32" s="15"/>
      <c r="G32" s="58"/>
      <c r="H32" s="66"/>
      <c r="I32" s="66"/>
      <c r="J32" s="66"/>
      <c r="K32" s="13"/>
      <c r="L32" s="23"/>
      <c r="M32" s="36" t="str">
        <f>+IFERROR(VLOOKUP(L32,clave_PlanillaGastos_2024!$B$2:$C$17,2,FALSE),"-")</f>
        <v>-</v>
      </c>
      <c r="N32" s="23"/>
      <c r="O32" s="36" t="str">
        <f>+IFERROR(VLOOKUP(N32,clave_PlanillaGastos_2024!$B$20:$C$64,2,FALSE),"-")</f>
        <v>-</v>
      </c>
      <c r="P32" s="81"/>
      <c r="Q32" s="26"/>
      <c r="R32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2" s="67"/>
      <c r="T32" s="67" t="str">
        <f>IF(Tabla1[[#This Row],[Base imponible 22]]="","",IF(Tabla1[[#This Row],[Base imponible 22]]=0,0,Tabla1[[#This Row],[Base imponible 22]]*0.22))</f>
        <v/>
      </c>
      <c r="U32" s="67"/>
      <c r="V32" s="67" t="str">
        <f>IF(Tabla1[[#This Row],[Base imponible 10]]="","",IF(Tabla1[[#This Row],[Base imponible 10]]=0,0,Tabla1[[#This Row],[Base imponible 10]]*0.1))</f>
        <v/>
      </c>
      <c r="W32" s="67"/>
      <c r="X32" s="155"/>
      <c r="Y32" s="58"/>
      <c r="Z32" s="58"/>
      <c r="AA32" s="161" t="str">
        <f t="shared" si="0"/>
        <v/>
      </c>
      <c r="AC32" s="54"/>
    </row>
    <row r="33" spans="2:29" ht="15" customHeight="1" thickBot="1" x14ac:dyDescent="0.35">
      <c r="B33" s="6"/>
      <c r="C33" s="7"/>
      <c r="D33" s="89" t="str" cm="1">
        <f t="array" ref="D33">IF(Tabla1[[#This Row],[Importe total]]="","",SUM(IF(Tabla1[Importe total]&lt;&gt;"",1,0)*(ROW(Tabla1[Importe total])&lt;=ROW())))</f>
        <v/>
      </c>
      <c r="E33" s="15"/>
      <c r="F33" s="15"/>
      <c r="G33" s="58"/>
      <c r="H33" s="66"/>
      <c r="I33" s="66"/>
      <c r="J33" s="66"/>
      <c r="K33" s="13"/>
      <c r="L33" s="23"/>
      <c r="M33" s="36" t="str">
        <f>+IFERROR(VLOOKUP(L33,clave_PlanillaGastos_2024!$B$2:$C$17,2,FALSE),"-")</f>
        <v>-</v>
      </c>
      <c r="N33" s="23"/>
      <c r="O33" s="36" t="str">
        <f>+IFERROR(VLOOKUP(N33,clave_PlanillaGastos_2024!$B$20:$C$64,2,FALSE),"-")</f>
        <v>-</v>
      </c>
      <c r="P33" s="81"/>
      <c r="Q33" s="26"/>
      <c r="R33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3" s="67"/>
      <c r="T33" s="67" t="str">
        <f>IF(Tabla1[[#This Row],[Base imponible 22]]="","",IF(Tabla1[[#This Row],[Base imponible 22]]=0,0,Tabla1[[#This Row],[Base imponible 22]]*0.22))</f>
        <v/>
      </c>
      <c r="U33" s="67"/>
      <c r="V33" s="67" t="str">
        <f>IF(Tabla1[[#This Row],[Base imponible 10]]="","",IF(Tabla1[[#This Row],[Base imponible 10]]=0,0,Tabla1[[#This Row],[Base imponible 10]]*0.1))</f>
        <v/>
      </c>
      <c r="W33" s="67"/>
      <c r="X33" s="155"/>
      <c r="Y33" s="58"/>
      <c r="Z33" s="58"/>
      <c r="AA33" s="161" t="str">
        <f t="shared" si="0"/>
        <v/>
      </c>
      <c r="AC33" s="54"/>
    </row>
    <row r="34" spans="2:29" ht="15" customHeight="1" thickBot="1" x14ac:dyDescent="0.35">
      <c r="B34" s="6"/>
      <c r="C34" s="7"/>
      <c r="D34" s="89" t="str" cm="1">
        <f t="array" ref="D34">IF(Tabla1[[#This Row],[Importe total]]="","",SUM(IF(Tabla1[Importe total]&lt;&gt;"",1,0)*(ROW(Tabla1[Importe total])&lt;=ROW())))</f>
        <v/>
      </c>
      <c r="E34" s="15"/>
      <c r="F34" s="15"/>
      <c r="G34" s="58"/>
      <c r="H34" s="66"/>
      <c r="I34" s="66"/>
      <c r="J34" s="66"/>
      <c r="K34" s="13"/>
      <c r="L34" s="23"/>
      <c r="M34" s="36" t="str">
        <f>+IFERROR(VLOOKUP(L34,clave_PlanillaGastos_2024!$B$2:$C$17,2,FALSE),"-")</f>
        <v>-</v>
      </c>
      <c r="N34" s="23"/>
      <c r="O34" s="36" t="str">
        <f>+IFERROR(VLOOKUP(N34,clave_PlanillaGastos_2024!$B$20:$C$64,2,FALSE),"-")</f>
        <v>-</v>
      </c>
      <c r="P34" s="81"/>
      <c r="Q34" s="26"/>
      <c r="R34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4" s="67"/>
      <c r="T34" s="67" t="str">
        <f>IF(Tabla1[[#This Row],[Base imponible 22]]="","",IF(Tabla1[[#This Row],[Base imponible 22]]=0,0,Tabla1[[#This Row],[Base imponible 22]]*0.22))</f>
        <v/>
      </c>
      <c r="U34" s="67"/>
      <c r="V34" s="67" t="str">
        <f>IF(Tabla1[[#This Row],[Base imponible 10]]="","",IF(Tabla1[[#This Row],[Base imponible 10]]=0,0,Tabla1[[#This Row],[Base imponible 10]]*0.1))</f>
        <v/>
      </c>
      <c r="W34" s="67"/>
      <c r="X34" s="155"/>
      <c r="Y34" s="58"/>
      <c r="Z34" s="58"/>
      <c r="AA34" s="161" t="str">
        <f t="shared" si="0"/>
        <v/>
      </c>
      <c r="AC34" s="54"/>
    </row>
    <row r="35" spans="2:29" ht="15" customHeight="1" thickBot="1" x14ac:dyDescent="0.35">
      <c r="B35" s="6"/>
      <c r="C35" s="7"/>
      <c r="D35" s="89" t="str" cm="1">
        <f t="array" ref="D35">IF(Tabla1[[#This Row],[Importe total]]="","",SUM(IF(Tabla1[Importe total]&lt;&gt;"",1,0)*(ROW(Tabla1[Importe total])&lt;=ROW())))</f>
        <v/>
      </c>
      <c r="E35" s="15"/>
      <c r="F35" s="15"/>
      <c r="G35" s="58"/>
      <c r="H35" s="66"/>
      <c r="I35" s="66"/>
      <c r="J35" s="66"/>
      <c r="K35" s="13"/>
      <c r="L35" s="23"/>
      <c r="M35" s="36" t="str">
        <f>+IFERROR(VLOOKUP(L35,clave_PlanillaGastos_2024!$B$2:$C$17,2,FALSE),"-")</f>
        <v>-</v>
      </c>
      <c r="N35" s="23"/>
      <c r="O35" s="36" t="str">
        <f>+IFERROR(VLOOKUP(N35,clave_PlanillaGastos_2024!$B$20:$C$64,2,FALSE),"-")</f>
        <v>-</v>
      </c>
      <c r="P35" s="81"/>
      <c r="Q35" s="26"/>
      <c r="R35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5" s="67"/>
      <c r="T35" s="67" t="str">
        <f>IF(Tabla1[[#This Row],[Base imponible 22]]="","",IF(Tabla1[[#This Row],[Base imponible 22]]=0,0,Tabla1[[#This Row],[Base imponible 22]]*0.22))</f>
        <v/>
      </c>
      <c r="U35" s="67"/>
      <c r="V35" s="67" t="str">
        <f>IF(Tabla1[[#This Row],[Base imponible 10]]="","",IF(Tabla1[[#This Row],[Base imponible 10]]=0,0,Tabla1[[#This Row],[Base imponible 10]]*0.1))</f>
        <v/>
      </c>
      <c r="W35" s="67"/>
      <c r="X35" s="155"/>
      <c r="Y35" s="58"/>
      <c r="Z35" s="58"/>
      <c r="AA35" s="161" t="str">
        <f t="shared" si="0"/>
        <v/>
      </c>
      <c r="AC35" s="54"/>
    </row>
    <row r="36" spans="2:29" ht="15" customHeight="1" thickBot="1" x14ac:dyDescent="0.35">
      <c r="B36" s="6"/>
      <c r="C36" s="7"/>
      <c r="D36" s="89" t="str" cm="1">
        <f t="array" ref="D36">IF(Tabla1[[#This Row],[Importe total]]="","",SUM(IF(Tabla1[Importe total]&lt;&gt;"",1,0)*(ROW(Tabla1[Importe total])&lt;=ROW())))</f>
        <v/>
      </c>
      <c r="E36" s="15"/>
      <c r="F36" s="15"/>
      <c r="G36" s="58"/>
      <c r="H36" s="66"/>
      <c r="I36" s="66"/>
      <c r="J36" s="66"/>
      <c r="K36" s="13"/>
      <c r="L36" s="23"/>
      <c r="M36" s="36" t="str">
        <f>+IFERROR(VLOOKUP(L36,clave_PlanillaGastos_2024!$B$2:$C$17,2,FALSE),"-")</f>
        <v>-</v>
      </c>
      <c r="N36" s="23"/>
      <c r="O36" s="36" t="str">
        <f>+IFERROR(VLOOKUP(N36,clave_PlanillaGastos_2024!$B$20:$C$64,2,FALSE),"-")</f>
        <v>-</v>
      </c>
      <c r="P36" s="81"/>
      <c r="Q36" s="26"/>
      <c r="R36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6" s="67"/>
      <c r="T36" s="67" t="str">
        <f>IF(Tabla1[[#This Row],[Base imponible 22]]="","",IF(Tabla1[[#This Row],[Base imponible 22]]=0,0,Tabla1[[#This Row],[Base imponible 22]]*0.22))</f>
        <v/>
      </c>
      <c r="U36" s="67"/>
      <c r="V36" s="67" t="str">
        <f>IF(Tabla1[[#This Row],[Base imponible 10]]="","",IF(Tabla1[[#This Row],[Base imponible 10]]=0,0,Tabla1[[#This Row],[Base imponible 10]]*0.1))</f>
        <v/>
      </c>
      <c r="W36" s="67"/>
      <c r="X36" s="155"/>
      <c r="Y36" s="58"/>
      <c r="Z36" s="58"/>
      <c r="AA36" s="161" t="str">
        <f t="shared" si="0"/>
        <v/>
      </c>
      <c r="AC36" s="54"/>
    </row>
    <row r="37" spans="2:29" ht="15" customHeight="1" thickBot="1" x14ac:dyDescent="0.35">
      <c r="B37" s="6"/>
      <c r="C37" s="7"/>
      <c r="D37" s="89" t="str" cm="1">
        <f t="array" ref="D37">IF(Tabla1[[#This Row],[Importe total]]="","",SUM(IF(Tabla1[Importe total]&lt;&gt;"",1,0)*(ROW(Tabla1[Importe total])&lt;=ROW())))</f>
        <v/>
      </c>
      <c r="E37" s="15"/>
      <c r="F37" s="15"/>
      <c r="G37" s="58"/>
      <c r="H37" s="66"/>
      <c r="I37" s="66"/>
      <c r="J37" s="66"/>
      <c r="K37" s="13"/>
      <c r="L37" s="23"/>
      <c r="M37" s="36" t="str">
        <f>+IFERROR(VLOOKUP(L37,clave_PlanillaGastos_2024!$B$2:$C$17,2,FALSE),"-")</f>
        <v>-</v>
      </c>
      <c r="N37" s="23"/>
      <c r="O37" s="36" t="str">
        <f>+IFERROR(VLOOKUP(N37,clave_PlanillaGastos_2024!$B$20:$C$64,2,FALSE),"-")</f>
        <v>-</v>
      </c>
      <c r="P37" s="81"/>
      <c r="Q37" s="26"/>
      <c r="R37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7" s="67"/>
      <c r="T37" s="67" t="str">
        <f>IF(Tabla1[[#This Row],[Base imponible 22]]="","",IF(Tabla1[[#This Row],[Base imponible 22]]=0,0,Tabla1[[#This Row],[Base imponible 22]]*0.22))</f>
        <v/>
      </c>
      <c r="U37" s="67"/>
      <c r="V37" s="67" t="str">
        <f>IF(Tabla1[[#This Row],[Base imponible 10]]="","",IF(Tabla1[[#This Row],[Base imponible 10]]=0,0,Tabla1[[#This Row],[Base imponible 10]]*0.1))</f>
        <v/>
      </c>
      <c r="W37" s="67"/>
      <c r="X37" s="155"/>
      <c r="Y37" s="58"/>
      <c r="Z37" s="58"/>
      <c r="AA37" s="161" t="str">
        <f t="shared" si="0"/>
        <v/>
      </c>
      <c r="AC37" s="54"/>
    </row>
    <row r="38" spans="2:29" ht="15" customHeight="1" thickBot="1" x14ac:dyDescent="0.35">
      <c r="B38" s="6"/>
      <c r="C38" s="7"/>
      <c r="D38" s="89" t="str" cm="1">
        <f t="array" ref="D38">IF(Tabla1[[#This Row],[Importe total]]="","",SUM(IF(Tabla1[Importe total]&lt;&gt;"",1,0)*(ROW(Tabla1[Importe total])&lt;=ROW())))</f>
        <v/>
      </c>
      <c r="E38" s="103"/>
      <c r="F38" s="103"/>
      <c r="G38" s="95"/>
      <c r="H38" s="96"/>
      <c r="I38" s="96"/>
      <c r="J38" s="96"/>
      <c r="K38" s="94"/>
      <c r="L38" s="97"/>
      <c r="M38" s="98" t="str">
        <f>+IFERROR(VLOOKUP(L38,clave_PlanillaGastos_2024!$B$2:$C$17,2,FALSE),"-")</f>
        <v>-</v>
      </c>
      <c r="N38" s="97"/>
      <c r="O38" s="98" t="str">
        <f>+IFERROR(VLOOKUP(N38,clave_PlanillaGastos_2024!$B$20:$C$64,2,FALSE),"-")</f>
        <v>-</v>
      </c>
      <c r="P38" s="99"/>
      <c r="Q38" s="100"/>
      <c r="R38" s="62" t="str">
        <f>IF(
   COUNTIFS(
      Tabla1[[#This Row],[Base imponible 22]],"&lt;&gt;0",
      Tabla1[[#This Row],[Base imponible 22]],"&lt;&gt;"
   ) +
   COUNTIFS(
      Tabla1[[#This Row],[Base imponible 10]],"&lt;&gt;0",
      Tabla1[[#This Row],[Base imponible 10]],"&lt;&gt;"
   ) +
   COUNTIFS(
      Tabla1[[#This Row],[Exento]],"&lt;&gt;0",
      Tabla1[[#This Row],[Exento]],"&lt;&gt;"
   ) &gt; 1,
   "OTROS",
   IF(Tabla1[[#This Row],[Base imponible 22]]&lt;&gt;0,"22%",
      IF(Tabla1[[#This Row],[Base imponible 10]]&lt;&gt;0,"10%",
         IF(Tabla1[[#This Row],[Exento]]&lt;&gt;0,"0%","")
      )
   )
)</f>
        <v/>
      </c>
      <c r="S38" s="102"/>
      <c r="T38" s="67" t="str">
        <f>IF(Tabla1[[#This Row],[Base imponible 22]]="","",IF(Tabla1[[#This Row],[Base imponible 22]]=0,0,Tabla1[[#This Row],[Base imponible 22]]*0.22))</f>
        <v/>
      </c>
      <c r="U38" s="102"/>
      <c r="V38" s="67" t="str">
        <f>IF(Tabla1[[#This Row],[Base imponible 10]]="","",IF(Tabla1[[#This Row],[Base imponible 10]]=0,0,Tabla1[[#This Row],[Base imponible 10]]*0.1))</f>
        <v/>
      </c>
      <c r="W38" s="102"/>
      <c r="X38" s="156"/>
      <c r="Y38" s="95"/>
      <c r="Z38" s="95"/>
      <c r="AA38" s="161" t="str">
        <f t="shared" si="0"/>
        <v/>
      </c>
      <c r="AC38" s="54"/>
    </row>
    <row r="39" spans="2:29" ht="15" customHeight="1" thickBot="1" x14ac:dyDescent="0.35">
      <c r="B39" s="6"/>
      <c r="C39" s="7"/>
      <c r="D39" s="20" t="s">
        <v>79</v>
      </c>
      <c r="E39" s="151"/>
      <c r="F39" s="151"/>
      <c r="G39" s="59"/>
      <c r="H39" s="19"/>
      <c r="I39" s="21"/>
      <c r="J39" s="21"/>
      <c r="K39" s="21"/>
      <c r="L39" s="19"/>
      <c r="M39" s="19"/>
      <c r="N39" s="24"/>
      <c r="O39" s="24"/>
      <c r="P39" s="77">
        <f>+SUMIF($Q$14:$Q$38,$Q$39,$P$14:$P$38)</f>
        <v>0</v>
      </c>
      <c r="Q39" s="25" t="s">
        <v>68</v>
      </c>
      <c r="R39" s="25"/>
      <c r="S39" s="77"/>
      <c r="T39" s="77"/>
      <c r="U39" s="77"/>
      <c r="V39" s="77"/>
      <c r="W39" s="77"/>
      <c r="X39" s="77"/>
      <c r="Y39" s="59"/>
      <c r="Z39" s="59"/>
      <c r="AA39" s="162"/>
      <c r="AC39" s="54"/>
    </row>
    <row r="40" spans="2:29" ht="15" customHeight="1" thickBot="1" x14ac:dyDescent="0.35">
      <c r="B40" s="6"/>
      <c r="C40" s="7"/>
      <c r="D40" s="14" t="s">
        <v>79</v>
      </c>
      <c r="E40" s="152"/>
      <c r="F40" s="152"/>
      <c r="G40" s="60"/>
      <c r="H40" s="11"/>
      <c r="I40" s="22"/>
      <c r="J40" s="22"/>
      <c r="K40" s="22"/>
      <c r="L40" s="11"/>
      <c r="M40" s="11"/>
      <c r="N40" s="25"/>
      <c r="O40" s="25"/>
      <c r="P40" s="77">
        <f>+SUMIF($Q$14:$Q$38,$Q$40,$P$14:$P$38)</f>
        <v>0</v>
      </c>
      <c r="Q40" s="25" t="s">
        <v>69</v>
      </c>
      <c r="R40" s="25"/>
      <c r="S40" s="77"/>
      <c r="T40" s="77"/>
      <c r="U40" s="77"/>
      <c r="V40" s="77"/>
      <c r="W40" s="77"/>
      <c r="X40" s="77"/>
      <c r="Y40" s="60"/>
      <c r="Z40" s="60"/>
      <c r="AA40" s="162"/>
      <c r="AC40" s="54"/>
    </row>
    <row r="41" spans="2:29" x14ac:dyDescent="0.3">
      <c r="B41" s="6"/>
      <c r="C41" s="7"/>
      <c r="D41" s="12" t="s">
        <v>80</v>
      </c>
      <c r="E41" s="148"/>
      <c r="F41" s="148"/>
      <c r="G41" s="57"/>
      <c r="H41" s="7"/>
      <c r="I41" s="7"/>
      <c r="J41" s="7"/>
      <c r="K41" s="7"/>
      <c r="L41" s="7"/>
      <c r="M41" s="7"/>
      <c r="N41" s="8"/>
      <c r="O41" s="8"/>
      <c r="P41" s="82"/>
      <c r="Q41" s="8"/>
      <c r="R41" s="8"/>
      <c r="S41" s="65"/>
      <c r="T41" s="65"/>
      <c r="U41" s="65"/>
      <c r="V41" s="65"/>
      <c r="W41" s="65"/>
      <c r="X41" s="65"/>
      <c r="Y41" s="57"/>
      <c r="Z41" s="57"/>
      <c r="AA41" s="158"/>
      <c r="AC41" s="54"/>
    </row>
    <row r="42" spans="2:29" x14ac:dyDescent="0.3">
      <c r="B42" s="6"/>
      <c r="C42" s="7"/>
      <c r="D42" s="12"/>
      <c r="E42" s="148"/>
      <c r="F42" s="148"/>
      <c r="G42" s="57"/>
      <c r="H42" s="7"/>
      <c r="I42" s="7"/>
      <c r="J42" s="7"/>
      <c r="K42" s="7"/>
      <c r="L42" s="7"/>
      <c r="M42" s="7"/>
      <c r="N42" s="8"/>
      <c r="O42" s="8"/>
      <c r="P42" s="82"/>
      <c r="Q42" s="8"/>
      <c r="R42" s="8"/>
      <c r="S42" s="65"/>
      <c r="T42" s="65"/>
      <c r="U42" s="65"/>
      <c r="V42" s="65"/>
      <c r="W42" s="65"/>
      <c r="X42" s="65"/>
      <c r="Y42" s="57"/>
      <c r="Z42" s="57"/>
      <c r="AA42" s="158"/>
      <c r="AC42" s="54"/>
    </row>
    <row r="43" spans="2:29" x14ac:dyDescent="0.3">
      <c r="B43" s="6"/>
      <c r="C43" s="7"/>
      <c r="D43" s="12"/>
      <c r="E43" s="148"/>
      <c r="F43" s="148"/>
      <c r="G43" s="57"/>
      <c r="H43" s="7"/>
      <c r="I43" s="7"/>
      <c r="J43" s="7"/>
      <c r="K43" s="7"/>
      <c r="L43" s="7"/>
      <c r="M43" s="7"/>
      <c r="N43" s="8"/>
      <c r="O43" s="8"/>
      <c r="P43" s="82"/>
      <c r="Q43" s="8"/>
      <c r="R43" s="8"/>
      <c r="S43" s="65"/>
      <c r="T43" s="65"/>
      <c r="U43" s="65"/>
      <c r="V43" s="65"/>
      <c r="W43" s="65"/>
      <c r="X43" s="65"/>
      <c r="Y43" s="57"/>
      <c r="Z43" s="57"/>
      <c r="AA43" s="158"/>
    </row>
    <row r="44" spans="2:29" x14ac:dyDescent="0.3">
      <c r="B44" s="6"/>
      <c r="C44" s="7"/>
      <c r="D44" s="12"/>
      <c r="E44" s="148"/>
      <c r="F44" s="148"/>
      <c r="G44" s="57"/>
      <c r="H44" s="7"/>
      <c r="I44" s="7"/>
      <c r="J44" s="7"/>
      <c r="K44" s="7"/>
      <c r="L44" s="7"/>
      <c r="M44" s="7"/>
      <c r="N44" s="8"/>
      <c r="O44" s="8"/>
      <c r="P44" s="82"/>
      <c r="Q44" s="8"/>
      <c r="R44" s="8"/>
      <c r="S44" s="65"/>
      <c r="T44" s="65"/>
      <c r="U44" s="65"/>
      <c r="V44" s="65"/>
      <c r="W44" s="65"/>
      <c r="X44" s="65"/>
      <c r="Y44" s="57"/>
      <c r="Z44" s="57"/>
      <c r="AA44" s="158"/>
    </row>
    <row r="45" spans="2:29" x14ac:dyDescent="0.3">
      <c r="B45" s="6"/>
      <c r="C45" s="7"/>
      <c r="D45" s="7"/>
      <c r="E45" s="148"/>
      <c r="F45" s="148"/>
      <c r="G45" s="57"/>
      <c r="H45" s="7"/>
      <c r="I45" s="7"/>
      <c r="J45" s="7"/>
      <c r="K45" s="7"/>
      <c r="L45" s="7"/>
      <c r="M45" s="7"/>
      <c r="N45" s="8"/>
      <c r="O45" s="45"/>
      <c r="P45" s="65"/>
      <c r="Q45" s="8"/>
      <c r="X45" s="65"/>
      <c r="Y45" s="57"/>
      <c r="Z45" s="57"/>
      <c r="AA45" s="158"/>
    </row>
    <row r="46" spans="2:29" ht="15" thickBot="1" x14ac:dyDescent="0.35">
      <c r="B46" s="6"/>
      <c r="C46" s="7"/>
      <c r="D46" s="7"/>
      <c r="E46" s="153" t="s">
        <v>141</v>
      </c>
      <c r="F46" s="153"/>
      <c r="G46" s="57"/>
      <c r="H46" s="37"/>
      <c r="I46" s="38"/>
      <c r="J46" s="38"/>
      <c r="K46" s="38"/>
      <c r="L46" s="37"/>
      <c r="M46" s="39"/>
      <c r="N46" s="38" t="s">
        <v>146</v>
      </c>
      <c r="O46" s="7"/>
      <c r="P46" s="83"/>
      <c r="Q46" s="37"/>
      <c r="R46" s="49"/>
      <c r="S46" s="68"/>
      <c r="X46" s="65"/>
      <c r="Y46" s="57"/>
      <c r="Z46" s="57"/>
      <c r="AA46" s="158"/>
    </row>
    <row r="47" spans="2:29" ht="27" x14ac:dyDescent="0.3">
      <c r="B47" s="6"/>
      <c r="C47" s="7"/>
      <c r="D47" s="7"/>
      <c r="E47" s="148"/>
      <c r="F47" s="148"/>
      <c r="G47" s="57"/>
      <c r="H47" s="78" t="s">
        <v>145</v>
      </c>
      <c r="I47" s="7"/>
      <c r="J47" s="7"/>
      <c r="K47" s="7"/>
      <c r="L47" s="78"/>
      <c r="M47" s="41"/>
      <c r="N47" s="7"/>
      <c r="O47" s="7"/>
      <c r="P47" s="84" t="s">
        <v>145</v>
      </c>
      <c r="Q47" s="47"/>
      <c r="X47" s="65"/>
      <c r="Y47" s="57"/>
      <c r="Z47" s="57"/>
      <c r="AA47" s="158"/>
    </row>
    <row r="48" spans="2:29" x14ac:dyDescent="0.3">
      <c r="B48" s="6"/>
      <c r="C48" s="7"/>
      <c r="D48" s="7"/>
      <c r="E48" s="148"/>
      <c r="F48" s="148"/>
      <c r="G48" s="57"/>
      <c r="H48" s="7"/>
      <c r="I48" s="7"/>
      <c r="J48" s="7"/>
      <c r="K48" s="7"/>
      <c r="L48" s="42"/>
      <c r="M48" s="42"/>
      <c r="N48" s="42"/>
      <c r="O48" s="42"/>
      <c r="P48" s="82"/>
      <c r="Q48" s="8"/>
      <c r="R48" s="8"/>
      <c r="S48" s="65"/>
      <c r="T48" s="65"/>
      <c r="U48" s="65"/>
      <c r="V48" s="65"/>
      <c r="W48" s="65"/>
      <c r="X48" s="65"/>
      <c r="Y48" s="57"/>
      <c r="Z48" s="57"/>
      <c r="AA48" s="158"/>
    </row>
    <row r="49" spans="2:27" ht="14.55" customHeight="1" thickBot="1" x14ac:dyDescent="0.35">
      <c r="B49" s="43"/>
      <c r="C49" s="44"/>
      <c r="D49" s="44"/>
      <c r="E49" s="154"/>
      <c r="F49" s="154"/>
      <c r="G49" s="61"/>
      <c r="H49" s="44"/>
      <c r="I49" s="44"/>
      <c r="J49" s="44"/>
      <c r="K49" s="44"/>
      <c r="L49" s="44"/>
      <c r="M49" s="44"/>
      <c r="N49" s="40"/>
      <c r="O49" s="40"/>
      <c r="P49" s="85"/>
      <c r="Q49" s="40"/>
      <c r="R49" s="40"/>
      <c r="S49" s="69"/>
      <c r="T49" s="69"/>
      <c r="U49" s="69"/>
      <c r="V49" s="69"/>
      <c r="W49" s="69"/>
      <c r="X49" s="69"/>
      <c r="Y49" s="61"/>
      <c r="Z49" s="61"/>
      <c r="AA49" s="163"/>
    </row>
  </sheetData>
  <mergeCells count="3">
    <mergeCell ref="G8:H8"/>
    <mergeCell ref="G7:H7"/>
    <mergeCell ref="G6:H6"/>
  </mergeCells>
  <phoneticPr fontId="13" type="noConversion"/>
  <dataValidations count="2">
    <dataValidation type="list" allowBlank="1" showInputMessage="1" showErrorMessage="1" sqref="H14:J38" xr:uid="{6578A4D9-288F-4850-9BE9-F1745F667CA0}">
      <formula1>"Si,No"</formula1>
    </dataValidation>
    <dataValidation type="list" allowBlank="1" showInputMessage="1" showErrorMessage="1" sqref="R14:R38" xr:uid="{EE0EA672-9483-4E64-8C53-EA7E75F36998}">
      <formula1>"22%,10%,0%,OTROS"</formula1>
    </dataValidation>
  </dataValidations>
  <pageMargins left="0.25" right="0.25" top="0.75" bottom="0.75" header="0.3" footer="0.3"/>
  <pageSetup paperSize="9" scale="48" orientation="landscape" r:id="rId1"/>
  <ignoredErrors>
    <ignoredError sqref="R19:R38 R14:R17" listDataValidatio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D05A7E-568C-4F18-B25F-E11C324B0600}">
          <x14:formula1>
            <xm:f>'Descripciones de gastos'!$D:$D</xm:f>
          </x14:formula1>
          <xm:sqref>G7</xm:sqref>
        </x14:dataValidation>
        <x14:dataValidation type="list" allowBlank="1" showInputMessage="1" showErrorMessage="1" xr:uid="{461C6268-CBA3-40C3-83C5-F3D21C75769C}">
          <x14:formula1>
            <xm:f>clave_PlanillaGastos_2024!$F$1:$F$2</xm:f>
          </x14:formula1>
          <xm:sqref>Q14:Q38</xm:sqref>
        </x14:dataValidation>
        <x14:dataValidation type="list" allowBlank="1" showInputMessage="1" showErrorMessage="1" xr:uid="{ACE645A0-1260-49FC-89CD-FDC1B8691371}">
          <x14:formula1>
            <xm:f>clave_PlanillaGastos_2024!$B$2:$B$17</xm:f>
          </x14:formula1>
          <xm:sqref>L14:L38</xm:sqref>
        </x14:dataValidation>
        <x14:dataValidation type="list" allowBlank="1" showInputMessage="1" showErrorMessage="1" xr:uid="{3ACEF773-47FD-4BF7-ADDC-1DA822794494}">
          <x14:formula1>
            <xm:f>clave_PlanillaGastos_2024!$B$20:$B$65</xm:f>
          </x14:formula1>
          <xm:sqref>N14:N38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853F-60DF-4910-992A-8298F9F8D1F7}">
  <sheetPr codeName="Hoja2">
    <tabColor rgb="FFC00000"/>
    <pageSetUpPr fitToPage="1"/>
  </sheetPr>
  <dimension ref="B2:AK51"/>
  <sheetViews>
    <sheetView showGridLines="0" topLeftCell="O1" zoomScale="70" zoomScaleNormal="70" workbookViewId="0">
      <selection activeCell="U7" sqref="U7"/>
    </sheetView>
  </sheetViews>
  <sheetFormatPr defaultColWidth="8.77734375" defaultRowHeight="14.4" x14ac:dyDescent="0.3"/>
  <cols>
    <col min="1" max="1" width="5.21875" customWidth="1"/>
    <col min="3" max="4" width="6.21875" customWidth="1"/>
    <col min="5" max="5" width="13.77734375" style="123" customWidth="1"/>
    <col min="6" max="6" width="12.5546875" style="123" customWidth="1"/>
    <col min="7" max="7" width="15.77734375" style="55" customWidth="1"/>
    <col min="8" max="8" width="9.109375" customWidth="1"/>
    <col min="9" max="9" width="19" customWidth="1"/>
    <col min="10" max="10" width="21.21875" customWidth="1"/>
    <col min="11" max="11" width="17.33203125" customWidth="1"/>
    <col min="12" max="12" width="24" customWidth="1"/>
    <col min="13" max="13" width="20.77734375" customWidth="1"/>
    <col min="14" max="15" width="24" style="1" customWidth="1"/>
    <col min="16" max="16" width="19.21875" style="54" customWidth="1"/>
    <col min="17" max="17" width="11.109375" style="1" customWidth="1"/>
    <col min="18" max="18" width="11.44140625" style="1" customWidth="1"/>
    <col min="19" max="19" width="24.33203125" style="63" customWidth="1"/>
    <col min="20" max="20" width="15.109375" style="63" customWidth="1"/>
    <col min="21" max="21" width="23.44140625" style="63" customWidth="1"/>
    <col min="22" max="23" width="15.109375" style="63" customWidth="1"/>
    <col min="24" max="25" width="11.33203125" style="63" customWidth="1"/>
    <col min="26" max="26" width="15.77734375" style="63" customWidth="1"/>
    <col min="27" max="27" width="14.5546875" style="55" customWidth="1"/>
    <col min="28" max="28" width="16.109375" style="63" customWidth="1"/>
    <col min="29" max="31" width="15.109375" style="63" customWidth="1"/>
    <col min="32" max="33" width="15.109375" style="139" customWidth="1"/>
    <col min="34" max="34" width="22.5546875" style="63" customWidth="1"/>
    <col min="35" max="35" width="30.21875" style="54" customWidth="1"/>
    <col min="36" max="36" width="15.109375" style="54" customWidth="1"/>
  </cols>
  <sheetData>
    <row r="2" spans="2:37" ht="15" thickBot="1" x14ac:dyDescent="0.35"/>
    <row r="3" spans="2:37" x14ac:dyDescent="0.3">
      <c r="B3" s="3"/>
      <c r="C3" s="4"/>
      <c r="D3" s="4"/>
      <c r="E3" s="124"/>
      <c r="F3" s="124"/>
      <c r="G3" s="56"/>
      <c r="H3" s="4"/>
      <c r="I3" s="4"/>
      <c r="J3" s="4"/>
      <c r="K3" s="4"/>
      <c r="L3" s="4"/>
      <c r="M3" s="4"/>
      <c r="N3" s="5"/>
      <c r="O3" s="5"/>
      <c r="P3" s="79"/>
      <c r="Q3" s="5"/>
      <c r="R3" s="5"/>
      <c r="S3" s="64"/>
      <c r="T3" s="64"/>
      <c r="U3" s="64"/>
      <c r="V3" s="64"/>
      <c r="W3" s="64"/>
      <c r="X3" s="64"/>
      <c r="Y3" s="64"/>
      <c r="Z3" s="64"/>
      <c r="AA3" s="56"/>
      <c r="AB3" s="64"/>
      <c r="AC3" s="64"/>
      <c r="AD3" s="64"/>
      <c r="AE3" s="64"/>
      <c r="AF3" s="140"/>
      <c r="AG3" s="140"/>
      <c r="AH3" s="64"/>
      <c r="AI3" s="70"/>
    </row>
    <row r="4" spans="2:37" x14ac:dyDescent="0.3">
      <c r="B4" s="6"/>
      <c r="C4" s="7"/>
      <c r="D4" s="9" t="s">
        <v>74</v>
      </c>
      <c r="E4" s="125"/>
      <c r="F4" s="125"/>
      <c r="G4" s="57"/>
      <c r="H4" s="7"/>
      <c r="I4" s="7"/>
      <c r="J4" s="7"/>
      <c r="K4" s="7"/>
      <c r="L4" s="7"/>
      <c r="M4" s="7"/>
      <c r="N4" s="8"/>
      <c r="O4" s="8"/>
      <c r="P4" s="80"/>
      <c r="Q4" s="8"/>
      <c r="R4" s="8"/>
      <c r="S4" s="65"/>
      <c r="T4" s="65"/>
      <c r="U4" s="65"/>
      <c r="V4" s="65"/>
      <c r="W4" s="65"/>
      <c r="X4" s="65"/>
      <c r="Y4" s="65"/>
      <c r="Z4" s="65"/>
      <c r="AA4" s="57"/>
      <c r="AB4" s="65"/>
      <c r="AC4" s="65"/>
      <c r="AD4" s="65"/>
      <c r="AE4" s="65"/>
      <c r="AF4" s="141"/>
      <c r="AG4" s="141"/>
      <c r="AH4" s="65"/>
      <c r="AI4" s="71"/>
    </row>
    <row r="5" spans="2:37" x14ac:dyDescent="0.3">
      <c r="B5" s="6"/>
      <c r="C5" s="7"/>
      <c r="E5" s="125"/>
      <c r="F5" s="125"/>
      <c r="G5" s="7"/>
      <c r="H5" s="7"/>
      <c r="I5" s="7"/>
      <c r="J5" s="7"/>
      <c r="K5" s="7"/>
      <c r="L5" s="7"/>
      <c r="M5" s="7"/>
      <c r="N5" s="8"/>
      <c r="O5" s="8"/>
      <c r="P5" s="80"/>
      <c r="Q5" s="8"/>
      <c r="R5" s="8"/>
      <c r="S5" s="65"/>
      <c r="T5" s="65"/>
      <c r="U5" s="65"/>
      <c r="V5" s="65"/>
      <c r="W5" s="65"/>
      <c r="X5" s="65"/>
      <c r="Y5" s="65"/>
      <c r="Z5" s="65"/>
      <c r="AA5" s="57"/>
      <c r="AB5" s="65"/>
      <c r="AC5" s="65"/>
      <c r="AD5" s="65"/>
      <c r="AE5" s="65"/>
      <c r="AF5" s="141"/>
      <c r="AG5" s="141"/>
      <c r="AH5" s="65"/>
      <c r="AI5" s="71"/>
    </row>
    <row r="6" spans="2:37" ht="19.05" customHeight="1" thickBot="1" x14ac:dyDescent="0.35">
      <c r="B6" s="6"/>
      <c r="C6" s="7"/>
      <c r="D6" s="7"/>
      <c r="E6" s="126" t="s">
        <v>8</v>
      </c>
      <c r="F6" s="125"/>
      <c r="G6" s="164" t="s">
        <v>1676</v>
      </c>
      <c r="H6" s="165"/>
      <c r="I6" s="7"/>
      <c r="J6" s="7"/>
      <c r="K6" s="7"/>
      <c r="L6" s="7"/>
      <c r="M6" s="7"/>
      <c r="N6" s="108"/>
      <c r="O6" s="108"/>
      <c r="P6" s="108"/>
      <c r="Q6" s="8"/>
      <c r="R6" s="8"/>
      <c r="S6" s="65"/>
      <c r="T6" s="65"/>
      <c r="U6" s="65"/>
      <c r="V6" s="65"/>
      <c r="W6" s="65"/>
      <c r="X6" s="65"/>
      <c r="Y6" s="65"/>
      <c r="Z6" s="65"/>
      <c r="AA6" s="57"/>
      <c r="AB6" s="65"/>
      <c r="AC6" s="65"/>
      <c r="AD6" s="65"/>
      <c r="AE6" s="65"/>
      <c r="AF6" s="141"/>
      <c r="AG6" s="141"/>
      <c r="AH6" s="65"/>
      <c r="AI6" s="71"/>
    </row>
    <row r="7" spans="2:37" ht="19.05" customHeight="1" thickBot="1" x14ac:dyDescent="0.35">
      <c r="B7" s="6"/>
      <c r="C7" s="7"/>
      <c r="D7" s="10"/>
      <c r="E7" s="126" t="s">
        <v>75</v>
      </c>
      <c r="F7" s="126"/>
      <c r="G7" s="166" t="s">
        <v>196</v>
      </c>
      <c r="H7" s="166"/>
      <c r="I7" s="10"/>
      <c r="J7" s="10"/>
      <c r="K7" s="10"/>
      <c r="M7" s="34"/>
      <c r="P7" s="108"/>
      <c r="Q7" s="8"/>
      <c r="R7" s="8"/>
      <c r="S7" s="65"/>
      <c r="T7" s="65"/>
      <c r="U7" s="65"/>
      <c r="V7" s="65"/>
      <c r="W7" s="65"/>
      <c r="X7" s="65"/>
      <c r="Y7" s="65"/>
      <c r="Z7" s="65"/>
      <c r="AA7" s="57"/>
      <c r="AB7" s="65"/>
      <c r="AC7" s="65"/>
      <c r="AD7" s="65"/>
      <c r="AE7" s="65"/>
      <c r="AF7" s="141"/>
      <c r="AG7" s="141"/>
      <c r="AH7" s="65"/>
      <c r="AI7" s="71"/>
    </row>
    <row r="8" spans="2:37" ht="19.05" customHeight="1" thickBot="1" x14ac:dyDescent="0.35">
      <c r="B8" s="6"/>
      <c r="C8" s="7"/>
      <c r="D8" s="10"/>
      <c r="E8" s="127" t="s">
        <v>76</v>
      </c>
      <c r="F8" s="126"/>
      <c r="G8" s="166">
        <v>22</v>
      </c>
      <c r="H8" s="166"/>
      <c r="I8" s="10" t="str">
        <f>IF(G8="","",(IF(G8&gt;22,"MAXIMO 22 DÍAS","")))</f>
        <v/>
      </c>
      <c r="J8" s="10"/>
      <c r="K8" s="10"/>
      <c r="M8" s="7"/>
      <c r="N8" s="108"/>
      <c r="O8" s="108"/>
      <c r="P8" s="108"/>
      <c r="Q8" s="8"/>
      <c r="R8" s="8"/>
      <c r="S8" s="65"/>
      <c r="T8" s="65"/>
      <c r="U8" s="65"/>
      <c r="V8" s="65"/>
      <c r="W8" s="65"/>
      <c r="X8" s="65"/>
      <c r="Y8" s="65"/>
      <c r="Z8" s="65"/>
      <c r="AA8" s="57"/>
      <c r="AB8" s="65"/>
      <c r="AC8" s="65"/>
      <c r="AD8" s="65"/>
      <c r="AE8" s="65"/>
      <c r="AF8" s="141"/>
      <c r="AG8" s="141"/>
      <c r="AH8" s="65"/>
      <c r="AI8" s="71"/>
    </row>
    <row r="9" spans="2:37" ht="19.5" customHeight="1" x14ac:dyDescent="0.3">
      <c r="B9" s="6"/>
      <c r="C9" s="7"/>
      <c r="D9" s="10"/>
      <c r="F9" s="126"/>
      <c r="I9" s="10"/>
      <c r="J9" s="10"/>
      <c r="K9" s="10"/>
      <c r="M9" s="35"/>
      <c r="N9" s="108"/>
      <c r="Q9" s="7"/>
      <c r="R9" s="8"/>
      <c r="S9" s="65"/>
      <c r="T9" s="65"/>
      <c r="U9" s="65"/>
      <c r="V9" s="65"/>
      <c r="W9" s="65"/>
      <c r="X9" s="65"/>
      <c r="Y9" s="65"/>
      <c r="Z9" s="65"/>
      <c r="AA9" s="57"/>
      <c r="AB9" s="65"/>
      <c r="AC9" s="65"/>
      <c r="AD9" s="65"/>
      <c r="AE9" s="65"/>
      <c r="AF9" s="141"/>
      <c r="AG9" s="141"/>
      <c r="AH9" s="65"/>
      <c r="AI9" s="71"/>
    </row>
    <row r="10" spans="2:37" x14ac:dyDescent="0.3">
      <c r="B10" s="6"/>
      <c r="C10" s="7"/>
      <c r="P10" s="80"/>
      <c r="R10" s="8"/>
      <c r="S10" s="65"/>
      <c r="T10" s="65"/>
      <c r="U10" s="65"/>
      <c r="V10" s="65"/>
      <c r="W10" s="65"/>
      <c r="X10" s="65"/>
      <c r="Y10" s="65"/>
      <c r="Z10" s="65"/>
      <c r="AB10" s="65"/>
      <c r="AC10" s="65"/>
      <c r="AD10" s="65"/>
      <c r="AE10" s="65"/>
      <c r="AF10" s="141"/>
      <c r="AG10" s="141"/>
      <c r="AH10" s="65"/>
      <c r="AI10" s="71"/>
    </row>
    <row r="11" spans="2:37" x14ac:dyDescent="0.3">
      <c r="B11" s="6"/>
      <c r="C11" s="7"/>
      <c r="D11" s="10"/>
      <c r="E11" s="125"/>
      <c r="F11" s="125"/>
      <c r="G11" s="57"/>
      <c r="H11" s="7"/>
      <c r="I11" s="7"/>
      <c r="J11" s="7"/>
      <c r="K11" s="7"/>
      <c r="L11" s="7"/>
      <c r="M11" s="7"/>
      <c r="N11" s="8"/>
      <c r="O11" s="8"/>
      <c r="P11" s="80"/>
      <c r="Q11" s="8"/>
      <c r="R11" s="8"/>
      <c r="S11" s="65"/>
      <c r="T11" s="65"/>
      <c r="U11" s="65"/>
      <c r="V11" s="65"/>
      <c r="W11" s="65"/>
      <c r="X11" s="65"/>
      <c r="Y11" s="65"/>
      <c r="Z11" s="65"/>
      <c r="AA11" s="57"/>
      <c r="AB11" s="65"/>
      <c r="AC11" s="65"/>
      <c r="AD11" s="65"/>
      <c r="AE11" s="65"/>
      <c r="AF11" s="141"/>
      <c r="AG11" s="141"/>
      <c r="AH11" s="65"/>
      <c r="AI11" s="71"/>
    </row>
    <row r="12" spans="2:37" ht="15" thickBot="1" x14ac:dyDescent="0.35">
      <c r="B12" s="6"/>
      <c r="C12" s="7"/>
      <c r="D12" s="73" t="s">
        <v>77</v>
      </c>
      <c r="E12" s="128"/>
      <c r="F12" s="128"/>
      <c r="G12" s="74"/>
      <c r="H12" s="74"/>
      <c r="I12" s="74"/>
      <c r="J12" s="74"/>
      <c r="K12" s="74"/>
      <c r="L12" s="74"/>
      <c r="M12" s="74"/>
      <c r="N12" s="74"/>
      <c r="O12" s="74"/>
      <c r="P12" s="76"/>
      <c r="Q12" s="74"/>
      <c r="R12" s="74"/>
      <c r="S12" s="76"/>
      <c r="T12" s="76"/>
      <c r="U12" s="76"/>
      <c r="V12" s="76"/>
      <c r="W12" s="76"/>
      <c r="X12" s="74"/>
      <c r="Y12" s="74"/>
      <c r="Z12" s="74"/>
      <c r="AA12" s="74"/>
      <c r="AB12" s="74"/>
      <c r="AC12" s="74"/>
      <c r="AD12" s="74"/>
      <c r="AE12" s="74"/>
      <c r="AF12" s="142"/>
      <c r="AG12" s="142"/>
      <c r="AH12" s="74"/>
      <c r="AI12" s="74"/>
    </row>
    <row r="13" spans="2:37" s="28" customFormat="1" ht="27" thickBot="1" x14ac:dyDescent="0.35">
      <c r="B13" s="27"/>
      <c r="C13" s="48"/>
      <c r="D13" s="91" t="s">
        <v>1658</v>
      </c>
      <c r="E13" s="129" t="s">
        <v>1288</v>
      </c>
      <c r="F13" s="129" t="s">
        <v>159</v>
      </c>
      <c r="G13" s="92" t="s">
        <v>1289</v>
      </c>
      <c r="H13" s="92" t="s">
        <v>1660</v>
      </c>
      <c r="I13" s="91" t="s">
        <v>1661</v>
      </c>
      <c r="J13" s="91" t="s">
        <v>1662</v>
      </c>
      <c r="K13" s="91" t="s">
        <v>78</v>
      </c>
      <c r="L13" s="91" t="s">
        <v>81</v>
      </c>
      <c r="M13" s="91" t="s">
        <v>140</v>
      </c>
      <c r="N13" s="91" t="s">
        <v>9</v>
      </c>
      <c r="O13" s="91" t="s">
        <v>127</v>
      </c>
      <c r="P13" s="75" t="s">
        <v>7</v>
      </c>
      <c r="Q13" s="91" t="s">
        <v>67</v>
      </c>
      <c r="R13" s="91" t="s">
        <v>149</v>
      </c>
      <c r="S13" s="75" t="s">
        <v>1663</v>
      </c>
      <c r="T13" s="75" t="s">
        <v>1664</v>
      </c>
      <c r="U13" s="75" t="s">
        <v>1665</v>
      </c>
      <c r="V13" s="75" t="s">
        <v>1666</v>
      </c>
      <c r="W13" s="75" t="s">
        <v>148</v>
      </c>
      <c r="X13" s="75" t="s">
        <v>1669</v>
      </c>
      <c r="Y13" s="75" t="s">
        <v>1670</v>
      </c>
      <c r="Z13" s="75" t="s">
        <v>151</v>
      </c>
      <c r="AA13" s="92" t="s">
        <v>150</v>
      </c>
      <c r="AB13" s="75" t="s">
        <v>156</v>
      </c>
      <c r="AC13" s="75" t="s">
        <v>152</v>
      </c>
      <c r="AD13" s="75" t="s">
        <v>153</v>
      </c>
      <c r="AE13" s="75" t="s">
        <v>75</v>
      </c>
      <c r="AF13" s="92" t="s">
        <v>1667</v>
      </c>
      <c r="AG13" s="92" t="s">
        <v>1668</v>
      </c>
      <c r="AH13" s="75" t="s">
        <v>174</v>
      </c>
      <c r="AI13" s="93" t="s">
        <v>157</v>
      </c>
      <c r="AJ13" s="63"/>
      <c r="AK13" s="63"/>
    </row>
    <row r="14" spans="2:37" ht="20.25" customHeight="1" thickBot="1" x14ac:dyDescent="0.35">
      <c r="B14" s="6"/>
      <c r="C14" s="7"/>
      <c r="D14" s="89" cm="1">
        <f t="array" ref="D14">IF(Tabla13[[#This Row],[Importe total]]="","",SUM(IF(Tabla13[Importe total]&lt;&gt;"",1,0)*(ROW(Tabla13[Importe total])&lt;=ROW())))</f>
        <v>1</v>
      </c>
      <c r="E14" s="130" t="s">
        <v>1673</v>
      </c>
      <c r="F14" s="130" t="s">
        <v>1671</v>
      </c>
      <c r="G14" s="58" t="s">
        <v>1674</v>
      </c>
      <c r="H14" s="66" t="s">
        <v>1656</v>
      </c>
      <c r="I14" s="66" t="s">
        <v>1656</v>
      </c>
      <c r="J14" s="66" t="s">
        <v>1657</v>
      </c>
      <c r="K14" s="13" t="s">
        <v>1675</v>
      </c>
      <c r="L14" s="23" t="s">
        <v>83</v>
      </c>
      <c r="M14" s="36">
        <f>+IFERROR(VLOOKUP(L14,clave_PlanillaGastos_2024!$B$2:$C$17,2,FALSE),"-")</f>
        <v>532705</v>
      </c>
      <c r="N14" s="23" t="s">
        <v>59</v>
      </c>
      <c r="O14" s="36" t="str">
        <f>+IFERROR(VLOOKUP(Tabla13[[#This Row],[Imputación gasto]],clave_PlanillaGastos_2024!$B$20:$C$64,2,FALSE),"-")</f>
        <v>Y000260001</v>
      </c>
      <c r="P14" s="81">
        <v>434</v>
      </c>
      <c r="Q14" s="26" t="s">
        <v>68</v>
      </c>
      <c r="R14" s="62">
        <v>0.22</v>
      </c>
      <c r="S14" s="67"/>
      <c r="T14" s="67"/>
      <c r="U14" s="67"/>
      <c r="V14" s="67"/>
      <c r="W14" s="67"/>
      <c r="X14" s="67">
        <f>P14*0.22</f>
        <v>95.48</v>
      </c>
      <c r="Y14" s="67">
        <f>Tabla13[[#This Row],[Importe total]]-Tabla13[[#This Row],[Iva]]</f>
        <v>338.52</v>
      </c>
      <c r="Z14" s="15" t="str">
        <f t="shared" ref="Z14:Z22" si="0">IF(OR(I14="",J14=""),"",IF(OR(I14="No",J14="Si"),"E0","A0"))</f>
        <v>E0</v>
      </c>
      <c r="AA14" s="58" t="str">
        <f t="shared" ref="AA14:AA22" si="1">IF(G14&lt;&gt;"","KR",IF(AND(G14="",P14&lt;&gt;""),"SA",""))</f>
        <v>KR</v>
      </c>
      <c r="AB14" s="67"/>
      <c r="AC14" s="67"/>
      <c r="AD14" s="67"/>
      <c r="AE14" s="67" t="str">
        <f>IF(OR(Formulario!$G$7="",Tabla13[[#This Row],[Fecha factura]]="",""),"",VLOOKUP($G$7,'Descripciones de gastos'!D:E,2,FALSE))</f>
        <v/>
      </c>
      <c r="AF14" s="138">
        <f>VLOOKUP("IVA Compras Indirecto 22%.",'Descripciones de gastos'!G:H,2,FALSE)</f>
        <v>173033</v>
      </c>
      <c r="AG14" s="138">
        <f>VLOOKUP("IVA Compras Indirecto 10%.",'Descripciones de gastos'!G:H,2,FALSE)</f>
        <v>173034</v>
      </c>
      <c r="AH14" s="67" t="str">
        <f t="shared" ref="AH14:AH38" si="2">IF(AND(E14&lt;&gt;"",L14&lt;&gt;""),L14,"")</f>
        <v>Correo y mensajeria</v>
      </c>
      <c r="AI14" s="90"/>
      <c r="AK14" s="54"/>
    </row>
    <row r="15" spans="2:37" ht="14.25" customHeight="1" thickBot="1" x14ac:dyDescent="0.35">
      <c r="B15" s="6"/>
      <c r="C15" s="7"/>
      <c r="D15" s="89" cm="1">
        <f t="array" ref="D15">IF(Tabla13[[#This Row],[Importe total]]="","",SUM(IF(Tabla13[Importe total]&lt;&gt;"",1,0)*(ROW(Tabla13[Importe total])&lt;=ROW())))</f>
        <v>2</v>
      </c>
      <c r="E15" s="130">
        <v>33</v>
      </c>
      <c r="F15" s="130">
        <v>45982</v>
      </c>
      <c r="G15" s="58" t="s">
        <v>1677</v>
      </c>
      <c r="H15" s="66" t="s">
        <v>1656</v>
      </c>
      <c r="I15" s="66" t="s">
        <v>1656</v>
      </c>
      <c r="J15" s="66" t="s">
        <v>1656</v>
      </c>
      <c r="K15" s="13" t="s">
        <v>1678</v>
      </c>
      <c r="L15" s="23" t="s">
        <v>83</v>
      </c>
      <c r="M15" s="36">
        <f>+IFERROR(VLOOKUP(L15,clave_PlanillaGastos_2024!$B$2:$C$17,2,FALSE),"-")</f>
        <v>532705</v>
      </c>
      <c r="N15" s="23" t="s">
        <v>38</v>
      </c>
      <c r="O15" s="36" t="str">
        <f>+IFERROR(VLOOKUP(N15,clave_PlanillaGastos_2024!$B$20:$C$64,2,FALSE),"-")</f>
        <v>Y000700001</v>
      </c>
      <c r="P15" s="81">
        <v>34</v>
      </c>
      <c r="Q15" s="26" t="s">
        <v>69</v>
      </c>
      <c r="R15" s="62">
        <v>0.1</v>
      </c>
      <c r="S15" s="67"/>
      <c r="T15" s="67"/>
      <c r="U15" s="67"/>
      <c r="V15" s="67"/>
      <c r="W15" s="67"/>
      <c r="X15" s="67">
        <f>P15*0.1</f>
        <v>3.4000000000000004</v>
      </c>
      <c r="Y15" s="67">
        <f>Tabla13[[#This Row],[Importe total]]-Tabla13[[#This Row],[Iva]]</f>
        <v>30.6</v>
      </c>
      <c r="Z15" s="15" t="str">
        <f t="shared" si="0"/>
        <v>E0</v>
      </c>
      <c r="AA15" s="58" t="str">
        <f t="shared" si="1"/>
        <v>KR</v>
      </c>
      <c r="AB15" s="67"/>
      <c r="AC15" s="67"/>
      <c r="AD15" s="67"/>
      <c r="AE15" s="67" t="str">
        <f>IF(OR(Formulario!$G$7="",Tabla13[[#This Row],[Fecha factura]]="",""),"",VLOOKUP($G$7,'Descripciones de gastos'!D:E,2,FALSE))</f>
        <v/>
      </c>
      <c r="AF15" s="138">
        <f>VLOOKUP("IVA Compras Indirecto 22%.",'Descripciones de gastos'!G:H,2,FALSE)</f>
        <v>173033</v>
      </c>
      <c r="AG15" s="138">
        <f>VLOOKUP("IVA Compras Indirecto 10%.",'Descripciones de gastos'!G:H,2,FALSE)</f>
        <v>173034</v>
      </c>
      <c r="AH15" s="67" t="str">
        <f t="shared" si="2"/>
        <v>Correo y mensajeria</v>
      </c>
      <c r="AI15" s="90"/>
      <c r="AK15" s="54"/>
    </row>
    <row r="16" spans="2:37" ht="15" customHeight="1" thickBot="1" x14ac:dyDescent="0.35">
      <c r="B16" s="6"/>
      <c r="C16" s="7"/>
      <c r="D16" s="89" cm="1">
        <f t="array" ref="D16">IF(Tabla13[[#This Row],[Importe total]]="","",SUM(IF(Tabla13[Importe total]&lt;&gt;"",1,0)*(ROW(Tabla13[Importe total])&lt;=ROW())))</f>
        <v>3</v>
      </c>
      <c r="E16" s="130">
        <v>89</v>
      </c>
      <c r="F16" s="130">
        <v>892</v>
      </c>
      <c r="G16" s="58" t="s">
        <v>1679</v>
      </c>
      <c r="H16" s="66" t="s">
        <v>1656</v>
      </c>
      <c r="I16" s="66" t="s">
        <v>1657</v>
      </c>
      <c r="J16" s="66" t="s">
        <v>1656</v>
      </c>
      <c r="K16" s="13" t="s">
        <v>1680</v>
      </c>
      <c r="L16" s="23" t="s">
        <v>71</v>
      </c>
      <c r="M16" s="36">
        <f>+IFERROR(VLOOKUP(L16,clave_PlanillaGastos_2024!$B$2:$C$17,2,FALSE),"-")</f>
        <v>531103</v>
      </c>
      <c r="N16" s="23" t="s">
        <v>47</v>
      </c>
      <c r="O16" s="36" t="str">
        <f>+IFERROR(VLOOKUP(N16,clave_PlanillaGastos_2024!$B$20:$C$64,2,FALSE),"-")</f>
        <v>Y000500001</v>
      </c>
      <c r="P16" s="81">
        <v>4454</v>
      </c>
      <c r="Q16" s="26" t="s">
        <v>68</v>
      </c>
      <c r="R16" s="62">
        <v>0.22</v>
      </c>
      <c r="S16" s="67"/>
      <c r="T16" s="67"/>
      <c r="U16" s="67"/>
      <c r="V16" s="67"/>
      <c r="W16" s="67"/>
      <c r="X16" s="67">
        <f>P16*0.22</f>
        <v>979.88</v>
      </c>
      <c r="Y16" s="67">
        <f>Tabla13[[#This Row],[Importe total]]-Tabla13[[#This Row],[Iva]]</f>
        <v>3474.12</v>
      </c>
      <c r="Z16" s="15" t="str">
        <f t="shared" si="0"/>
        <v>A0</v>
      </c>
      <c r="AA16" s="58" t="str">
        <f t="shared" si="1"/>
        <v>KR</v>
      </c>
      <c r="AB16" s="67"/>
      <c r="AC16" s="67"/>
      <c r="AD16" s="67"/>
      <c r="AE16" s="67" t="str">
        <f>IF(OR(Formulario!$G$7="",Tabla13[[#This Row],[Fecha factura]]="",""),"",VLOOKUP($G$7,'Descripciones de gastos'!D:E,2,FALSE))</f>
        <v/>
      </c>
      <c r="AF16" s="138">
        <f>VLOOKUP("IVA Compras Indirecto 22%.",'Descripciones de gastos'!G:H,2,FALSE)</f>
        <v>173033</v>
      </c>
      <c r="AG16" s="138">
        <f>VLOOKUP("IVA Compras Indirecto 10%.",'Descripciones de gastos'!G:H,2,FALSE)</f>
        <v>173034</v>
      </c>
      <c r="AH16" s="67" t="str">
        <f t="shared" si="2"/>
        <v>Seguro vehicular</v>
      </c>
      <c r="AI16" s="90"/>
      <c r="AK16" s="54"/>
    </row>
    <row r="17" spans="2:37" ht="15" customHeight="1" thickBot="1" x14ac:dyDescent="0.35">
      <c r="B17" s="6"/>
      <c r="C17" s="7"/>
      <c r="D17" s="89" t="str" cm="1">
        <f t="array" ref="D17">IF(Tabla13[[#This Row],[Importe total]]="","",SUM(IF(Tabla13[Importe total]&lt;&gt;"",1,0)*(ROW(Tabla13[Importe total])&lt;=ROW())))</f>
        <v/>
      </c>
      <c r="E17" s="130"/>
      <c r="F17" s="130"/>
      <c r="G17" s="58"/>
      <c r="H17" s="66"/>
      <c r="I17" s="66"/>
      <c r="J17" s="66"/>
      <c r="K17" s="13"/>
      <c r="L17" s="23"/>
      <c r="M17" s="36" t="str">
        <f>+IFERROR(VLOOKUP(L17,clave_PlanillaGastos_2024!$B$2:$C$17,2,FALSE),"-")</f>
        <v>-</v>
      </c>
      <c r="N17" s="23"/>
      <c r="O17" s="36" t="str">
        <f>+IFERROR(VLOOKUP(N17,clave_PlanillaGastos_2024!$B$20:$C$64,2,FALSE),"-")</f>
        <v>-</v>
      </c>
      <c r="P17" s="81"/>
      <c r="Q17" s="26"/>
      <c r="R17" s="62"/>
      <c r="S17" s="67"/>
      <c r="T17" s="67">
        <f t="shared" ref="T17:T35" si="3">S17*0.22</f>
        <v>0</v>
      </c>
      <c r="U17" s="67"/>
      <c r="V17" s="67">
        <f t="shared" ref="V17:V35" si="4">U17*0.1</f>
        <v>0</v>
      </c>
      <c r="W17" s="67"/>
      <c r="X17" s="67">
        <v>0</v>
      </c>
      <c r="Y17" s="67">
        <f>Tabla13[[#This Row],[Importe total]]-Tabla13[[#This Row],[Iva]]</f>
        <v>0</v>
      </c>
      <c r="Z17" s="15" t="str">
        <f t="shared" si="0"/>
        <v/>
      </c>
      <c r="AA17" s="58" t="str">
        <f t="shared" si="1"/>
        <v/>
      </c>
      <c r="AB17" s="67"/>
      <c r="AC17" s="67"/>
      <c r="AD17" s="67"/>
      <c r="AE17" s="67" t="str">
        <f>IF(OR(Formulario!$G$7="",Tabla13[[#This Row],[Fecha factura]]="",""),"",VLOOKUP($G$7,'Descripciones de gastos'!D:E,2,FALSE))</f>
        <v/>
      </c>
      <c r="AF17" s="138">
        <f>VLOOKUP("IVA Compras Indirecto 22%.",'Descripciones de gastos'!G:H,2,FALSE)</f>
        <v>173033</v>
      </c>
      <c r="AG17" s="138">
        <f>VLOOKUP("IVA Compras Indirecto 10%.",'Descripciones de gastos'!G:H,2,FALSE)</f>
        <v>173034</v>
      </c>
      <c r="AH17" s="67" t="str">
        <f t="shared" si="2"/>
        <v/>
      </c>
      <c r="AI17" s="90"/>
      <c r="AK17" s="54"/>
    </row>
    <row r="18" spans="2:37" ht="15" customHeight="1" thickBot="1" x14ac:dyDescent="0.35">
      <c r="B18" s="6"/>
      <c r="C18" s="7"/>
      <c r="D18" s="89" t="str" cm="1">
        <f t="array" ref="D18">IF(Tabla13[[#This Row],[Importe total]]="","",SUM(IF(Tabla13[Importe total]&lt;&gt;"",1,0)*(ROW(Tabla13[Importe total])&lt;=ROW())))</f>
        <v/>
      </c>
      <c r="E18" s="130"/>
      <c r="F18" s="130"/>
      <c r="G18" s="58"/>
      <c r="H18" s="66"/>
      <c r="I18" s="66"/>
      <c r="J18" s="66"/>
      <c r="K18" s="13"/>
      <c r="L18" s="23"/>
      <c r="M18" s="36" t="str">
        <f>+IFERROR(VLOOKUP(L18,clave_PlanillaGastos_2024!$B$2:$C$17,2,FALSE),"-")</f>
        <v>-</v>
      </c>
      <c r="N18" s="23"/>
      <c r="O18" s="36" t="str">
        <f>+IFERROR(VLOOKUP(N18,clave_PlanillaGastos_2024!$B$20:$C$64,2,FALSE),"-")</f>
        <v>-</v>
      </c>
      <c r="P18" s="81"/>
      <c r="Q18" s="26"/>
      <c r="R18" s="62"/>
      <c r="S18" s="67"/>
      <c r="T18" s="67">
        <f t="shared" si="3"/>
        <v>0</v>
      </c>
      <c r="U18" s="67"/>
      <c r="V18" s="67">
        <f t="shared" si="4"/>
        <v>0</v>
      </c>
      <c r="W18" s="67"/>
      <c r="X18" s="67">
        <v>0</v>
      </c>
      <c r="Y18" s="67">
        <f>Tabla13[[#This Row],[Importe total]]-Tabla13[[#This Row],[Iva]]</f>
        <v>0</v>
      </c>
      <c r="Z18" s="15" t="str">
        <f t="shared" si="0"/>
        <v/>
      </c>
      <c r="AA18" s="58" t="str">
        <f t="shared" si="1"/>
        <v/>
      </c>
      <c r="AB18" s="67"/>
      <c r="AC18" s="67"/>
      <c r="AD18" s="67"/>
      <c r="AE18" s="67" t="str">
        <f>IF(OR(Formulario!$G$7="",Tabla13[[#This Row],[Fecha factura]]="",""),"",VLOOKUP($G$7,'Descripciones de gastos'!D:E,2,FALSE))</f>
        <v/>
      </c>
      <c r="AF18" s="138">
        <f>VLOOKUP("IVA Compras Indirecto 22%.",'Descripciones de gastos'!G:H,2,FALSE)</f>
        <v>173033</v>
      </c>
      <c r="AG18" s="138">
        <f>VLOOKUP("IVA Compras Indirecto 10%.",'Descripciones de gastos'!G:H,2,FALSE)</f>
        <v>173034</v>
      </c>
      <c r="AH18" s="67" t="str">
        <f t="shared" si="2"/>
        <v/>
      </c>
      <c r="AI18" s="90"/>
      <c r="AK18" s="54"/>
    </row>
    <row r="19" spans="2:37" ht="15" customHeight="1" thickBot="1" x14ac:dyDescent="0.35">
      <c r="B19" s="6"/>
      <c r="C19" s="7"/>
      <c r="D19" s="89" t="str" cm="1">
        <f t="array" ref="D19">IF(Tabla13[[#This Row],[Importe total]]="","",SUM(IF(Tabla13[Importe total]&lt;&gt;"",1,0)*(ROW(Tabla13[Importe total])&lt;=ROW())))</f>
        <v/>
      </c>
      <c r="E19" s="130"/>
      <c r="F19" s="130"/>
      <c r="G19" s="58"/>
      <c r="H19" s="66"/>
      <c r="I19" s="66"/>
      <c r="J19" s="66"/>
      <c r="K19" s="13"/>
      <c r="L19" s="23"/>
      <c r="M19" s="36" t="str">
        <f>+IFERROR(VLOOKUP(L19,clave_PlanillaGastos_2024!$B$2:$C$17,2,FALSE),"-")</f>
        <v>-</v>
      </c>
      <c r="N19" s="23"/>
      <c r="O19" s="36" t="str">
        <f>+IFERROR(VLOOKUP(N19,clave_PlanillaGastos_2024!$B$20:$C$64,2,FALSE),"-")</f>
        <v>-</v>
      </c>
      <c r="P19" s="81"/>
      <c r="Q19" s="26"/>
      <c r="R19" s="62"/>
      <c r="S19" s="67"/>
      <c r="T19" s="67">
        <f t="shared" si="3"/>
        <v>0</v>
      </c>
      <c r="U19" s="67"/>
      <c r="V19" s="67">
        <f t="shared" si="4"/>
        <v>0</v>
      </c>
      <c r="W19" s="67"/>
      <c r="X19" s="67">
        <v>0</v>
      </c>
      <c r="Y19" s="67">
        <f>Tabla13[[#This Row],[Importe total]]-Tabla13[[#This Row],[Iva]]</f>
        <v>0</v>
      </c>
      <c r="Z19" s="15" t="str">
        <f t="shared" si="0"/>
        <v/>
      </c>
      <c r="AA19" s="58" t="str">
        <f t="shared" si="1"/>
        <v/>
      </c>
      <c r="AB19" s="67"/>
      <c r="AC19" s="67"/>
      <c r="AD19" s="67"/>
      <c r="AE19" s="67" t="str">
        <f>IF(OR(Formulario!$G$7="",Tabla13[[#This Row],[Fecha factura]]="",""),"",VLOOKUP($G$7,'Descripciones de gastos'!D:E,2,FALSE))</f>
        <v/>
      </c>
      <c r="AF19" s="138">
        <f>VLOOKUP("IVA Compras Indirecto 22%.",'Descripciones de gastos'!G:H,2,FALSE)</f>
        <v>173033</v>
      </c>
      <c r="AG19" s="138">
        <f>VLOOKUP("IVA Compras Indirecto 10%.",'Descripciones de gastos'!G:H,2,FALSE)</f>
        <v>173034</v>
      </c>
      <c r="AH19" s="67" t="str">
        <f t="shared" si="2"/>
        <v/>
      </c>
      <c r="AI19" s="90"/>
      <c r="AK19" s="54"/>
    </row>
    <row r="20" spans="2:37" ht="15" customHeight="1" thickBot="1" x14ac:dyDescent="0.35">
      <c r="B20" s="6"/>
      <c r="C20" s="7"/>
      <c r="D20" s="89" t="str" cm="1">
        <f t="array" ref="D20">IF(Tabla13[[#This Row],[Importe total]]="","",SUM(IF(Tabla13[Importe total]&lt;&gt;"",1,0)*(ROW(Tabla13[Importe total])&lt;=ROW())))</f>
        <v/>
      </c>
      <c r="E20" s="130"/>
      <c r="F20" s="130"/>
      <c r="G20" s="58"/>
      <c r="H20" s="66"/>
      <c r="I20" s="66"/>
      <c r="J20" s="66"/>
      <c r="K20" s="13"/>
      <c r="L20" s="23"/>
      <c r="M20" s="36" t="str">
        <f>+IFERROR(VLOOKUP(L20,clave_PlanillaGastos_2024!$B$2:$C$17,2,FALSE),"-")</f>
        <v>-</v>
      </c>
      <c r="N20" s="23"/>
      <c r="O20" s="36" t="str">
        <f>+IFERROR(VLOOKUP(N20,clave_PlanillaGastos_2024!$B$20:$C$64,2,FALSE),"-")</f>
        <v>-</v>
      </c>
      <c r="P20" s="81"/>
      <c r="Q20" s="26"/>
      <c r="R20" s="62"/>
      <c r="S20" s="67"/>
      <c r="T20" s="67">
        <f t="shared" si="3"/>
        <v>0</v>
      </c>
      <c r="U20" s="67"/>
      <c r="V20" s="67">
        <f t="shared" si="4"/>
        <v>0</v>
      </c>
      <c r="W20" s="67"/>
      <c r="X20" s="67">
        <v>0</v>
      </c>
      <c r="Y20" s="67">
        <f>Tabla13[[#This Row],[Importe total]]-Tabla13[[#This Row],[Iva]]</f>
        <v>0</v>
      </c>
      <c r="Z20" s="15" t="str">
        <f t="shared" si="0"/>
        <v/>
      </c>
      <c r="AA20" s="58" t="str">
        <f t="shared" si="1"/>
        <v/>
      </c>
      <c r="AB20" s="67"/>
      <c r="AC20" s="67"/>
      <c r="AD20" s="67"/>
      <c r="AE20" s="67" t="str">
        <f>IF(OR(Formulario!$G$7="",Tabla13[[#This Row],[Fecha factura]]="",""),"",VLOOKUP($G$7,'Descripciones de gastos'!D:E,2,FALSE))</f>
        <v/>
      </c>
      <c r="AF20" s="138">
        <f>VLOOKUP("IVA Compras Indirecto 22%.",'Descripciones de gastos'!G:H,2,FALSE)</f>
        <v>173033</v>
      </c>
      <c r="AG20" s="138">
        <f>VLOOKUP("IVA Compras Indirecto 10%.",'Descripciones de gastos'!G:H,2,FALSE)</f>
        <v>173034</v>
      </c>
      <c r="AH20" s="67" t="str">
        <f t="shared" si="2"/>
        <v/>
      </c>
      <c r="AI20" s="90"/>
      <c r="AK20" s="54"/>
    </row>
    <row r="21" spans="2:37" ht="15" customHeight="1" thickBot="1" x14ac:dyDescent="0.35">
      <c r="B21" s="6"/>
      <c r="C21" s="7"/>
      <c r="D21" s="89" t="str" cm="1">
        <f t="array" ref="D21">IF(Tabla13[[#This Row],[Importe total]]="","",SUM(IF(Tabla13[Importe total]&lt;&gt;"",1,0)*(ROW(Tabla13[Importe total])&lt;=ROW())))</f>
        <v/>
      </c>
      <c r="E21" s="130"/>
      <c r="F21" s="130"/>
      <c r="G21" s="58"/>
      <c r="H21" s="66"/>
      <c r="I21" s="66"/>
      <c r="J21" s="66"/>
      <c r="K21" s="13"/>
      <c r="L21" s="23"/>
      <c r="M21" s="36" t="str">
        <f>+IFERROR(VLOOKUP(L21,clave_PlanillaGastos_2024!$B$2:$C$17,2,FALSE),"-")</f>
        <v>-</v>
      </c>
      <c r="N21" s="23"/>
      <c r="O21" s="36" t="str">
        <f>+IFERROR(VLOOKUP(N21,clave_PlanillaGastos_2024!$B$20:$C$64,2,FALSE),"-")</f>
        <v>-</v>
      </c>
      <c r="P21" s="81"/>
      <c r="Q21" s="26"/>
      <c r="R21" s="62"/>
      <c r="S21" s="67"/>
      <c r="T21" s="67">
        <f t="shared" si="3"/>
        <v>0</v>
      </c>
      <c r="U21" s="67"/>
      <c r="V21" s="67">
        <f t="shared" si="4"/>
        <v>0</v>
      </c>
      <c r="W21" s="67"/>
      <c r="X21" s="67">
        <v>0</v>
      </c>
      <c r="Y21" s="67">
        <f>Tabla13[[#This Row],[Importe total]]-Tabla13[[#This Row],[Iva]]</f>
        <v>0</v>
      </c>
      <c r="Z21" s="15" t="str">
        <f t="shared" si="0"/>
        <v/>
      </c>
      <c r="AA21" s="58" t="str">
        <f t="shared" si="1"/>
        <v/>
      </c>
      <c r="AB21" s="67"/>
      <c r="AC21" s="67"/>
      <c r="AD21" s="67"/>
      <c r="AE21" s="67" t="str">
        <f>IF(OR(Formulario!$G$7="",Tabla13[[#This Row],[Fecha factura]]="",""),"",VLOOKUP($G$7,'Descripciones de gastos'!D:E,2,FALSE))</f>
        <v/>
      </c>
      <c r="AF21" s="138">
        <f>VLOOKUP("IVA Compras Indirecto 22%.",'Descripciones de gastos'!G:H,2,FALSE)</f>
        <v>173033</v>
      </c>
      <c r="AG21" s="138">
        <f>VLOOKUP("IVA Compras Indirecto 10%.",'Descripciones de gastos'!G:H,2,FALSE)</f>
        <v>173034</v>
      </c>
      <c r="AH21" s="67" t="str">
        <f t="shared" si="2"/>
        <v/>
      </c>
      <c r="AI21" s="90"/>
      <c r="AK21" s="54"/>
    </row>
    <row r="22" spans="2:37" ht="15" customHeight="1" thickBot="1" x14ac:dyDescent="0.35">
      <c r="B22" s="6"/>
      <c r="C22" s="7"/>
      <c r="D22" s="89" t="str" cm="1">
        <f t="array" ref="D22">IF(Tabla13[[#This Row],[Importe total]]="","",SUM(IF(Tabla13[Importe total]&lt;&gt;"",1,0)*(ROW(Tabla13[Importe total])&lt;=ROW())))</f>
        <v/>
      </c>
      <c r="E22" s="130"/>
      <c r="F22" s="130"/>
      <c r="G22" s="58"/>
      <c r="H22" s="66"/>
      <c r="I22" s="66"/>
      <c r="J22" s="66"/>
      <c r="K22" s="13"/>
      <c r="L22" s="23"/>
      <c r="M22" s="36" t="str">
        <f>+IFERROR(VLOOKUP(L22,clave_PlanillaGastos_2024!$B$2:$C$17,2,FALSE),"-")</f>
        <v>-</v>
      </c>
      <c r="N22" s="23"/>
      <c r="O22" s="36" t="str">
        <f>+IFERROR(VLOOKUP(N22,clave_PlanillaGastos_2024!$B$20:$C$64,2,FALSE),"-")</f>
        <v>-</v>
      </c>
      <c r="P22" s="81"/>
      <c r="Q22" s="26"/>
      <c r="R22" s="62"/>
      <c r="S22" s="67"/>
      <c r="T22" s="67">
        <f t="shared" si="3"/>
        <v>0</v>
      </c>
      <c r="U22" s="67"/>
      <c r="V22" s="67">
        <f t="shared" si="4"/>
        <v>0</v>
      </c>
      <c r="W22" s="67"/>
      <c r="X22" s="67">
        <v>0</v>
      </c>
      <c r="Y22" s="67">
        <f>Tabla13[[#This Row],[Importe total]]-Tabla13[[#This Row],[Iva]]</f>
        <v>0</v>
      </c>
      <c r="Z22" s="15" t="str">
        <f t="shared" si="0"/>
        <v/>
      </c>
      <c r="AA22" s="58" t="str">
        <f t="shared" si="1"/>
        <v/>
      </c>
      <c r="AB22" s="67"/>
      <c r="AC22" s="67"/>
      <c r="AD22" s="67"/>
      <c r="AE22" s="67" t="str">
        <f>IF(OR(Formulario!$G$7="",Tabla13[[#This Row],[Fecha factura]]="",""),"",VLOOKUP($G$7,'Descripciones de gastos'!D:E,2,FALSE))</f>
        <v/>
      </c>
      <c r="AF22" s="138">
        <f>VLOOKUP("IVA Compras Indirecto 22%.",'Descripciones de gastos'!G:H,2,FALSE)</f>
        <v>173033</v>
      </c>
      <c r="AG22" s="138">
        <f>VLOOKUP("IVA Compras Indirecto 10%.",'Descripciones de gastos'!G:H,2,FALSE)</f>
        <v>173034</v>
      </c>
      <c r="AH22" s="67" t="str">
        <f t="shared" si="2"/>
        <v/>
      </c>
      <c r="AI22" s="90"/>
      <c r="AK22" s="54"/>
    </row>
    <row r="23" spans="2:37" ht="15" customHeight="1" thickBot="1" x14ac:dyDescent="0.35">
      <c r="B23" s="6"/>
      <c r="C23" s="7"/>
      <c r="D23" s="89" t="str" cm="1">
        <f t="array" ref="D23">IF(Tabla13[[#This Row],[Importe total]]="","",SUM(IF(Tabla13[Importe total]&lt;&gt;"",1,0)*(ROW(Tabla13[Importe total])&lt;=ROW())))</f>
        <v/>
      </c>
      <c r="E23" s="130"/>
      <c r="F23" s="130"/>
      <c r="G23" s="58"/>
      <c r="H23" s="66"/>
      <c r="I23" s="66"/>
      <c r="J23" s="66"/>
      <c r="K23" s="13"/>
      <c r="L23" s="23"/>
      <c r="M23" s="36" t="str">
        <f>+IFERROR(VLOOKUP(L23,clave_PlanillaGastos_2024!$B$2:$C$17,2,FALSE),"-")</f>
        <v>-</v>
      </c>
      <c r="N23" s="23"/>
      <c r="O23" s="36" t="str">
        <f>+IFERROR(VLOOKUP(N23,clave_PlanillaGastos_2024!$B$20:$C$64,2,FALSE),"-")</f>
        <v>-</v>
      </c>
      <c r="P23" s="81"/>
      <c r="Q23" s="26"/>
      <c r="R23" s="62"/>
      <c r="S23" s="67"/>
      <c r="T23" s="67">
        <f t="shared" si="3"/>
        <v>0</v>
      </c>
      <c r="U23" s="67"/>
      <c r="V23" s="67">
        <f t="shared" si="4"/>
        <v>0</v>
      </c>
      <c r="W23" s="67"/>
      <c r="X23" s="67">
        <v>0</v>
      </c>
      <c r="Y23" s="67">
        <f>Tabla13[[#This Row],[Importe total]]-Tabla13[[#This Row],[Iva]]</f>
        <v>0</v>
      </c>
      <c r="Z23" s="15"/>
      <c r="AA23" s="58"/>
      <c r="AB23" s="67"/>
      <c r="AC23" s="67"/>
      <c r="AD23" s="67"/>
      <c r="AE23" s="67" t="str">
        <f>IF(OR(Formulario!$G$7="",Tabla13[[#This Row],[Fecha factura]]="",""),"",VLOOKUP($G$7,'Descripciones de gastos'!D:E,2,FALSE))</f>
        <v/>
      </c>
      <c r="AF23" s="138">
        <f>VLOOKUP("IVA Compras Indirecto 22%.",'Descripciones de gastos'!G:H,2,FALSE)</f>
        <v>173033</v>
      </c>
      <c r="AG23" s="138">
        <f>VLOOKUP("IVA Compras Indirecto 10%.",'Descripciones de gastos'!G:H,2,FALSE)</f>
        <v>173034</v>
      </c>
      <c r="AH23" s="67" t="str">
        <f t="shared" si="2"/>
        <v/>
      </c>
      <c r="AI23" s="90"/>
      <c r="AK23" s="54"/>
    </row>
    <row r="24" spans="2:37" ht="15" customHeight="1" thickBot="1" x14ac:dyDescent="0.35">
      <c r="B24" s="6"/>
      <c r="C24" s="7"/>
      <c r="D24" s="89" t="str" cm="1">
        <f t="array" ref="D24">IF(Tabla13[[#This Row],[Importe total]]="","",SUM(IF(Tabla13[Importe total]&lt;&gt;"",1,0)*(ROW(Tabla13[Importe total])&lt;=ROW())))</f>
        <v/>
      </c>
      <c r="E24" s="130"/>
      <c r="F24" s="130"/>
      <c r="G24" s="58"/>
      <c r="H24" s="66"/>
      <c r="I24" s="66"/>
      <c r="J24" s="66"/>
      <c r="K24" s="13"/>
      <c r="L24" s="23"/>
      <c r="M24" s="36" t="str">
        <f>+IFERROR(VLOOKUP(L24,clave_PlanillaGastos_2024!$B$2:$C$17,2,FALSE),"-")</f>
        <v>-</v>
      </c>
      <c r="N24" s="23"/>
      <c r="O24" s="36" t="str">
        <f>+IFERROR(VLOOKUP(N24,clave_PlanillaGastos_2024!$B$20:$C$64,2,FALSE),"-")</f>
        <v>-</v>
      </c>
      <c r="P24" s="81"/>
      <c r="Q24" s="26"/>
      <c r="R24" s="62"/>
      <c r="S24" s="67"/>
      <c r="T24" s="67">
        <f t="shared" si="3"/>
        <v>0</v>
      </c>
      <c r="U24" s="67"/>
      <c r="V24" s="67">
        <f t="shared" si="4"/>
        <v>0</v>
      </c>
      <c r="W24" s="67"/>
      <c r="X24" s="67">
        <v>0</v>
      </c>
      <c r="Y24" s="67">
        <f>Tabla13[[#This Row],[Importe total]]-Tabla13[[#This Row],[Iva]]</f>
        <v>0</v>
      </c>
      <c r="Z24" s="15"/>
      <c r="AA24" s="58"/>
      <c r="AB24" s="67"/>
      <c r="AC24" s="67"/>
      <c r="AD24" s="67"/>
      <c r="AE24" s="67" t="str">
        <f>IF(OR(Formulario!$G$7="",Tabla13[[#This Row],[Fecha factura]]="",""),"",VLOOKUP($G$7,'Descripciones de gastos'!D:E,2,FALSE))</f>
        <v/>
      </c>
      <c r="AF24" s="138">
        <f>VLOOKUP("IVA Compras Indirecto 22%.",'Descripciones de gastos'!G:H,2,FALSE)</f>
        <v>173033</v>
      </c>
      <c r="AG24" s="138">
        <f>VLOOKUP("IVA Compras Indirecto 10%.",'Descripciones de gastos'!G:H,2,FALSE)</f>
        <v>173034</v>
      </c>
      <c r="AH24" s="67" t="str">
        <f t="shared" si="2"/>
        <v/>
      </c>
      <c r="AI24" s="90"/>
      <c r="AK24" s="54"/>
    </row>
    <row r="25" spans="2:37" ht="15" customHeight="1" thickBot="1" x14ac:dyDescent="0.35">
      <c r="B25" s="6"/>
      <c r="C25" s="7"/>
      <c r="D25" s="89" t="str" cm="1">
        <f t="array" ref="D25">IF(Tabla13[[#This Row],[Importe total]]="","",SUM(IF(Tabla13[Importe total]&lt;&gt;"",1,0)*(ROW(Tabla13[Importe total])&lt;=ROW())))</f>
        <v/>
      </c>
      <c r="E25" s="130"/>
      <c r="F25" s="130"/>
      <c r="G25" s="58"/>
      <c r="H25" s="66"/>
      <c r="I25" s="66"/>
      <c r="J25" s="66"/>
      <c r="K25" s="13"/>
      <c r="L25" s="23"/>
      <c r="M25" s="36" t="str">
        <f>+IFERROR(VLOOKUP(L25,clave_PlanillaGastos_2024!$B$2:$C$17,2,FALSE),"-")</f>
        <v>-</v>
      </c>
      <c r="N25" s="23"/>
      <c r="O25" s="36" t="str">
        <f>+IFERROR(VLOOKUP(N25,clave_PlanillaGastos_2024!$B$20:$C$64,2,FALSE),"-")</f>
        <v>-</v>
      </c>
      <c r="P25" s="81"/>
      <c r="Q25" s="26"/>
      <c r="R25" s="62"/>
      <c r="S25" s="67"/>
      <c r="T25" s="67">
        <f t="shared" si="3"/>
        <v>0</v>
      </c>
      <c r="U25" s="67"/>
      <c r="V25" s="67">
        <f t="shared" si="4"/>
        <v>0</v>
      </c>
      <c r="W25" s="67"/>
      <c r="X25" s="67">
        <v>0</v>
      </c>
      <c r="Y25" s="67">
        <f>Tabla13[[#This Row],[Importe total]]-Tabla13[[#This Row],[Iva]]</f>
        <v>0</v>
      </c>
      <c r="Z25" s="15"/>
      <c r="AA25" s="58"/>
      <c r="AB25" s="67"/>
      <c r="AC25" s="67"/>
      <c r="AD25" s="67"/>
      <c r="AE25" s="67" t="str">
        <f>IF(OR(Formulario!$G$7="",Tabla13[[#This Row],[Fecha factura]]="",""),"",VLOOKUP($G$7,'Descripciones de gastos'!D:E,2,FALSE))</f>
        <v/>
      </c>
      <c r="AF25" s="138">
        <f>VLOOKUP("IVA Compras Indirecto 22%.",'Descripciones de gastos'!G:H,2,FALSE)</f>
        <v>173033</v>
      </c>
      <c r="AG25" s="138">
        <f>VLOOKUP("IVA Compras Indirecto 10%.",'Descripciones de gastos'!G:H,2,FALSE)</f>
        <v>173034</v>
      </c>
      <c r="AH25" s="67" t="str">
        <f t="shared" si="2"/>
        <v/>
      </c>
      <c r="AI25" s="90"/>
      <c r="AK25" s="54"/>
    </row>
    <row r="26" spans="2:37" ht="15" customHeight="1" thickBot="1" x14ac:dyDescent="0.35">
      <c r="B26" s="6"/>
      <c r="C26" s="7"/>
      <c r="D26" s="89" t="str" cm="1">
        <f t="array" ref="D26">IF(Tabla13[[#This Row],[Importe total]]="","",SUM(IF(Tabla13[Importe total]&lt;&gt;"",1,0)*(ROW(Tabla13[Importe total])&lt;=ROW())))</f>
        <v/>
      </c>
      <c r="E26" s="130"/>
      <c r="F26" s="130"/>
      <c r="G26" s="58"/>
      <c r="H26" s="66"/>
      <c r="I26" s="66"/>
      <c r="J26" s="66"/>
      <c r="K26" s="13"/>
      <c r="L26" s="23"/>
      <c r="M26" s="36" t="str">
        <f>+IFERROR(VLOOKUP(L26,clave_PlanillaGastos_2024!$B$2:$C$17,2,FALSE),"-")</f>
        <v>-</v>
      </c>
      <c r="N26" s="23"/>
      <c r="O26" s="36" t="str">
        <f>+IFERROR(VLOOKUP(N26,clave_PlanillaGastos_2024!$B$20:$C$64,2,FALSE),"-")</f>
        <v>-</v>
      </c>
      <c r="P26" s="81"/>
      <c r="Q26" s="26"/>
      <c r="R26" s="62"/>
      <c r="S26" s="67"/>
      <c r="T26" s="67">
        <f t="shared" si="3"/>
        <v>0</v>
      </c>
      <c r="U26" s="67"/>
      <c r="V26" s="67">
        <f t="shared" si="4"/>
        <v>0</v>
      </c>
      <c r="W26" s="67"/>
      <c r="X26" s="67">
        <v>0</v>
      </c>
      <c r="Y26" s="67">
        <f>Tabla13[[#This Row],[Importe total]]-Tabla13[[#This Row],[Iva]]</f>
        <v>0</v>
      </c>
      <c r="Z26" s="15"/>
      <c r="AA26" s="58"/>
      <c r="AB26" s="67"/>
      <c r="AC26" s="67"/>
      <c r="AD26" s="67"/>
      <c r="AE26" s="67" t="str">
        <f>IF(OR(Formulario!$G$7="",Tabla13[[#This Row],[Fecha factura]]="",""),"",VLOOKUP($G$7,'Descripciones de gastos'!D:E,2,FALSE))</f>
        <v/>
      </c>
      <c r="AF26" s="138">
        <f>VLOOKUP("IVA Compras Indirecto 22%.",'Descripciones de gastos'!G:H,2,FALSE)</f>
        <v>173033</v>
      </c>
      <c r="AG26" s="138">
        <f>VLOOKUP("IVA Compras Indirecto 10%.",'Descripciones de gastos'!G:H,2,FALSE)</f>
        <v>173034</v>
      </c>
      <c r="AH26" s="67" t="str">
        <f t="shared" si="2"/>
        <v/>
      </c>
      <c r="AI26" s="90"/>
      <c r="AK26" s="54"/>
    </row>
    <row r="27" spans="2:37" ht="15" customHeight="1" thickBot="1" x14ac:dyDescent="0.35">
      <c r="B27" s="6"/>
      <c r="C27" s="7"/>
      <c r="D27" s="89" t="str" cm="1">
        <f t="array" ref="D27">IF(Tabla13[[#This Row],[Importe total]]="","",SUM(IF(Tabla13[Importe total]&lt;&gt;"",1,0)*(ROW(Tabla13[Importe total])&lt;=ROW())))</f>
        <v/>
      </c>
      <c r="E27" s="130"/>
      <c r="F27" s="130"/>
      <c r="G27" s="58"/>
      <c r="H27" s="66"/>
      <c r="I27" s="66"/>
      <c r="J27" s="66"/>
      <c r="K27" s="13"/>
      <c r="L27" s="23"/>
      <c r="M27" s="36" t="str">
        <f>+IFERROR(VLOOKUP(L27,clave_PlanillaGastos_2024!$B$2:$C$17,2,FALSE),"-")</f>
        <v>-</v>
      </c>
      <c r="N27" s="23"/>
      <c r="O27" s="36" t="str">
        <f>+IFERROR(VLOOKUP(N27,clave_PlanillaGastos_2024!$B$20:$C$64,2,FALSE),"-")</f>
        <v>-</v>
      </c>
      <c r="P27" s="81"/>
      <c r="Q27" s="26"/>
      <c r="R27" s="62"/>
      <c r="S27" s="67"/>
      <c r="T27" s="67">
        <f t="shared" si="3"/>
        <v>0</v>
      </c>
      <c r="U27" s="67"/>
      <c r="V27" s="67">
        <f t="shared" si="4"/>
        <v>0</v>
      </c>
      <c r="W27" s="67"/>
      <c r="X27" s="67">
        <v>0</v>
      </c>
      <c r="Y27" s="67">
        <f>Tabla13[[#This Row],[Importe total]]-Tabla13[[#This Row],[Iva]]</f>
        <v>0</v>
      </c>
      <c r="Z27" s="15"/>
      <c r="AA27" s="58"/>
      <c r="AB27" s="67"/>
      <c r="AC27" s="67"/>
      <c r="AD27" s="67"/>
      <c r="AE27" s="67" t="str">
        <f>IF(OR(Formulario!$G$7="",Tabla13[[#This Row],[Fecha factura]]="",""),"",VLOOKUP($G$7,'Descripciones de gastos'!D:E,2,FALSE))</f>
        <v/>
      </c>
      <c r="AF27" s="138">
        <f>VLOOKUP("IVA Compras Indirecto 22%.",'Descripciones de gastos'!G:H,2,FALSE)</f>
        <v>173033</v>
      </c>
      <c r="AG27" s="138">
        <f>VLOOKUP("IVA Compras Indirecto 10%.",'Descripciones de gastos'!G:H,2,FALSE)</f>
        <v>173034</v>
      </c>
      <c r="AH27" s="67" t="str">
        <f t="shared" si="2"/>
        <v/>
      </c>
      <c r="AI27" s="90"/>
      <c r="AK27" s="54"/>
    </row>
    <row r="28" spans="2:37" ht="15" customHeight="1" thickBot="1" x14ac:dyDescent="0.35">
      <c r="B28" s="6"/>
      <c r="C28" s="7"/>
      <c r="D28" s="89" t="str" cm="1">
        <f t="array" ref="D28">IF(Tabla13[[#This Row],[Importe total]]="","",SUM(IF(Tabla13[Importe total]&lt;&gt;"",1,0)*(ROW(Tabla13[Importe total])&lt;=ROW())))</f>
        <v/>
      </c>
      <c r="E28" s="130"/>
      <c r="F28" s="130"/>
      <c r="G28" s="58"/>
      <c r="H28" s="66"/>
      <c r="I28" s="66"/>
      <c r="J28" s="66"/>
      <c r="K28" s="13"/>
      <c r="L28" s="23"/>
      <c r="M28" s="36" t="str">
        <f>+IFERROR(VLOOKUP(L28,clave_PlanillaGastos_2024!$B$2:$C$17,2,FALSE),"-")</f>
        <v>-</v>
      </c>
      <c r="N28" s="23"/>
      <c r="O28" s="36" t="str">
        <f>+IFERROR(VLOOKUP(N28,clave_PlanillaGastos_2024!$B$20:$C$64,2,FALSE),"-")</f>
        <v>-</v>
      </c>
      <c r="P28" s="81"/>
      <c r="Q28" s="26"/>
      <c r="R28" s="62"/>
      <c r="S28" s="67"/>
      <c r="T28" s="67">
        <f t="shared" si="3"/>
        <v>0</v>
      </c>
      <c r="U28" s="67"/>
      <c r="V28" s="67">
        <f t="shared" si="4"/>
        <v>0</v>
      </c>
      <c r="W28" s="67"/>
      <c r="X28" s="67">
        <v>0</v>
      </c>
      <c r="Y28" s="67">
        <f>Tabla13[[#This Row],[Importe total]]-Tabla13[[#This Row],[Iva]]</f>
        <v>0</v>
      </c>
      <c r="Z28" s="15"/>
      <c r="AA28" s="58"/>
      <c r="AB28" s="67"/>
      <c r="AC28" s="67"/>
      <c r="AD28" s="67"/>
      <c r="AE28" s="67" t="str">
        <f>IF(OR(Formulario!$G$7="",Tabla13[[#This Row],[Fecha factura]]="",""),"",VLOOKUP($G$7,'Descripciones de gastos'!D:E,2,FALSE))</f>
        <v/>
      </c>
      <c r="AF28" s="138">
        <f>VLOOKUP("IVA Compras Indirecto 22%.",'Descripciones de gastos'!G:H,2,FALSE)</f>
        <v>173033</v>
      </c>
      <c r="AG28" s="138">
        <f>VLOOKUP("IVA Compras Indirecto 10%.",'Descripciones de gastos'!G:H,2,FALSE)</f>
        <v>173034</v>
      </c>
      <c r="AH28" s="67" t="str">
        <f t="shared" si="2"/>
        <v/>
      </c>
      <c r="AI28" s="90"/>
      <c r="AK28" s="54"/>
    </row>
    <row r="29" spans="2:37" ht="15" customHeight="1" thickBot="1" x14ac:dyDescent="0.35">
      <c r="B29" s="6"/>
      <c r="C29" s="7"/>
      <c r="D29" s="89" t="str" cm="1">
        <f t="array" ref="D29">IF(Tabla13[[#This Row],[Importe total]]="","",SUM(IF(Tabla13[Importe total]&lt;&gt;"",1,0)*(ROW(Tabla13[Importe total])&lt;=ROW())))</f>
        <v/>
      </c>
      <c r="E29" s="130"/>
      <c r="F29" s="130"/>
      <c r="G29" s="58"/>
      <c r="H29" s="66"/>
      <c r="I29" s="66"/>
      <c r="J29" s="66"/>
      <c r="K29" s="13"/>
      <c r="L29" s="23"/>
      <c r="M29" s="36" t="str">
        <f>+IFERROR(VLOOKUP(L29,clave_PlanillaGastos_2024!$B$2:$C$17,2,FALSE),"-")</f>
        <v>-</v>
      </c>
      <c r="N29" s="23"/>
      <c r="O29" s="36" t="str">
        <f>+IFERROR(VLOOKUP(N29,clave_PlanillaGastos_2024!$B$20:$C$64,2,FALSE),"-")</f>
        <v>-</v>
      </c>
      <c r="P29" s="81"/>
      <c r="Q29" s="26"/>
      <c r="R29" s="62"/>
      <c r="S29" s="67"/>
      <c r="T29" s="67">
        <f t="shared" si="3"/>
        <v>0</v>
      </c>
      <c r="U29" s="67"/>
      <c r="V29" s="67">
        <f t="shared" si="4"/>
        <v>0</v>
      </c>
      <c r="W29" s="67"/>
      <c r="X29" s="67">
        <v>0</v>
      </c>
      <c r="Y29" s="67">
        <f>Tabla13[[#This Row],[Importe total]]-Tabla13[[#This Row],[Iva]]</f>
        <v>0</v>
      </c>
      <c r="Z29" s="15"/>
      <c r="AA29" s="58"/>
      <c r="AB29" s="67"/>
      <c r="AC29" s="67"/>
      <c r="AD29" s="67"/>
      <c r="AE29" s="67" t="str">
        <f>IF(OR(Formulario!$G$7="",Tabla13[[#This Row],[Fecha factura]]="",""),"",VLOOKUP($G$7,'Descripciones de gastos'!D:E,2,FALSE))</f>
        <v/>
      </c>
      <c r="AF29" s="138">
        <f>VLOOKUP("IVA Compras Indirecto 22%.",'Descripciones de gastos'!G:H,2,FALSE)</f>
        <v>173033</v>
      </c>
      <c r="AG29" s="138">
        <f>VLOOKUP("IVA Compras Indirecto 10%.",'Descripciones de gastos'!G:H,2,FALSE)</f>
        <v>173034</v>
      </c>
      <c r="AH29" s="67" t="str">
        <f t="shared" si="2"/>
        <v/>
      </c>
      <c r="AI29" s="90"/>
      <c r="AK29" s="54"/>
    </row>
    <row r="30" spans="2:37" ht="15" customHeight="1" thickBot="1" x14ac:dyDescent="0.35">
      <c r="B30" s="6"/>
      <c r="C30" s="7"/>
      <c r="D30" s="89" t="str" cm="1">
        <f t="array" ref="D30">IF(Tabla13[[#This Row],[Importe total]]="","",SUM(IF(Tabla13[Importe total]&lt;&gt;"",1,0)*(ROW(Tabla13[Importe total])&lt;=ROW())))</f>
        <v/>
      </c>
      <c r="E30" s="130"/>
      <c r="F30" s="130"/>
      <c r="G30" s="58"/>
      <c r="H30" s="66"/>
      <c r="I30" s="66"/>
      <c r="J30" s="66"/>
      <c r="K30" s="13"/>
      <c r="L30" s="23"/>
      <c r="M30" s="36" t="str">
        <f>+IFERROR(VLOOKUP(L30,clave_PlanillaGastos_2024!$B$2:$C$17,2,FALSE),"-")</f>
        <v>-</v>
      </c>
      <c r="N30" s="23"/>
      <c r="O30" s="36" t="str">
        <f>+IFERROR(VLOOKUP(N30,clave_PlanillaGastos_2024!$B$20:$C$64,2,FALSE),"-")</f>
        <v>-</v>
      </c>
      <c r="P30" s="81"/>
      <c r="Q30" s="26"/>
      <c r="R30" s="62"/>
      <c r="S30" s="67"/>
      <c r="T30" s="67">
        <f t="shared" si="3"/>
        <v>0</v>
      </c>
      <c r="U30" s="67"/>
      <c r="V30" s="67">
        <f t="shared" si="4"/>
        <v>0</v>
      </c>
      <c r="W30" s="67"/>
      <c r="X30" s="67">
        <v>0</v>
      </c>
      <c r="Y30" s="67">
        <f>Tabla13[[#This Row],[Importe total]]-Tabla13[[#This Row],[Iva]]</f>
        <v>0</v>
      </c>
      <c r="Z30" s="15" t="str">
        <f t="shared" ref="Z30:Z35" si="5">IF(OR(I30="",J30=""),"",IF(OR(I30="No",J30="Si"),"E0","A0"))</f>
        <v/>
      </c>
      <c r="AA30" s="58" t="str">
        <f t="shared" ref="AA30:AA35" si="6">IF(G30&lt;&gt;"","KR",IF(AND(G30="",P30&lt;&gt;""),"SA",""))</f>
        <v/>
      </c>
      <c r="AB30" s="67"/>
      <c r="AC30" s="67"/>
      <c r="AD30" s="67"/>
      <c r="AE30" s="67" t="str">
        <f>IF(OR(Formulario!$G$7="",Tabla13[[#This Row],[Fecha factura]]="",""),"",VLOOKUP($G$7,'Descripciones de gastos'!D:E,2,FALSE))</f>
        <v/>
      </c>
      <c r="AF30" s="138">
        <f>VLOOKUP("IVA Compras Indirecto 22%.",'Descripciones de gastos'!G:H,2,FALSE)</f>
        <v>173033</v>
      </c>
      <c r="AG30" s="138">
        <f>VLOOKUP("IVA Compras Indirecto 10%.",'Descripciones de gastos'!G:H,2,FALSE)</f>
        <v>173034</v>
      </c>
      <c r="AH30" s="67" t="str">
        <f t="shared" si="2"/>
        <v/>
      </c>
      <c r="AI30" s="90"/>
      <c r="AK30" s="54"/>
    </row>
    <row r="31" spans="2:37" ht="15" customHeight="1" thickBot="1" x14ac:dyDescent="0.35">
      <c r="B31" s="6"/>
      <c r="C31" s="7"/>
      <c r="D31" s="89" t="str" cm="1">
        <f t="array" ref="D31">IF(Tabla13[[#This Row],[Importe total]]="","",SUM(IF(Tabla13[Importe total]&lt;&gt;"",1,0)*(ROW(Tabla13[Importe total])&lt;=ROW())))</f>
        <v/>
      </c>
      <c r="E31" s="130"/>
      <c r="F31" s="130"/>
      <c r="G31" s="58"/>
      <c r="H31" s="66"/>
      <c r="I31" s="66"/>
      <c r="J31" s="66"/>
      <c r="K31" s="13"/>
      <c r="L31" s="23"/>
      <c r="M31" s="36" t="str">
        <f>+IFERROR(VLOOKUP(L31,clave_PlanillaGastos_2024!$B$2:$C$17,2,FALSE),"-")</f>
        <v>-</v>
      </c>
      <c r="N31" s="23"/>
      <c r="O31" s="36" t="str">
        <f>+IFERROR(VLOOKUP(N31,clave_PlanillaGastos_2024!$B$20:$C$64,2,FALSE),"-")</f>
        <v>-</v>
      </c>
      <c r="P31" s="81"/>
      <c r="Q31" s="26"/>
      <c r="R31" s="62"/>
      <c r="S31" s="67"/>
      <c r="T31" s="67">
        <f t="shared" si="3"/>
        <v>0</v>
      </c>
      <c r="U31" s="67"/>
      <c r="V31" s="67">
        <f t="shared" si="4"/>
        <v>0</v>
      </c>
      <c r="W31" s="67"/>
      <c r="X31" s="67">
        <v>0</v>
      </c>
      <c r="Y31" s="67">
        <f>Tabla13[[#This Row],[Importe total]]-Tabla13[[#This Row],[Iva]]</f>
        <v>0</v>
      </c>
      <c r="Z31" s="15" t="str">
        <f t="shared" si="5"/>
        <v/>
      </c>
      <c r="AA31" s="58" t="str">
        <f t="shared" si="6"/>
        <v/>
      </c>
      <c r="AB31" s="67"/>
      <c r="AC31" s="67"/>
      <c r="AD31" s="67"/>
      <c r="AE31" s="67" t="str">
        <f>IF(OR(Formulario!$G$7="",Tabla13[[#This Row],[Fecha factura]]="",""),"",VLOOKUP($G$7,'Descripciones de gastos'!D:E,2,FALSE))</f>
        <v/>
      </c>
      <c r="AF31" s="138">
        <f>VLOOKUP("IVA Compras Indirecto 22%.",'Descripciones de gastos'!G:H,2,FALSE)</f>
        <v>173033</v>
      </c>
      <c r="AG31" s="138">
        <f>VLOOKUP("IVA Compras Indirecto 10%.",'Descripciones de gastos'!G:H,2,FALSE)</f>
        <v>173034</v>
      </c>
      <c r="AH31" s="67" t="str">
        <f t="shared" si="2"/>
        <v/>
      </c>
      <c r="AI31" s="90"/>
      <c r="AK31" s="54"/>
    </row>
    <row r="32" spans="2:37" ht="15" customHeight="1" thickBot="1" x14ac:dyDescent="0.35">
      <c r="B32" s="6"/>
      <c r="C32" s="7"/>
      <c r="D32" s="89" t="str" cm="1">
        <f t="array" ref="D32">IF(Tabla13[[#This Row],[Importe total]]="","",SUM(IF(Tabla13[Importe total]&lt;&gt;"",1,0)*(ROW(Tabla13[Importe total])&lt;=ROW())))</f>
        <v/>
      </c>
      <c r="E32" s="130"/>
      <c r="F32" s="130"/>
      <c r="G32" s="58"/>
      <c r="H32" s="66"/>
      <c r="I32" s="66"/>
      <c r="J32" s="66"/>
      <c r="K32" s="13"/>
      <c r="L32" s="23"/>
      <c r="M32" s="36" t="str">
        <f>+IFERROR(VLOOKUP(L32,clave_PlanillaGastos_2024!$B$2:$C$17,2,FALSE),"-")</f>
        <v>-</v>
      </c>
      <c r="N32" s="23"/>
      <c r="O32" s="36" t="str">
        <f>+IFERROR(VLOOKUP(N32,clave_PlanillaGastos_2024!$B$20:$C$64,2,FALSE),"-")</f>
        <v>-</v>
      </c>
      <c r="P32" s="81"/>
      <c r="Q32" s="26"/>
      <c r="R32" s="62"/>
      <c r="S32" s="67"/>
      <c r="T32" s="67">
        <f t="shared" si="3"/>
        <v>0</v>
      </c>
      <c r="U32" s="67"/>
      <c r="V32" s="67">
        <f t="shared" si="4"/>
        <v>0</v>
      </c>
      <c r="W32" s="67"/>
      <c r="X32" s="67">
        <v>0</v>
      </c>
      <c r="Y32" s="67">
        <f>Tabla13[[#This Row],[Importe total]]-Tabla13[[#This Row],[Iva]]</f>
        <v>0</v>
      </c>
      <c r="Z32" s="15" t="str">
        <f t="shared" si="5"/>
        <v/>
      </c>
      <c r="AA32" s="58" t="str">
        <f t="shared" si="6"/>
        <v/>
      </c>
      <c r="AB32" s="67"/>
      <c r="AC32" s="67"/>
      <c r="AD32" s="67"/>
      <c r="AE32" s="67" t="str">
        <f>IF(OR(Formulario!$G$7="",Tabla13[[#This Row],[Fecha factura]]="",""),"",VLOOKUP($G$7,'Descripciones de gastos'!D:E,2,FALSE))</f>
        <v/>
      </c>
      <c r="AF32" s="138">
        <f>VLOOKUP("IVA Compras Indirecto 22%.",'Descripciones de gastos'!G:H,2,FALSE)</f>
        <v>173033</v>
      </c>
      <c r="AG32" s="138">
        <f>VLOOKUP("IVA Compras Indirecto 10%.",'Descripciones de gastos'!G:H,2,FALSE)</f>
        <v>173034</v>
      </c>
      <c r="AH32" s="67" t="str">
        <f t="shared" si="2"/>
        <v/>
      </c>
      <c r="AI32" s="90"/>
      <c r="AK32" s="54"/>
    </row>
    <row r="33" spans="2:37" ht="15" customHeight="1" thickBot="1" x14ac:dyDescent="0.35">
      <c r="B33" s="6"/>
      <c r="C33" s="7"/>
      <c r="D33" s="89" t="str" cm="1">
        <f t="array" ref="D33">IF(Tabla13[[#This Row],[Importe total]]="","",SUM(IF(Tabla13[Importe total]&lt;&gt;"",1,0)*(ROW(Tabla13[Importe total])&lt;=ROW())))</f>
        <v/>
      </c>
      <c r="E33" s="130"/>
      <c r="F33" s="130"/>
      <c r="G33" s="58"/>
      <c r="H33" s="66"/>
      <c r="I33" s="66"/>
      <c r="J33" s="66"/>
      <c r="K33" s="13"/>
      <c r="L33" s="23"/>
      <c r="M33" s="36" t="str">
        <f>+IFERROR(VLOOKUP(L33,clave_PlanillaGastos_2024!$B$2:$C$17,2,FALSE),"-")</f>
        <v>-</v>
      </c>
      <c r="N33" s="23"/>
      <c r="O33" s="36" t="str">
        <f>+IFERROR(VLOOKUP(N33,clave_PlanillaGastos_2024!$B$20:$C$64,2,FALSE),"-")</f>
        <v>-</v>
      </c>
      <c r="P33" s="81"/>
      <c r="Q33" s="26"/>
      <c r="R33" s="62"/>
      <c r="S33" s="67"/>
      <c r="T33" s="67">
        <f t="shared" si="3"/>
        <v>0</v>
      </c>
      <c r="U33" s="67"/>
      <c r="V33" s="67">
        <f t="shared" si="4"/>
        <v>0</v>
      </c>
      <c r="W33" s="67"/>
      <c r="X33" s="67">
        <v>0</v>
      </c>
      <c r="Y33" s="67">
        <f>Tabla13[[#This Row],[Importe total]]-Tabla13[[#This Row],[Iva]]</f>
        <v>0</v>
      </c>
      <c r="Z33" s="15" t="str">
        <f t="shared" si="5"/>
        <v/>
      </c>
      <c r="AA33" s="58" t="str">
        <f t="shared" si="6"/>
        <v/>
      </c>
      <c r="AB33" s="67"/>
      <c r="AC33" s="67"/>
      <c r="AD33" s="67"/>
      <c r="AE33" s="67" t="str">
        <f>IF(OR(Formulario!$G$7="",Tabla13[[#This Row],[Fecha factura]]="",""),"",VLOOKUP($G$7,'Descripciones de gastos'!D:E,2,FALSE))</f>
        <v/>
      </c>
      <c r="AF33" s="138">
        <f>VLOOKUP("IVA Compras Indirecto 22%.",'Descripciones de gastos'!G:H,2,FALSE)</f>
        <v>173033</v>
      </c>
      <c r="AG33" s="138">
        <f>VLOOKUP("IVA Compras Indirecto 10%.",'Descripciones de gastos'!G:H,2,FALSE)</f>
        <v>173034</v>
      </c>
      <c r="AH33" s="67" t="str">
        <f t="shared" si="2"/>
        <v/>
      </c>
      <c r="AI33" s="90"/>
      <c r="AK33" s="54"/>
    </row>
    <row r="34" spans="2:37" ht="15" customHeight="1" thickBot="1" x14ac:dyDescent="0.35">
      <c r="B34" s="6"/>
      <c r="C34" s="7"/>
      <c r="D34" s="89" t="str" cm="1">
        <f t="array" ref="D34">IF(Tabla13[[#This Row],[Importe total]]="","",SUM(IF(Tabla13[Importe total]&lt;&gt;"",1,0)*(ROW(Tabla13[Importe total])&lt;=ROW())))</f>
        <v/>
      </c>
      <c r="E34" s="130"/>
      <c r="F34" s="130"/>
      <c r="G34" s="58"/>
      <c r="H34" s="66"/>
      <c r="I34" s="66"/>
      <c r="J34" s="66"/>
      <c r="K34" s="13"/>
      <c r="L34" s="23"/>
      <c r="M34" s="36" t="str">
        <f>+IFERROR(VLOOKUP(L34,clave_PlanillaGastos_2024!$B$2:$C$17,2,FALSE),"-")</f>
        <v>-</v>
      </c>
      <c r="N34" s="23"/>
      <c r="O34" s="36" t="str">
        <f>+IFERROR(VLOOKUP(N34,clave_PlanillaGastos_2024!$B$20:$C$64,2,FALSE),"-")</f>
        <v>-</v>
      </c>
      <c r="P34" s="81"/>
      <c r="Q34" s="26"/>
      <c r="R34" s="62"/>
      <c r="S34" s="67"/>
      <c r="T34" s="67">
        <f t="shared" si="3"/>
        <v>0</v>
      </c>
      <c r="U34" s="67"/>
      <c r="V34" s="67">
        <f t="shared" si="4"/>
        <v>0</v>
      </c>
      <c r="W34" s="67"/>
      <c r="X34" s="67">
        <v>0</v>
      </c>
      <c r="Y34" s="67">
        <f>Tabla13[[#This Row],[Importe total]]-Tabla13[[#This Row],[Iva]]</f>
        <v>0</v>
      </c>
      <c r="Z34" s="15" t="str">
        <f t="shared" si="5"/>
        <v/>
      </c>
      <c r="AA34" s="58" t="str">
        <f t="shared" si="6"/>
        <v/>
      </c>
      <c r="AB34" s="67"/>
      <c r="AC34" s="67"/>
      <c r="AD34" s="67"/>
      <c r="AE34" s="67" t="str">
        <f>IF(OR(Formulario!$G$7="",Tabla13[[#This Row],[Fecha factura]]="",""),"",VLOOKUP($G$7,'Descripciones de gastos'!D:E,2,FALSE))</f>
        <v/>
      </c>
      <c r="AF34" s="138">
        <f>VLOOKUP("IVA Compras Indirecto 22%.",'Descripciones de gastos'!G:H,2,FALSE)</f>
        <v>173033</v>
      </c>
      <c r="AG34" s="138">
        <f>VLOOKUP("IVA Compras Indirecto 10%.",'Descripciones de gastos'!G:H,2,FALSE)</f>
        <v>173034</v>
      </c>
      <c r="AH34" s="67" t="str">
        <f t="shared" si="2"/>
        <v/>
      </c>
      <c r="AI34" s="90"/>
      <c r="AK34" s="54"/>
    </row>
    <row r="35" spans="2:37" ht="15" customHeight="1" thickBot="1" x14ac:dyDescent="0.35">
      <c r="B35" s="6"/>
      <c r="C35" s="7"/>
      <c r="D35" s="89" t="str" cm="1">
        <f t="array" ref="D35">IF(Tabla13[[#This Row],[Importe total]]="","",SUM(IF(Tabla13[Importe total]&lt;&gt;"",1,0)*(ROW(Tabla13[Importe total])&lt;=ROW())))</f>
        <v/>
      </c>
      <c r="E35" s="130"/>
      <c r="F35" s="130"/>
      <c r="G35" s="58"/>
      <c r="H35" s="66"/>
      <c r="I35" s="66"/>
      <c r="J35" s="66"/>
      <c r="K35" s="13"/>
      <c r="L35" s="23"/>
      <c r="M35" s="36" t="str">
        <f>+IFERROR(VLOOKUP(L35,clave_PlanillaGastos_2024!$B$2:$C$17,2,FALSE),"-")</f>
        <v>-</v>
      </c>
      <c r="N35" s="23"/>
      <c r="O35" s="36" t="str">
        <f>+IFERROR(VLOOKUP(N35,clave_PlanillaGastos_2024!$B$20:$C$64,2,FALSE),"-")</f>
        <v>-</v>
      </c>
      <c r="P35" s="81"/>
      <c r="Q35" s="26"/>
      <c r="R35" s="62"/>
      <c r="S35" s="67"/>
      <c r="T35" s="67">
        <f t="shared" si="3"/>
        <v>0</v>
      </c>
      <c r="U35" s="67"/>
      <c r="V35" s="67">
        <f t="shared" si="4"/>
        <v>0</v>
      </c>
      <c r="W35" s="67"/>
      <c r="X35" s="67">
        <v>0</v>
      </c>
      <c r="Y35" s="67">
        <f>Tabla13[[#This Row],[Importe total]]-Tabla13[[#This Row],[Iva]]</f>
        <v>0</v>
      </c>
      <c r="Z35" s="15" t="str">
        <f t="shared" si="5"/>
        <v/>
      </c>
      <c r="AA35" s="58" t="str">
        <f t="shared" si="6"/>
        <v/>
      </c>
      <c r="AB35" s="67"/>
      <c r="AC35" s="67"/>
      <c r="AD35" s="67"/>
      <c r="AE35" s="67" t="str">
        <f>IF(OR(Formulario!$G$7="",Tabla13[[#This Row],[Fecha factura]]="",""),"",VLOOKUP($G$7,'Descripciones de gastos'!D:E,2,FALSE))</f>
        <v/>
      </c>
      <c r="AF35" s="138">
        <f>VLOOKUP("IVA Compras Indirecto 22%.",'Descripciones de gastos'!G:H,2,FALSE)</f>
        <v>173033</v>
      </c>
      <c r="AG35" s="138">
        <f>VLOOKUP("IVA Compras Indirecto 10%.",'Descripciones de gastos'!G:H,2,FALSE)</f>
        <v>173034</v>
      </c>
      <c r="AH35" s="67" t="str">
        <f t="shared" si="2"/>
        <v/>
      </c>
      <c r="AI35" s="90"/>
      <c r="AK35" s="54"/>
    </row>
    <row r="36" spans="2:37" ht="15" customHeight="1" thickBot="1" x14ac:dyDescent="0.35">
      <c r="B36" s="6"/>
      <c r="C36" s="7"/>
      <c r="D36" s="89" t="str" cm="1">
        <f t="array" ref="D36">IF(Tabla13[[#This Row],[Importe total]]="","",SUM(IF(Tabla13[Importe total]&lt;&gt;"",1,0)*(ROW(Tabla13[Importe total])&lt;=ROW())))</f>
        <v/>
      </c>
      <c r="E36" s="130"/>
      <c r="F36" s="130"/>
      <c r="G36" s="58"/>
      <c r="H36" s="66"/>
      <c r="I36" s="66"/>
      <c r="J36" s="66"/>
      <c r="K36" s="13"/>
      <c r="L36" s="23"/>
      <c r="M36" s="36" t="str">
        <f>+IFERROR(VLOOKUP(L36,clave_PlanillaGastos_2024!$B$2:$C$17,2,FALSE),"-")</f>
        <v>-</v>
      </c>
      <c r="N36" s="23"/>
      <c r="O36" s="36" t="str">
        <f>+IFERROR(VLOOKUP(N36,clave_PlanillaGastos_2024!$B$20:$C$64,2,FALSE),"-")</f>
        <v>-</v>
      </c>
      <c r="P36" s="81"/>
      <c r="Q36" s="26"/>
      <c r="R36" s="62"/>
      <c r="S36" s="67"/>
      <c r="T36" s="67">
        <f>S36*0.22</f>
        <v>0</v>
      </c>
      <c r="U36" s="67"/>
      <c r="V36" s="67">
        <f>U36*0.1</f>
        <v>0</v>
      </c>
      <c r="W36" s="67"/>
      <c r="X36" s="67">
        <v>0</v>
      </c>
      <c r="Y36" s="67">
        <f>Tabla13[[#This Row],[Importe total]]-Tabla13[[#This Row],[Iva]]</f>
        <v>0</v>
      </c>
      <c r="Z36" s="15" t="str">
        <f>IF(OR(I36="",J36=""),"",IF(OR(I36="No",J36="Si"),"E0","A0"))</f>
        <v/>
      </c>
      <c r="AA36" s="58" t="str">
        <f>IF(G36&lt;&gt;"","KR",IF(AND(G36="",P36&lt;&gt;""),"SA",""))</f>
        <v/>
      </c>
      <c r="AB36" s="67"/>
      <c r="AC36" s="67"/>
      <c r="AD36" s="67"/>
      <c r="AE36" s="67" t="str">
        <f>IF(OR(Formulario!$G$7="",Tabla13[[#This Row],[Fecha factura]]="",""),"",VLOOKUP($G$7,'Descripciones de gastos'!D:E,2,FALSE))</f>
        <v/>
      </c>
      <c r="AF36" s="138">
        <f>VLOOKUP("IVA Compras Indirecto 22%.",'Descripciones de gastos'!G:H,2,FALSE)</f>
        <v>173033</v>
      </c>
      <c r="AG36" s="138">
        <f>VLOOKUP("IVA Compras Indirecto 10%.",'Descripciones de gastos'!G:H,2,FALSE)</f>
        <v>173034</v>
      </c>
      <c r="AH36" s="67" t="str">
        <f t="shared" si="2"/>
        <v/>
      </c>
      <c r="AI36" s="90"/>
      <c r="AK36" s="54"/>
    </row>
    <row r="37" spans="2:37" ht="15" customHeight="1" thickBot="1" x14ac:dyDescent="0.35">
      <c r="B37" s="6"/>
      <c r="C37" s="7"/>
      <c r="D37" s="89" t="str" cm="1">
        <f t="array" ref="D37">IF(Tabla13[[#This Row],[Importe total]]="","",SUM(IF(Tabla13[Importe total]&lt;&gt;"",1,0)*(ROW(Tabla13[Importe total])&lt;=ROW())))</f>
        <v/>
      </c>
      <c r="E37" s="130"/>
      <c r="F37" s="130"/>
      <c r="G37" s="58"/>
      <c r="H37" s="66"/>
      <c r="I37" s="66"/>
      <c r="J37" s="66"/>
      <c r="K37" s="13"/>
      <c r="L37" s="23"/>
      <c r="M37" s="36" t="str">
        <f>+IFERROR(VLOOKUP(L37,clave_PlanillaGastos_2024!$B$2:$C$17,2,FALSE),"-")</f>
        <v>-</v>
      </c>
      <c r="N37" s="23"/>
      <c r="O37" s="36" t="str">
        <f>+IFERROR(VLOOKUP(N37,clave_PlanillaGastos_2024!$B$20:$C$64,2,FALSE),"-")</f>
        <v>-</v>
      </c>
      <c r="P37" s="81"/>
      <c r="Q37" s="26"/>
      <c r="R37" s="62"/>
      <c r="S37" s="67"/>
      <c r="T37" s="67">
        <f>S37*0.22</f>
        <v>0</v>
      </c>
      <c r="U37" s="67"/>
      <c r="V37" s="67">
        <f>U37*0.1</f>
        <v>0</v>
      </c>
      <c r="W37" s="67"/>
      <c r="X37" s="67">
        <v>0</v>
      </c>
      <c r="Y37" s="67">
        <f>Tabla13[[#This Row],[Importe total]]-Tabla13[[#This Row],[Iva]]</f>
        <v>0</v>
      </c>
      <c r="Z37" s="15" t="str">
        <f>IF(OR(I37="",J37=""),"",IF(OR(I37="No",J37="Si"),"E0","A0"))</f>
        <v/>
      </c>
      <c r="AA37" s="58" t="str">
        <f>IF(G37&lt;&gt;"","KR",IF(AND(G37="",P37&lt;&gt;""),"SA",""))</f>
        <v/>
      </c>
      <c r="AB37" s="67"/>
      <c r="AC37" s="67"/>
      <c r="AD37" s="67"/>
      <c r="AE37" s="67" t="str">
        <f>IF(OR(Formulario!$G$7="",Tabla13[[#This Row],[Fecha factura]]="",""),"",VLOOKUP($G$7,'Descripciones de gastos'!D:E,2,FALSE))</f>
        <v/>
      </c>
      <c r="AF37" s="138">
        <f>VLOOKUP("IVA Compras Indirecto 22%.",'Descripciones de gastos'!G:H,2,FALSE)</f>
        <v>173033</v>
      </c>
      <c r="AG37" s="138">
        <f>VLOOKUP("IVA Compras Indirecto 10%.",'Descripciones de gastos'!G:H,2,FALSE)</f>
        <v>173034</v>
      </c>
      <c r="AH37" s="67" t="str">
        <f t="shared" si="2"/>
        <v/>
      </c>
      <c r="AI37" s="90"/>
      <c r="AK37" s="54"/>
    </row>
    <row r="38" spans="2:37" ht="15" customHeight="1" thickBot="1" x14ac:dyDescent="0.35">
      <c r="B38" s="6"/>
      <c r="C38" s="7"/>
      <c r="D38" s="89" t="str" cm="1">
        <f t="array" ref="D38">IF(Tabla13[[#This Row],[Importe total]]="","",SUM(IF(Tabla13[Importe total]&lt;&gt;"",1,0)*(ROW(Tabla13[Importe total])&lt;=ROW())))</f>
        <v/>
      </c>
      <c r="E38" s="131"/>
      <c r="F38" s="131"/>
      <c r="G38" s="95"/>
      <c r="H38" s="96"/>
      <c r="I38" s="96"/>
      <c r="J38" s="96"/>
      <c r="K38" s="94"/>
      <c r="L38" s="97"/>
      <c r="M38" s="98" t="str">
        <f>+IFERROR(VLOOKUP(L38,clave_PlanillaGastos_2024!$B$2:$C$17,2,FALSE),"-")</f>
        <v>-</v>
      </c>
      <c r="N38" s="97"/>
      <c r="O38" s="98" t="str">
        <f>+IFERROR(VLOOKUP(N38,clave_PlanillaGastos_2024!$B$20:$C$64,2,FALSE),"-")</f>
        <v>-</v>
      </c>
      <c r="P38" s="99"/>
      <c r="Q38" s="100"/>
      <c r="R38" s="101"/>
      <c r="S38" s="102"/>
      <c r="T38" s="102">
        <f t="shared" ref="T38" si="7">S38*0.22</f>
        <v>0</v>
      </c>
      <c r="U38" s="102"/>
      <c r="V38" s="102">
        <f t="shared" ref="V38" si="8">U38*0.1</f>
        <v>0</v>
      </c>
      <c r="W38" s="102"/>
      <c r="X38" s="102">
        <v>0</v>
      </c>
      <c r="Y38" s="67">
        <f>Tabla13[[#This Row],[Importe total]]-Tabla13[[#This Row],[Iva]]</f>
        <v>0</v>
      </c>
      <c r="Z38" s="103" t="str">
        <f t="shared" ref="Z38" si="9">IF(OR(I38="",J38=""),"",IF(OR(I38="No",J38="Si"),"E0","A0"))</f>
        <v/>
      </c>
      <c r="AA38" s="95" t="str">
        <f t="shared" ref="AA38" si="10">IF(G38&lt;&gt;"","KR",IF(AND(G38="",P38&lt;&gt;""),"SA",""))</f>
        <v/>
      </c>
      <c r="AB38" s="102"/>
      <c r="AC38" s="102"/>
      <c r="AD38" s="102"/>
      <c r="AE38" s="67" t="str">
        <f>IF(OR(Formulario!$G$7="",Tabla13[[#This Row],[Fecha factura]]="",""),"",VLOOKUP($G$7,'Descripciones de gastos'!D:E,2,FALSE))</f>
        <v/>
      </c>
      <c r="AF38" s="138">
        <f>VLOOKUP("IVA Compras Indirecto 22%.",'Descripciones de gastos'!G:H,2,FALSE)</f>
        <v>173033</v>
      </c>
      <c r="AG38" s="138">
        <f>VLOOKUP("IVA Compras Indirecto 10%.",'Descripciones de gastos'!G:H,2,FALSE)</f>
        <v>173034</v>
      </c>
      <c r="AH38" s="67" t="str">
        <f t="shared" si="2"/>
        <v/>
      </c>
      <c r="AI38" s="104"/>
      <c r="AK38" s="54"/>
    </row>
    <row r="39" spans="2:37" ht="15" customHeight="1" thickBot="1" x14ac:dyDescent="0.35">
      <c r="B39" s="6"/>
      <c r="C39" s="7"/>
      <c r="D39" s="20" t="s">
        <v>79</v>
      </c>
      <c r="E39" s="132"/>
      <c r="F39" s="132"/>
      <c r="G39" s="59"/>
      <c r="H39" s="19"/>
      <c r="I39" s="21"/>
      <c r="J39" s="21"/>
      <c r="K39" s="21"/>
      <c r="L39" s="19"/>
      <c r="M39" s="19"/>
      <c r="N39" s="24"/>
      <c r="O39" s="24"/>
      <c r="P39" s="77">
        <f>+SUMIF($Q$14:$Q$38,$Q$39,$P$14:$P$38)</f>
        <v>4888</v>
      </c>
      <c r="Q39" s="25" t="s">
        <v>68</v>
      </c>
      <c r="R39" s="25"/>
      <c r="S39" s="77"/>
      <c r="T39" s="77"/>
      <c r="U39" s="77"/>
      <c r="V39" s="77"/>
      <c r="W39" s="77"/>
      <c r="X39" s="25"/>
      <c r="Y39" s="25"/>
      <c r="Z39" s="25"/>
      <c r="AA39" s="59"/>
      <c r="AB39" s="25"/>
      <c r="AC39" s="25"/>
      <c r="AD39" s="25"/>
      <c r="AE39" s="25"/>
      <c r="AF39" s="143"/>
      <c r="AG39" s="143"/>
      <c r="AH39" s="25"/>
      <c r="AI39" s="25"/>
      <c r="AK39" s="54"/>
    </row>
    <row r="40" spans="2:37" ht="15" customHeight="1" thickBot="1" x14ac:dyDescent="0.35">
      <c r="B40" s="6"/>
      <c r="C40" s="7"/>
      <c r="D40" s="14" t="s">
        <v>79</v>
      </c>
      <c r="E40" s="133"/>
      <c r="F40" s="133"/>
      <c r="G40" s="60"/>
      <c r="H40" s="11"/>
      <c r="I40" s="22"/>
      <c r="J40" s="22"/>
      <c r="K40" s="22"/>
      <c r="L40" s="11"/>
      <c r="M40" s="11"/>
      <c r="N40" s="25"/>
      <c r="O40" s="25"/>
      <c r="P40" s="77">
        <f>+SUMIF($Q$14:$Q$38,$Q$40,$P$14:$P$38)</f>
        <v>34</v>
      </c>
      <c r="Q40" s="25" t="s">
        <v>69</v>
      </c>
      <c r="R40" s="25"/>
      <c r="S40" s="77"/>
      <c r="T40" s="77"/>
      <c r="U40" s="77"/>
      <c r="V40" s="77"/>
      <c r="W40" s="77"/>
      <c r="X40" s="25"/>
      <c r="Y40" s="25"/>
      <c r="Z40" s="25"/>
      <c r="AA40" s="60"/>
      <c r="AB40" s="25"/>
      <c r="AC40" s="25"/>
      <c r="AD40" s="25"/>
      <c r="AE40" s="25"/>
      <c r="AF40" s="143"/>
      <c r="AG40" s="143"/>
      <c r="AH40" s="25"/>
      <c r="AI40" s="25"/>
      <c r="AK40" s="54"/>
    </row>
    <row r="41" spans="2:37" x14ac:dyDescent="0.3">
      <c r="B41" s="6"/>
      <c r="C41" s="7"/>
      <c r="D41" s="12" t="s">
        <v>80</v>
      </c>
      <c r="E41" s="125"/>
      <c r="F41" s="125"/>
      <c r="G41" s="57"/>
      <c r="H41" s="7"/>
      <c r="I41" s="7"/>
      <c r="J41" s="7"/>
      <c r="K41" s="7"/>
      <c r="L41" s="7"/>
      <c r="M41" s="7"/>
      <c r="N41" s="8"/>
      <c r="O41" s="8"/>
      <c r="P41" s="82"/>
      <c r="Q41" s="8"/>
      <c r="R41" s="8"/>
      <c r="S41" s="65"/>
      <c r="T41" s="65"/>
      <c r="U41" s="65"/>
      <c r="V41" s="65"/>
      <c r="W41" s="65"/>
      <c r="X41" s="65"/>
      <c r="Y41" s="65"/>
      <c r="Z41" s="65"/>
      <c r="AA41" s="57"/>
      <c r="AB41" s="65"/>
      <c r="AC41" s="65"/>
      <c r="AD41" s="65"/>
      <c r="AE41" s="65"/>
      <c r="AF41" s="141"/>
      <c r="AG41" s="141"/>
      <c r="AH41" s="65"/>
      <c r="AI41" s="71"/>
      <c r="AK41" s="54"/>
    </row>
    <row r="42" spans="2:37" x14ac:dyDescent="0.3">
      <c r="B42" s="6"/>
      <c r="C42" s="7"/>
      <c r="D42" s="12"/>
      <c r="E42" s="125"/>
      <c r="F42" s="125"/>
      <c r="G42" s="57"/>
      <c r="H42" s="7"/>
      <c r="I42" s="7"/>
      <c r="J42" s="7"/>
      <c r="K42" s="7"/>
      <c r="L42" s="7"/>
      <c r="M42" s="7"/>
      <c r="N42" s="8"/>
      <c r="O42" s="8"/>
      <c r="P42" s="82"/>
      <c r="Q42" s="8"/>
      <c r="R42" s="8"/>
      <c r="S42" s="65"/>
      <c r="T42" s="65"/>
      <c r="U42" s="65"/>
      <c r="V42" s="65"/>
      <c r="W42" s="65"/>
      <c r="X42" s="65"/>
      <c r="Y42" s="65"/>
      <c r="Z42" s="65"/>
      <c r="AA42" s="57"/>
      <c r="AB42" s="65"/>
      <c r="AC42" s="65"/>
      <c r="AD42" s="65"/>
      <c r="AE42" s="65"/>
      <c r="AF42" s="141"/>
      <c r="AG42" s="141"/>
      <c r="AH42" s="65"/>
      <c r="AI42" s="71"/>
      <c r="AK42" s="54"/>
    </row>
    <row r="43" spans="2:37" x14ac:dyDescent="0.3">
      <c r="B43" s="6"/>
      <c r="C43" s="7"/>
      <c r="D43" s="12"/>
      <c r="E43" s="125"/>
      <c r="F43" s="125"/>
      <c r="G43" s="57"/>
      <c r="H43" s="7"/>
      <c r="I43" s="7"/>
      <c r="J43" s="7"/>
      <c r="K43" s="7"/>
      <c r="L43" s="7"/>
      <c r="M43" s="7"/>
      <c r="N43" s="8"/>
      <c r="O43" s="8"/>
      <c r="P43" s="82"/>
      <c r="Q43" s="8"/>
      <c r="R43" s="8"/>
      <c r="S43" s="65"/>
      <c r="T43" s="65"/>
      <c r="U43" s="65"/>
      <c r="V43" s="65"/>
      <c r="W43" s="65"/>
      <c r="X43" s="65"/>
      <c r="Y43" s="65"/>
      <c r="Z43" s="65"/>
      <c r="AA43" s="57"/>
      <c r="AB43" s="65"/>
      <c r="AC43" s="65"/>
      <c r="AD43" s="65"/>
      <c r="AE43" s="65"/>
      <c r="AF43" s="141"/>
      <c r="AG43" s="141"/>
      <c r="AH43" s="65"/>
      <c r="AI43" s="71"/>
    </row>
    <row r="44" spans="2:37" x14ac:dyDescent="0.3">
      <c r="B44" s="6"/>
      <c r="C44" s="7"/>
      <c r="D44" s="12"/>
      <c r="E44" s="125"/>
      <c r="F44" s="125"/>
      <c r="G44" s="57"/>
      <c r="H44" s="7"/>
      <c r="I44" s="7"/>
      <c r="J44" s="7"/>
      <c r="K44" s="7"/>
      <c r="L44" s="7"/>
      <c r="M44" s="7"/>
      <c r="N44" s="8"/>
      <c r="O44" s="8"/>
      <c r="P44" s="82"/>
      <c r="Q44" s="8"/>
      <c r="R44" s="8"/>
      <c r="S44" s="65"/>
      <c r="T44" s="65"/>
      <c r="U44" s="65"/>
      <c r="V44" s="65"/>
      <c r="W44" s="65"/>
      <c r="X44" s="65"/>
      <c r="Y44" s="65"/>
      <c r="Z44" s="65"/>
      <c r="AA44" s="57"/>
      <c r="AB44" s="65"/>
      <c r="AC44" s="65"/>
      <c r="AD44" s="65"/>
      <c r="AE44" s="65"/>
      <c r="AF44" s="141"/>
      <c r="AG44" s="141"/>
      <c r="AH44" s="65"/>
      <c r="AI44" s="71"/>
    </row>
    <row r="45" spans="2:37" x14ac:dyDescent="0.3">
      <c r="B45" s="6"/>
      <c r="C45" s="7"/>
      <c r="D45" s="7"/>
      <c r="E45" s="125"/>
      <c r="F45" s="125"/>
      <c r="G45" s="57"/>
      <c r="H45" s="7"/>
      <c r="I45" s="7"/>
      <c r="J45" s="7"/>
      <c r="K45" s="7"/>
      <c r="L45" s="7"/>
      <c r="M45" s="7"/>
      <c r="N45" s="8"/>
      <c r="O45" s="45"/>
      <c r="P45" s="65"/>
      <c r="Q45" s="8"/>
      <c r="X45" s="65"/>
      <c r="Y45" s="65"/>
      <c r="Z45" s="65"/>
      <c r="AA45" s="57"/>
      <c r="AB45" s="65"/>
      <c r="AC45" s="65"/>
      <c r="AD45" s="65"/>
      <c r="AE45" s="65"/>
      <c r="AF45" s="141"/>
      <c r="AG45" s="141"/>
      <c r="AH45" s="65"/>
      <c r="AI45" s="71"/>
    </row>
    <row r="46" spans="2:37" ht="15" thickBot="1" x14ac:dyDescent="0.35">
      <c r="B46" s="6"/>
      <c r="C46" s="7"/>
      <c r="D46" s="7"/>
      <c r="E46" s="134" t="s">
        <v>141</v>
      </c>
      <c r="F46" s="134"/>
      <c r="G46" s="57"/>
      <c r="H46" s="37"/>
      <c r="I46" s="38"/>
      <c r="J46" s="38"/>
      <c r="K46" s="38"/>
      <c r="L46" s="37"/>
      <c r="M46" s="39"/>
      <c r="N46" s="38" t="s">
        <v>146</v>
      </c>
      <c r="O46" s="7"/>
      <c r="P46" s="83"/>
      <c r="Q46" s="37"/>
      <c r="R46" s="49"/>
      <c r="S46" s="68"/>
      <c r="X46" s="65"/>
      <c r="Y46" s="65"/>
      <c r="Z46" s="65"/>
      <c r="AA46" s="57"/>
      <c r="AB46" s="65"/>
      <c r="AC46" s="65"/>
      <c r="AD46" s="65"/>
      <c r="AE46" s="65"/>
      <c r="AF46" s="141"/>
      <c r="AG46" s="141"/>
      <c r="AH46" s="65"/>
      <c r="AI46" s="71"/>
    </row>
    <row r="47" spans="2:37" ht="27" x14ac:dyDescent="0.3">
      <c r="B47" s="6"/>
      <c r="C47" s="7"/>
      <c r="D47" s="7"/>
      <c r="E47" s="125"/>
      <c r="F47" s="125"/>
      <c r="G47" s="57"/>
      <c r="H47" s="78" t="s">
        <v>145</v>
      </c>
      <c r="I47" s="7"/>
      <c r="J47" s="7"/>
      <c r="K47" s="7"/>
      <c r="L47" s="78"/>
      <c r="M47" s="41"/>
      <c r="N47" s="7"/>
      <c r="O47" s="7"/>
      <c r="P47" s="84" t="s">
        <v>145</v>
      </c>
      <c r="Q47" s="47"/>
      <c r="X47" s="65"/>
      <c r="Y47" s="65"/>
      <c r="Z47" s="65"/>
      <c r="AA47" s="57"/>
      <c r="AB47" s="65"/>
      <c r="AC47" s="65"/>
      <c r="AD47" s="65"/>
      <c r="AE47" s="65"/>
      <c r="AF47" s="141"/>
      <c r="AG47" s="141"/>
      <c r="AH47" s="65"/>
      <c r="AI47" s="71"/>
    </row>
    <row r="48" spans="2:37" x14ac:dyDescent="0.3">
      <c r="B48" s="6"/>
      <c r="C48" s="7"/>
      <c r="D48" s="7"/>
      <c r="E48" s="125"/>
      <c r="F48" s="125"/>
      <c r="G48" s="57"/>
      <c r="H48" s="7"/>
      <c r="I48" s="7"/>
      <c r="J48" s="7"/>
      <c r="K48" s="7"/>
      <c r="L48" s="42"/>
      <c r="M48" s="42"/>
      <c r="N48" s="42"/>
      <c r="O48" s="42"/>
      <c r="P48" s="82"/>
      <c r="Q48" s="8"/>
      <c r="R48" s="8"/>
      <c r="S48" s="65"/>
      <c r="T48" s="65"/>
      <c r="U48" s="65"/>
      <c r="V48" s="65"/>
      <c r="W48" s="65"/>
      <c r="X48" s="65"/>
      <c r="Y48" s="65"/>
      <c r="Z48" s="65"/>
      <c r="AA48" s="57"/>
      <c r="AB48" s="65"/>
      <c r="AC48" s="65"/>
      <c r="AD48" s="65"/>
      <c r="AE48" s="65"/>
      <c r="AF48" s="141"/>
      <c r="AG48" s="141"/>
      <c r="AH48" s="65"/>
      <c r="AI48" s="71"/>
    </row>
    <row r="49" spans="2:35" ht="14.55" customHeight="1" thickBot="1" x14ac:dyDescent="0.35">
      <c r="B49" s="6"/>
      <c r="C49" s="7"/>
      <c r="D49" s="44"/>
      <c r="E49" s="135"/>
      <c r="F49" s="135"/>
      <c r="G49" s="61"/>
      <c r="H49" s="44"/>
      <c r="I49" s="44"/>
      <c r="J49" s="44"/>
      <c r="K49" s="44"/>
      <c r="L49" s="44"/>
      <c r="M49" s="44"/>
      <c r="N49" s="40"/>
      <c r="O49" s="40"/>
      <c r="P49" s="85"/>
      <c r="Q49" s="40"/>
      <c r="R49" s="40"/>
      <c r="S49" s="69"/>
      <c r="T49" s="69"/>
      <c r="U49" s="69"/>
      <c r="V49" s="69"/>
      <c r="W49" s="69"/>
      <c r="X49" s="69"/>
      <c r="Y49" s="69"/>
      <c r="Z49" s="69"/>
      <c r="AA49" s="61"/>
      <c r="AB49" s="69"/>
      <c r="AC49" s="69"/>
      <c r="AD49" s="69"/>
      <c r="AE49" s="69"/>
      <c r="AF49" s="144"/>
      <c r="AG49" s="144"/>
      <c r="AH49" s="69"/>
      <c r="AI49" s="72"/>
    </row>
    <row r="50" spans="2:35" x14ac:dyDescent="0.3">
      <c r="B50" s="6"/>
      <c r="C50" s="7"/>
    </row>
    <row r="51" spans="2:35" ht="15" thickBot="1" x14ac:dyDescent="0.35">
      <c r="B51" s="43"/>
      <c r="C51" s="44"/>
    </row>
  </sheetData>
  <sheetProtection algorithmName="SHA-512" hashValue="PCt5TVb6YNvVMHh9Ib7wrJXv+WyzFFRzyuh22szmGe1UluwUr11fl0zV37Nfi2KVGgLYmMQLWCbf+TMJEKDcVQ==" saltValue="W3Hr2jIQKp681S6caKnFKg==" spinCount="100000" sheet="1" formatCells="0" formatColumns="0" formatRows="0" insertColumns="0" insertRows="0" insertHyperlinks="0" deleteColumns="0" deleteRows="0" sort="0" autoFilter="0" pivotTables="0"/>
  <mergeCells count="3">
    <mergeCell ref="G6:H6"/>
    <mergeCell ref="G7:H7"/>
    <mergeCell ref="G8:H8"/>
  </mergeCells>
  <dataValidations count="2">
    <dataValidation type="list" allowBlank="1" showInputMessage="1" showErrorMessage="1" sqref="R14:R38" xr:uid="{9599FD2F-074A-40E2-A7B9-C2A736376CE6}">
      <formula1>"22%,10%,0%,OTROS"</formula1>
    </dataValidation>
    <dataValidation type="list" allowBlank="1" showInputMessage="1" showErrorMessage="1" sqref="AI14:AI38 H14:J38" xr:uid="{785A5966-AF32-4207-A782-23FCEB8196AE}">
      <formula1>"Si,No"</formula1>
    </dataValidation>
  </dataValidations>
  <pageMargins left="0.25" right="0.25" top="0.75" bottom="0.75" header="0.3" footer="0.3"/>
  <pageSetup paperSize="9" scale="48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28C4483-E7AD-44FF-B4DD-161606A07CD4}">
          <x14:formula1>
            <xm:f>clave_PlanillaGastos_2024!$B$20:$B$65</xm:f>
          </x14:formula1>
          <xm:sqref>N14:N38</xm:sqref>
        </x14:dataValidation>
        <x14:dataValidation type="list" allowBlank="1" showInputMessage="1" showErrorMessage="1" xr:uid="{73C8C2DC-C841-455C-9DE0-F293C16228A4}">
          <x14:formula1>
            <xm:f>clave_PlanillaGastos_2024!$B$2:$B$17</xm:f>
          </x14:formula1>
          <xm:sqref>L14:L38</xm:sqref>
        </x14:dataValidation>
        <x14:dataValidation type="list" allowBlank="1" showInputMessage="1" showErrorMessage="1" xr:uid="{F77B3104-4C57-4C75-8344-7DB48DFEA7B9}">
          <x14:formula1>
            <xm:f>clave_PlanillaGastos_2024!$F$1:$F$2</xm:f>
          </x14:formula1>
          <xm:sqref>Q14:Q38</xm:sqref>
        </x14:dataValidation>
        <x14:dataValidation type="list" allowBlank="1" showInputMessage="1" showErrorMessage="1" xr:uid="{AFDEC6BA-5948-4610-BA10-DC9C2C5C149F}">
          <x14:formula1>
            <xm:f>'Descripciones de gastos'!$D:$D</xm:f>
          </x14:formula1>
          <xm:sqref>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90BC5-702F-43AA-ABB2-6E8712E419AD}">
  <sheetPr codeName="Hoja3"/>
  <dimension ref="A1:K427"/>
  <sheetViews>
    <sheetView workbookViewId="0">
      <selection activeCell="D3" sqref="D3"/>
    </sheetView>
  </sheetViews>
  <sheetFormatPr defaultColWidth="11.5546875" defaultRowHeight="14.4" x14ac:dyDescent="0.3"/>
  <cols>
    <col min="2" max="3" width="10.88671875" style="146"/>
    <col min="4" max="4" width="11.21875" bestFit="1" customWidth="1"/>
    <col min="6" max="6" width="13.6640625" customWidth="1"/>
    <col min="8" max="8" width="17.33203125" customWidth="1"/>
  </cols>
  <sheetData>
    <row r="1" spans="1:11" x14ac:dyDescent="0.3">
      <c r="A1" s="86" t="s">
        <v>1658</v>
      </c>
      <c r="B1" s="145" t="s">
        <v>159</v>
      </c>
      <c r="C1" s="145" t="s">
        <v>160</v>
      </c>
      <c r="D1" s="87" t="s">
        <v>150</v>
      </c>
      <c r="E1" s="87" t="s">
        <v>67</v>
      </c>
      <c r="F1" s="87" t="s">
        <v>161</v>
      </c>
      <c r="G1" s="88" t="s">
        <v>162</v>
      </c>
      <c r="H1" s="87" t="s">
        <v>163</v>
      </c>
      <c r="I1" s="87" t="s">
        <v>154</v>
      </c>
      <c r="J1" s="87" t="s">
        <v>155</v>
      </c>
      <c r="K1" s="88" t="s">
        <v>158</v>
      </c>
    </row>
    <row r="2" spans="1:11" x14ac:dyDescent="0.3">
      <c r="A2" t="e">
        <f>IF(AND(Formulario!#REF!&lt;&gt;"",ISNUMBER(Formulario!#REF!)),Formulario!#REF!,"")</f>
        <v>#REF!</v>
      </c>
      <c r="B2" s="146" t="e">
        <f>IF(AND(Formulario!#REF!&lt;&gt;"", Formulario!#REF!&lt;&gt;"",A2&lt;&gt;""),Formulario!#REF!,"")</f>
        <v>#REF!</v>
      </c>
      <c r="C2" s="146" t="e">
        <f>IF(AND(Formulario!#REF!&lt;&gt;"", Formulario!#REF!&lt;&gt;"",A2&lt;&gt;""),Formulario!#REF!,"")</f>
        <v>#REF!</v>
      </c>
      <c r="D2" s="55" t="str">
        <f>IF('Cond SAP'!AA14="","",'Cond SAP'!AA14)</f>
        <v>KR</v>
      </c>
      <c r="E2" t="e">
        <f>IF(AND(Formulario!#REF!&lt;&gt;"",Formulario!#REF!&lt;&gt;"",A2&lt;&gt;""),Formulario!#REF!,"")</f>
        <v>#REF!</v>
      </c>
      <c r="F2" t="e" cm="1">
        <f t="array" aca="1" ref="F2" ca="1">IF(OR(A2="",B2=""),"",LEFT(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>#REF!</v>
      </c>
      <c r="G2" t="e">
        <f>IF(AND(Formulario!#REF!&lt;&gt;"",Formulario!#REF!&lt;&gt;"",A2&lt;&gt;""),Formulario!#REF!,"")</f>
        <v>#REF!</v>
      </c>
      <c r="I2" t="e">
        <f>IF(AND(Formulario!#REF!&lt;&gt;"",A2&lt;&gt;""),"UY10","")</f>
        <v>#REF!</v>
      </c>
      <c r="J2" t="e">
        <f>IF(AND(Formulario!#REF!&lt;&gt;"",A2&lt;&gt;""),"0001","")</f>
        <v>#REF!</v>
      </c>
      <c r="K2" t="e">
        <f>IF(AND(Formulario!#REF!&lt;&gt;"",A2&lt;&gt;""),"1","")</f>
        <v>#REF!</v>
      </c>
    </row>
    <row r="3" spans="1:11" x14ac:dyDescent="0.3">
      <c r="A3" t="str">
        <f>IF(AND(Formulario!D14&lt;&gt;"",ISNUMBER(Formulario!D14)),Formulario!D14,"")</f>
        <v/>
      </c>
      <c r="B3" s="146" t="str">
        <f>IF(AND(Formulario!F14&lt;&gt;"", Formulario!F14&lt;&gt;"",A3&lt;&gt;""),Formulario!F14,"")</f>
        <v/>
      </c>
      <c r="C3" s="146" t="str">
        <f>IF(AND(Formulario!D14&lt;&gt;"", Formulario!E14&lt;&gt;"",A3&lt;&gt;""),Formulario!E14,"")</f>
        <v/>
      </c>
      <c r="D3" s="55" t="str">
        <f>IF('Cond SAP'!AA15="","",'Cond SAP'!AA15)</f>
        <v>KR</v>
      </c>
      <c r="E3" t="str">
        <f>IF(AND(Formulario!G14&lt;&gt;"",Formulario!Q14&lt;&gt;"",A3&lt;&gt;""),Formulario!Q14,"")</f>
        <v/>
      </c>
      <c r="F3" t="str" cm="1">
        <f t="array" aca="1" ref="F3" ca="1">IF(OR(A3="",B3=""),"",LEFT(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" t="str">
        <f>IF(AND(Formulario!G14&lt;&gt;"",Formulario!G14&lt;&gt;"",A3&lt;&gt;""),Formulario!G14,"")</f>
        <v/>
      </c>
      <c r="I3" t="str">
        <f>IF(AND(Formulario!D14&lt;&gt;"",A3&lt;&gt;""),"UY10","")</f>
        <v/>
      </c>
      <c r="J3" t="str">
        <f>IF(AND(Formulario!D14&lt;&gt;"",A3&lt;&gt;""),"0001","")</f>
        <v/>
      </c>
      <c r="K3" t="str">
        <f>IF(AND(Formulario!D14&lt;&gt;"",A3&lt;&gt;""),"1","")</f>
        <v/>
      </c>
    </row>
    <row r="4" spans="1:11" x14ac:dyDescent="0.3">
      <c r="A4" t="str">
        <f>IF(AND(Formulario!D15&lt;&gt;"",ISNUMBER(Formulario!D15)),Formulario!D15,"")</f>
        <v/>
      </c>
      <c r="B4" s="146" t="str">
        <f>IF(AND(Formulario!F15&lt;&gt;"", Formulario!F15&lt;&gt;"",A4&lt;&gt;""),Formulario!F15,"")</f>
        <v/>
      </c>
      <c r="C4" s="146" t="str">
        <f>IF(AND(Formulario!D15&lt;&gt;"", Formulario!E15&lt;&gt;"",A4&lt;&gt;""),Formulario!E15,"")</f>
        <v/>
      </c>
      <c r="D4" s="55" t="str">
        <f>IF('Cond SAP'!AA16="","",'Cond SAP'!AA16)</f>
        <v>KR</v>
      </c>
      <c r="E4" t="str">
        <f>IF(AND(Formulario!G15&lt;&gt;"",Formulario!Q15&lt;&gt;"",A4&lt;&gt;""),Formulario!Q15,"")</f>
        <v/>
      </c>
      <c r="F4" t="str" cm="1">
        <f t="array" aca="1" ref="F4" ca="1">IF(OR(A4="",B4=""),"",LEFT(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" t="str">
        <f>IF(AND(Formulario!G15&lt;&gt;"",Formulario!G15&lt;&gt;"",A4&lt;&gt;""),Formulario!G15,"")</f>
        <v/>
      </c>
      <c r="I4" t="str">
        <f>IF(AND(Formulario!D15&lt;&gt;"",A4&lt;&gt;""),"UY10","")</f>
        <v/>
      </c>
      <c r="J4" t="str">
        <f>IF(AND(Formulario!D15&lt;&gt;"",A4&lt;&gt;""),"0001","")</f>
        <v/>
      </c>
      <c r="K4" t="str">
        <f>IF(AND(Formulario!D15&lt;&gt;"",A4&lt;&gt;""),"1","")</f>
        <v/>
      </c>
    </row>
    <row r="5" spans="1:11" x14ac:dyDescent="0.3">
      <c r="A5" t="str">
        <f>IF(AND(Formulario!D16&lt;&gt;"",ISNUMBER(Formulario!D16)),Formulario!D16,"")</f>
        <v/>
      </c>
      <c r="B5" s="146" t="str">
        <f>IF(AND(Formulario!F16&lt;&gt;"", Formulario!F16&lt;&gt;"",A5&lt;&gt;""),Formulario!F16,"")</f>
        <v/>
      </c>
      <c r="C5" s="146" t="str">
        <f>IF(AND(Formulario!D16&lt;&gt;"", Formulario!E16&lt;&gt;"",A5&lt;&gt;""),Formulario!E16,"")</f>
        <v/>
      </c>
      <c r="D5" s="55" t="str">
        <f>IF('Cond SAP'!AA17="","",'Cond SAP'!AA17)</f>
        <v/>
      </c>
      <c r="E5" t="str">
        <f>IF(AND(Formulario!G16&lt;&gt;"",Formulario!Q16&lt;&gt;"",A5&lt;&gt;""),Formulario!Q16,"")</f>
        <v/>
      </c>
      <c r="F5" t="str" cm="1">
        <f t="array" aca="1" ref="F5" ca="1">IF(OR(A5="",B5=""),"",LEFT(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" t="str">
        <f>IF(AND(Formulario!G16&lt;&gt;"",Formulario!G16&lt;&gt;"",A5&lt;&gt;""),Formulario!G16,"")</f>
        <v/>
      </c>
      <c r="I5" t="str">
        <f>IF(AND(Formulario!D16&lt;&gt;"",A5&lt;&gt;""),"UY10","")</f>
        <v/>
      </c>
      <c r="J5" t="str">
        <f>IF(AND(Formulario!D16&lt;&gt;"",A5&lt;&gt;""),"0001","")</f>
        <v/>
      </c>
      <c r="K5" t="str">
        <f>IF(AND(Formulario!D16&lt;&gt;"",A5&lt;&gt;""),"1","")</f>
        <v/>
      </c>
    </row>
    <row r="6" spans="1:11" x14ac:dyDescent="0.3">
      <c r="A6" t="str">
        <f>IF(AND(Formulario!D17&lt;&gt;"",ISNUMBER(Formulario!D17)),Formulario!D17,"")</f>
        <v/>
      </c>
      <c r="B6" s="146" t="str">
        <f>IF(AND(Formulario!F17&lt;&gt;"", Formulario!F17&lt;&gt;"",A6&lt;&gt;""),Formulario!F17,"")</f>
        <v/>
      </c>
      <c r="C6" s="146" t="str">
        <f>IF(AND(Formulario!D17&lt;&gt;"", Formulario!E17&lt;&gt;"",A6&lt;&gt;""),Formulario!E17,"")</f>
        <v/>
      </c>
      <c r="D6" s="55" t="str">
        <f>IF('Cond SAP'!AA18="","",'Cond SAP'!AA18)</f>
        <v/>
      </c>
      <c r="E6" t="str">
        <f>IF(AND(Formulario!G17&lt;&gt;"",Formulario!Q17&lt;&gt;"",A6&lt;&gt;""),Formulario!Q17,"")</f>
        <v/>
      </c>
      <c r="F6" t="str" cm="1">
        <f t="array" aca="1" ref="F6" ca="1">IF(OR(A6="",B6=""),"",LEFT(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" t="str">
        <f>IF(AND(Formulario!G17&lt;&gt;"",Formulario!G17&lt;&gt;"",A6&lt;&gt;""),Formulario!G17,"")</f>
        <v/>
      </c>
      <c r="I6" t="str">
        <f>IF(AND(Formulario!D17&lt;&gt;"",A6&lt;&gt;""),"UY10","")</f>
        <v/>
      </c>
      <c r="J6" t="str">
        <f>IF(AND(Formulario!D17&lt;&gt;"",A6&lt;&gt;""),"0001","")</f>
        <v/>
      </c>
      <c r="K6" t="str">
        <f>IF(AND(Formulario!D17&lt;&gt;"",A6&lt;&gt;""),"1","")</f>
        <v/>
      </c>
    </row>
    <row r="7" spans="1:11" x14ac:dyDescent="0.3">
      <c r="A7" t="str">
        <f>IF(AND(Formulario!D19&lt;&gt;"",ISNUMBER(Formulario!D19)),Formulario!D19,"")</f>
        <v/>
      </c>
      <c r="B7" s="146" t="str">
        <f>IF(AND(Formulario!F19&lt;&gt;"", Formulario!F19&lt;&gt;"",A7&lt;&gt;""),Formulario!F19,"")</f>
        <v/>
      </c>
      <c r="C7" s="146" t="str">
        <f>IF(AND(Formulario!D19&lt;&gt;"", Formulario!E19&lt;&gt;"",A7&lt;&gt;""),Formulario!E19,"")</f>
        <v/>
      </c>
      <c r="D7" s="55" t="str">
        <f>IF('Cond SAP'!AA19="","",'Cond SAP'!AA19)</f>
        <v/>
      </c>
      <c r="E7" t="str">
        <f>IF(AND(Formulario!G19&lt;&gt;"",Formulario!Q19&lt;&gt;"",A7&lt;&gt;""),Formulario!Q19,"")</f>
        <v/>
      </c>
      <c r="F7" t="str" cm="1">
        <f t="array" aca="1" ref="F7" ca="1">IF(OR(A7="",B7=""),"",LEFT(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" t="str">
        <f>IF(AND(Formulario!G19&lt;&gt;"",Formulario!G19&lt;&gt;"",A7&lt;&gt;""),Formulario!G19,"")</f>
        <v/>
      </c>
      <c r="I7" t="str">
        <f>IF(AND(Formulario!D19&lt;&gt;"",A7&lt;&gt;""),"UY10","")</f>
        <v/>
      </c>
      <c r="J7" t="str">
        <f>IF(AND(Formulario!D19&lt;&gt;"",A7&lt;&gt;""),"0001","")</f>
        <v/>
      </c>
      <c r="K7" t="str">
        <f>IF(AND(Formulario!D19&lt;&gt;"",A7&lt;&gt;""),"1","")</f>
        <v/>
      </c>
    </row>
    <row r="8" spans="1:11" x14ac:dyDescent="0.3">
      <c r="A8" t="str">
        <f>IF(AND(Formulario!D20&lt;&gt;"",ISNUMBER(Formulario!D20)),Formulario!D20,"")</f>
        <v/>
      </c>
      <c r="B8" s="146" t="str">
        <f>IF(AND(Formulario!F20&lt;&gt;"", Formulario!F20&lt;&gt;"",A8&lt;&gt;""),Formulario!F20,"")</f>
        <v/>
      </c>
      <c r="C8" s="146" t="str">
        <f>IF(AND(Formulario!D20&lt;&gt;"", Formulario!E20&lt;&gt;"",A8&lt;&gt;""),Formulario!E20,"")</f>
        <v/>
      </c>
      <c r="D8" s="55" t="str">
        <f>IF('Cond SAP'!AA20="","",'Cond SAP'!AA20)</f>
        <v/>
      </c>
      <c r="E8" t="str">
        <f>IF(AND(Formulario!G20&lt;&gt;"",Formulario!Q20&lt;&gt;"",A8&lt;&gt;""),Formulario!Q20,"")</f>
        <v/>
      </c>
      <c r="F8" t="str" cm="1">
        <f t="array" aca="1" ref="F8" ca="1">IF(OR(A8="",B8=""),"",LEFT(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" t="str">
        <f>IF(AND(Formulario!G20&lt;&gt;"",Formulario!G20&lt;&gt;"",A8&lt;&gt;""),Formulario!G20,"")</f>
        <v/>
      </c>
      <c r="I8" t="str">
        <f>IF(AND(Formulario!D20&lt;&gt;"",A8&lt;&gt;""),"UY10","")</f>
        <v/>
      </c>
      <c r="J8" t="str">
        <f>IF(AND(Formulario!D20&lt;&gt;"",A8&lt;&gt;""),"0001","")</f>
        <v/>
      </c>
      <c r="K8" t="str">
        <f>IF(AND(Formulario!D20&lt;&gt;"",A8&lt;&gt;""),"1","")</f>
        <v/>
      </c>
    </row>
    <row r="9" spans="1:11" x14ac:dyDescent="0.3">
      <c r="A9" t="str">
        <f>IF(AND(Formulario!D21&lt;&gt;"",ISNUMBER(Formulario!D21)),Formulario!D21,"")</f>
        <v/>
      </c>
      <c r="B9" s="146" t="str">
        <f>IF(AND(Formulario!F21&lt;&gt;"", Formulario!F21&lt;&gt;"",A9&lt;&gt;""),Formulario!F21,"")</f>
        <v/>
      </c>
      <c r="C9" s="146" t="str">
        <f>IF(AND(Formulario!D21&lt;&gt;"", Formulario!E21&lt;&gt;"",A9&lt;&gt;""),Formulario!E21,"")</f>
        <v/>
      </c>
      <c r="D9" s="55" t="str">
        <f>IF('Cond SAP'!AA21="","",'Cond SAP'!AA21)</f>
        <v/>
      </c>
      <c r="E9" t="str">
        <f>IF(AND(Formulario!G21&lt;&gt;"",Formulario!Q21&lt;&gt;"",A9&lt;&gt;""),Formulario!Q21,"")</f>
        <v/>
      </c>
      <c r="F9" t="str" cm="1">
        <f t="array" aca="1" ref="F9" ca="1">IF(OR(A9="",B9=""),"",LEFT(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" t="str">
        <f>IF(AND(Formulario!G21&lt;&gt;"",Formulario!G21&lt;&gt;"",A9&lt;&gt;""),Formulario!G21,"")</f>
        <v/>
      </c>
      <c r="I9" t="str">
        <f>IF(AND(Formulario!D21&lt;&gt;"",A9&lt;&gt;""),"UY10","")</f>
        <v/>
      </c>
      <c r="J9" t="str">
        <f>IF(AND(Formulario!D21&lt;&gt;"",A9&lt;&gt;""),"0001","")</f>
        <v/>
      </c>
      <c r="K9" t="str">
        <f>IF(AND(Formulario!D21&lt;&gt;"",A9&lt;&gt;""),"1","")</f>
        <v/>
      </c>
    </row>
    <row r="10" spans="1:11" x14ac:dyDescent="0.3">
      <c r="A10" t="str">
        <f>IF(AND(Formulario!D22&lt;&gt;"",ISNUMBER(Formulario!D22)),Formulario!D22,"")</f>
        <v/>
      </c>
      <c r="B10" s="146" t="str">
        <f>IF(AND(Formulario!F22&lt;&gt;"", Formulario!F22&lt;&gt;"",A10&lt;&gt;""),Formulario!F22,"")</f>
        <v/>
      </c>
      <c r="C10" s="146" t="str">
        <f>IF(AND(Formulario!D22&lt;&gt;"", Formulario!E22&lt;&gt;"",A10&lt;&gt;""),Formulario!E22,"")</f>
        <v/>
      </c>
      <c r="D10" s="55" t="str">
        <f>IF('Cond SAP'!AA22="","",'Cond SAP'!AA22)</f>
        <v/>
      </c>
      <c r="E10" t="str">
        <f>IF(AND(Formulario!G22&lt;&gt;"",Formulario!Q22&lt;&gt;"",A10&lt;&gt;""),Formulario!Q22,"")</f>
        <v/>
      </c>
      <c r="F10" t="str" cm="1">
        <f t="array" aca="1" ref="F10" ca="1">IF(OR(A10="",B10=""),"",LEFT(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" t="str">
        <f>IF(AND(Formulario!G22&lt;&gt;"",Formulario!G22&lt;&gt;"",A10&lt;&gt;""),Formulario!G22,"")</f>
        <v/>
      </c>
      <c r="I10" t="str">
        <f>IF(AND(Formulario!D22&lt;&gt;"",A10&lt;&gt;""),"UY10","")</f>
        <v/>
      </c>
      <c r="J10" t="str">
        <f>IF(AND(Formulario!D22&lt;&gt;"",A10&lt;&gt;""),"0001","")</f>
        <v/>
      </c>
      <c r="K10" t="str">
        <f>IF(AND(Formulario!D22&lt;&gt;"",A10&lt;&gt;""),"1","")</f>
        <v/>
      </c>
    </row>
    <row r="11" spans="1:11" x14ac:dyDescent="0.3">
      <c r="A11" t="str">
        <f>IF(AND(Formulario!D23&lt;&gt;"",ISNUMBER(Formulario!D23)),Formulario!D23,"")</f>
        <v/>
      </c>
      <c r="B11" s="146" t="str">
        <f>IF(AND(Formulario!F23&lt;&gt;"", Formulario!F23&lt;&gt;"",A11&lt;&gt;""),Formulario!F23,"")</f>
        <v/>
      </c>
      <c r="C11" s="146" t="str">
        <f>IF(AND(Formulario!D23&lt;&gt;"", Formulario!E23&lt;&gt;"",A11&lt;&gt;""),Formulario!E23,"")</f>
        <v/>
      </c>
      <c r="D11" s="55" t="str">
        <f>IF('Cond SAP'!AA23="","",'Cond SAP'!AA23)</f>
        <v/>
      </c>
      <c r="E11" t="str">
        <f>IF(AND(Formulario!G23&lt;&gt;"",Formulario!Q23&lt;&gt;"",A11&lt;&gt;""),Formulario!Q23,"")</f>
        <v/>
      </c>
      <c r="F11" t="str" cm="1">
        <f t="array" aca="1" ref="F11" ca="1">IF(OR(A11="",B11=""),"",LEFT(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" t="str">
        <f>IF(AND(Formulario!G23&lt;&gt;"",Formulario!G23&lt;&gt;"",A11&lt;&gt;""),Formulario!G23,"")</f>
        <v/>
      </c>
      <c r="I11" t="str">
        <f>IF(AND(Formulario!D23&lt;&gt;"",A11&lt;&gt;""),"UY10","")</f>
        <v/>
      </c>
      <c r="J11" t="str">
        <f>IF(AND(Formulario!D23&lt;&gt;"",A11&lt;&gt;""),"0001","")</f>
        <v/>
      </c>
      <c r="K11" t="str">
        <f>IF(AND(Formulario!D23&lt;&gt;"",A11&lt;&gt;""),"1","")</f>
        <v/>
      </c>
    </row>
    <row r="12" spans="1:11" x14ac:dyDescent="0.3">
      <c r="A12" t="str">
        <f>IF(AND(Formulario!D24&lt;&gt;"",ISNUMBER(Formulario!D24)),Formulario!D24,"")</f>
        <v/>
      </c>
      <c r="B12" s="146" t="str">
        <f>IF(AND(Formulario!F24&lt;&gt;"", Formulario!F24&lt;&gt;"",A12&lt;&gt;""),Formulario!F24,"")</f>
        <v/>
      </c>
      <c r="C12" s="146" t="str">
        <f>IF(AND(Formulario!D24&lt;&gt;"", Formulario!E24&lt;&gt;"",A12&lt;&gt;""),Formulario!E24,"")</f>
        <v/>
      </c>
      <c r="D12" s="55" t="str">
        <f>IF('Cond SAP'!AA24="","",'Cond SAP'!AA24)</f>
        <v/>
      </c>
      <c r="E12" t="str">
        <f>IF(AND(Formulario!G24&lt;&gt;"",Formulario!Q24&lt;&gt;"",A12&lt;&gt;""),Formulario!Q24,"")</f>
        <v/>
      </c>
      <c r="F12" t="str" cm="1">
        <f t="array" aca="1" ref="F12" ca="1">IF(OR(A12="",B12=""),"",LEFT(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" t="str">
        <f>IF(AND(Formulario!G24&lt;&gt;"",Formulario!G24&lt;&gt;"",A12&lt;&gt;""),Formulario!G24,"")</f>
        <v/>
      </c>
      <c r="I12" t="str">
        <f>IF(AND(Formulario!D24&lt;&gt;"",A12&lt;&gt;""),"UY10","")</f>
        <v/>
      </c>
      <c r="J12" t="str">
        <f>IF(AND(Formulario!D24&lt;&gt;"",A12&lt;&gt;""),"0001","")</f>
        <v/>
      </c>
      <c r="K12" t="str">
        <f>IF(AND(Formulario!D24&lt;&gt;"",A12&lt;&gt;""),"1","")</f>
        <v/>
      </c>
    </row>
    <row r="13" spans="1:11" x14ac:dyDescent="0.3">
      <c r="A13" t="str">
        <f>IF(AND(Formulario!D25&lt;&gt;"",ISNUMBER(Formulario!D25)),Formulario!D25,"")</f>
        <v/>
      </c>
      <c r="B13" s="146" t="str">
        <f>IF(AND(Formulario!F25&lt;&gt;"", Formulario!F25&lt;&gt;"",A13&lt;&gt;""),Formulario!F25,"")</f>
        <v/>
      </c>
      <c r="C13" s="146" t="str">
        <f>IF(AND(Formulario!D25&lt;&gt;"", Formulario!E25&lt;&gt;"",A13&lt;&gt;""),Formulario!E25,"")</f>
        <v/>
      </c>
      <c r="D13" s="55" t="str">
        <f>IF('Cond SAP'!AA25="","",'Cond SAP'!AA25)</f>
        <v/>
      </c>
      <c r="E13" t="str">
        <f>IF(AND(Formulario!G25&lt;&gt;"",Formulario!Q25&lt;&gt;"",A13&lt;&gt;""),Formulario!Q25,"")</f>
        <v/>
      </c>
      <c r="F13" t="str" cm="1">
        <f t="array" aca="1" ref="F13" ca="1">IF(OR(A13="",B13=""),"",LEFT(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" t="str">
        <f>IF(AND(Formulario!G25&lt;&gt;"",Formulario!G25&lt;&gt;"",A13&lt;&gt;""),Formulario!G25,"")</f>
        <v/>
      </c>
      <c r="I13" t="str">
        <f>IF(AND(Formulario!D25&lt;&gt;"",A13&lt;&gt;""),"UY10","")</f>
        <v/>
      </c>
      <c r="J13" t="str">
        <f>IF(AND(Formulario!D25&lt;&gt;"",A13&lt;&gt;""),"0001","")</f>
        <v/>
      </c>
      <c r="K13" t="str">
        <f>IF(AND(Formulario!D25&lt;&gt;"",A13&lt;&gt;""),"1","")</f>
        <v/>
      </c>
    </row>
    <row r="14" spans="1:11" x14ac:dyDescent="0.3">
      <c r="A14" t="str">
        <f>IF(AND(Formulario!D26&lt;&gt;"",ISNUMBER(Formulario!D26)),Formulario!D26,"")</f>
        <v/>
      </c>
      <c r="B14" s="146" t="str">
        <f>IF(AND(Formulario!F26&lt;&gt;"", Formulario!F26&lt;&gt;"",A14&lt;&gt;""),Formulario!F26,"")</f>
        <v/>
      </c>
      <c r="C14" s="146" t="str">
        <f>IF(AND(Formulario!D26&lt;&gt;"", Formulario!E26&lt;&gt;"",A14&lt;&gt;""),Formulario!E26,"")</f>
        <v/>
      </c>
      <c r="D14" s="55" t="str">
        <f>IF('Cond SAP'!AA26="","",'Cond SAP'!AA26)</f>
        <v/>
      </c>
      <c r="E14" t="str">
        <f>IF(AND(Formulario!G26&lt;&gt;"",Formulario!Q26&lt;&gt;"",A14&lt;&gt;""),Formulario!Q26,"")</f>
        <v/>
      </c>
      <c r="F14" t="str" cm="1">
        <f t="array" aca="1" ref="F14" ca="1">IF(OR(A14="",B14=""),"",LEFT(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" t="str">
        <f>IF(AND(Formulario!G26&lt;&gt;"",Formulario!G26&lt;&gt;"",A14&lt;&gt;""),Formulario!G26,"")</f>
        <v/>
      </c>
      <c r="I14" t="str">
        <f>IF(AND(Formulario!D26&lt;&gt;"",A14&lt;&gt;""),"UY10","")</f>
        <v/>
      </c>
      <c r="J14" t="str">
        <f>IF(AND(Formulario!D26&lt;&gt;"",A14&lt;&gt;""),"0001","")</f>
        <v/>
      </c>
      <c r="K14" t="str">
        <f>IF(AND(Formulario!D26&lt;&gt;"",A14&lt;&gt;""),"1","")</f>
        <v/>
      </c>
    </row>
    <row r="15" spans="1:11" x14ac:dyDescent="0.3">
      <c r="A15" t="str">
        <f>IF(AND(Formulario!D27&lt;&gt;"",ISNUMBER(Formulario!D27)),Formulario!D27,"")</f>
        <v/>
      </c>
      <c r="B15" s="146" t="str">
        <f>IF(AND(Formulario!F27&lt;&gt;"", Formulario!F27&lt;&gt;"",A15&lt;&gt;""),Formulario!F27,"")</f>
        <v/>
      </c>
      <c r="C15" s="146" t="str">
        <f>IF(AND(Formulario!D27&lt;&gt;"", Formulario!E27&lt;&gt;"",A15&lt;&gt;""),Formulario!E27,"")</f>
        <v/>
      </c>
      <c r="D15" s="55" t="str">
        <f>IF('Cond SAP'!AA27="","",'Cond SAP'!AA27)</f>
        <v/>
      </c>
      <c r="E15" t="str">
        <f>IF(AND(Formulario!G27&lt;&gt;"",Formulario!Q27&lt;&gt;"",A15&lt;&gt;""),Formulario!Q27,"")</f>
        <v/>
      </c>
      <c r="F15" t="str" cm="1">
        <f t="array" aca="1" ref="F15" ca="1">IF(OR(A15="",B15=""),"",LEFT(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" t="str">
        <f>IF(AND(Formulario!G27&lt;&gt;"",Formulario!G27&lt;&gt;"",A15&lt;&gt;""),Formulario!G27,"")</f>
        <v/>
      </c>
      <c r="I15" t="str">
        <f>IF(AND(Formulario!D27&lt;&gt;"",A15&lt;&gt;""),"UY10","")</f>
        <v/>
      </c>
      <c r="J15" t="str">
        <f>IF(AND(Formulario!D27&lt;&gt;"",A15&lt;&gt;""),"0001","")</f>
        <v/>
      </c>
      <c r="K15" t="str">
        <f>IF(AND(Formulario!D27&lt;&gt;"",A15&lt;&gt;""),"1","")</f>
        <v/>
      </c>
    </row>
    <row r="16" spans="1:11" x14ac:dyDescent="0.3">
      <c r="A16" t="str">
        <f>IF(AND(Formulario!D28&lt;&gt;"",ISNUMBER(Formulario!D28)),Formulario!D28,"")</f>
        <v/>
      </c>
      <c r="B16" s="146" t="str">
        <f>IF(AND(Formulario!F28&lt;&gt;"", Formulario!F28&lt;&gt;"",A16&lt;&gt;""),Formulario!F28,"")</f>
        <v/>
      </c>
      <c r="C16" s="146" t="str">
        <f>IF(AND(Formulario!D28&lt;&gt;"", Formulario!E28&lt;&gt;"",A16&lt;&gt;""),Formulario!E28,"")</f>
        <v/>
      </c>
      <c r="D16" s="55" t="str">
        <f>IF('Cond SAP'!AA28="","",'Cond SAP'!AA28)</f>
        <v/>
      </c>
      <c r="E16" t="str">
        <f>IF(AND(Formulario!G28&lt;&gt;"",Formulario!Q28&lt;&gt;"",A16&lt;&gt;""),Formulario!Q28,"")</f>
        <v/>
      </c>
      <c r="F16" t="str" cm="1">
        <f t="array" aca="1" ref="F16" ca="1">IF(OR(A16="",B16=""),"",LEFT(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" t="str">
        <f>IF(AND(Formulario!G28&lt;&gt;"",Formulario!G28&lt;&gt;"",A16&lt;&gt;""),Formulario!G28,"")</f>
        <v/>
      </c>
      <c r="I16" t="str">
        <f>IF(AND(Formulario!D28&lt;&gt;"",A16&lt;&gt;""),"UY10","")</f>
        <v/>
      </c>
      <c r="J16" t="str">
        <f>IF(AND(Formulario!D28&lt;&gt;"",A16&lt;&gt;""),"0001","")</f>
        <v/>
      </c>
      <c r="K16" t="str">
        <f>IF(AND(Formulario!D28&lt;&gt;"",A16&lt;&gt;""),"1","")</f>
        <v/>
      </c>
    </row>
    <row r="17" spans="1:11" x14ac:dyDescent="0.3">
      <c r="A17" t="str">
        <f>IF(AND(Formulario!D29&lt;&gt;"",ISNUMBER(Formulario!D29)),Formulario!D29,"")</f>
        <v/>
      </c>
      <c r="B17" s="146" t="str">
        <f>IF(AND(Formulario!F29&lt;&gt;"", Formulario!F29&lt;&gt;"",A17&lt;&gt;""),Formulario!F29,"")</f>
        <v/>
      </c>
      <c r="C17" s="146" t="str">
        <f>IF(AND(Formulario!D29&lt;&gt;"", Formulario!E29&lt;&gt;"",A17&lt;&gt;""),Formulario!E29,"")</f>
        <v/>
      </c>
      <c r="D17" s="55" t="str">
        <f>IF('Cond SAP'!AA29="","",'Cond SAP'!AA29)</f>
        <v/>
      </c>
      <c r="E17" t="str">
        <f>IF(AND(Formulario!G29&lt;&gt;"",Formulario!Q29&lt;&gt;"",A17&lt;&gt;""),Formulario!Q29,"")</f>
        <v/>
      </c>
      <c r="F17" t="str" cm="1">
        <f t="array" aca="1" ref="F17" ca="1">IF(OR(A17="",B17=""),"",LEFT(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" t="str">
        <f>IF(AND(Formulario!G29&lt;&gt;"",Formulario!G29&lt;&gt;"",A17&lt;&gt;""),Formulario!G29,"")</f>
        <v/>
      </c>
      <c r="I17" t="str">
        <f>IF(AND(Formulario!D29&lt;&gt;"",A17&lt;&gt;""),"UY10","")</f>
        <v/>
      </c>
      <c r="J17" t="str">
        <f>IF(AND(Formulario!D29&lt;&gt;"",A17&lt;&gt;""),"0001","")</f>
        <v/>
      </c>
      <c r="K17" t="str">
        <f>IF(AND(Formulario!D29&lt;&gt;"",A17&lt;&gt;""),"1","")</f>
        <v/>
      </c>
    </row>
    <row r="18" spans="1:11" x14ac:dyDescent="0.3">
      <c r="A18" t="str">
        <f>IF(AND(Formulario!D30&lt;&gt;"",ISNUMBER(Formulario!D30)),Formulario!D30,"")</f>
        <v/>
      </c>
      <c r="B18" s="146" t="str">
        <f>IF(AND(Formulario!F30&lt;&gt;"", Formulario!F30&lt;&gt;"",A18&lt;&gt;""),Formulario!F30,"")</f>
        <v/>
      </c>
      <c r="C18" s="146" t="str">
        <f>IF(AND(Formulario!D30&lt;&gt;"", Formulario!E30&lt;&gt;"",A18&lt;&gt;""),Formulario!E30,"")</f>
        <v/>
      </c>
      <c r="D18" s="55" t="str">
        <f>IF('Cond SAP'!AA30="","",'Cond SAP'!AA30)</f>
        <v/>
      </c>
      <c r="E18" t="str">
        <f>IF(AND(Formulario!G30&lt;&gt;"",Formulario!Q30&lt;&gt;"",A18&lt;&gt;""),Formulario!Q30,"")</f>
        <v/>
      </c>
      <c r="F18" t="str" cm="1">
        <f t="array" aca="1" ref="F18" ca="1">IF(OR(A18="",B18=""),"",LEFT(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" t="str">
        <f>IF(AND(Formulario!G30&lt;&gt;"",Formulario!G30&lt;&gt;"",A18&lt;&gt;""),Formulario!G30,"")</f>
        <v/>
      </c>
      <c r="I18" t="str">
        <f>IF(AND(Formulario!D30&lt;&gt;"",A18&lt;&gt;""),"UY10","")</f>
        <v/>
      </c>
      <c r="J18" t="str">
        <f>IF(AND(Formulario!D30&lt;&gt;"",A18&lt;&gt;""),"0001","")</f>
        <v/>
      </c>
      <c r="K18" t="str">
        <f>IF(AND(Formulario!D30&lt;&gt;"",A18&lt;&gt;""),"1","")</f>
        <v/>
      </c>
    </row>
    <row r="19" spans="1:11" x14ac:dyDescent="0.3">
      <c r="A19" t="str">
        <f>IF(AND(Formulario!D31&lt;&gt;"",ISNUMBER(Formulario!D31)),Formulario!D31,"")</f>
        <v/>
      </c>
      <c r="B19" s="146" t="str">
        <f>IF(AND(Formulario!F31&lt;&gt;"", Formulario!F31&lt;&gt;"",A19&lt;&gt;""),Formulario!F31,"")</f>
        <v/>
      </c>
      <c r="C19" s="146" t="str">
        <f>IF(AND(Formulario!D31&lt;&gt;"", Formulario!E31&lt;&gt;"",A19&lt;&gt;""),Formulario!E31,"")</f>
        <v/>
      </c>
      <c r="D19" s="55" t="str">
        <f>IF('Cond SAP'!AA31="","",'Cond SAP'!AA31)</f>
        <v/>
      </c>
      <c r="E19" t="str">
        <f>IF(AND(Formulario!G31&lt;&gt;"",Formulario!Q31&lt;&gt;"",A19&lt;&gt;""),Formulario!Q31,"")</f>
        <v/>
      </c>
      <c r="F19" t="str" cm="1">
        <f t="array" aca="1" ref="F19" ca="1">IF(OR(A19="",B19=""),"",LEFT(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" t="str">
        <f>IF(AND(Formulario!G31&lt;&gt;"",Formulario!G31&lt;&gt;"",A19&lt;&gt;""),Formulario!G31,"")</f>
        <v/>
      </c>
      <c r="I19" t="str">
        <f>IF(AND(Formulario!D31&lt;&gt;"",A19&lt;&gt;""),"UY10","")</f>
        <v/>
      </c>
      <c r="J19" t="str">
        <f>IF(AND(Formulario!D31&lt;&gt;"",A19&lt;&gt;""),"0001","")</f>
        <v/>
      </c>
      <c r="K19" t="str">
        <f>IF(AND(Formulario!D31&lt;&gt;"",A19&lt;&gt;""),"1","")</f>
        <v/>
      </c>
    </row>
    <row r="20" spans="1:11" x14ac:dyDescent="0.3">
      <c r="A20" t="str">
        <f>IF(AND(Formulario!D32&lt;&gt;"",ISNUMBER(Formulario!D32)),Formulario!D32,"")</f>
        <v/>
      </c>
      <c r="B20" s="146" t="str">
        <f>IF(AND(Formulario!F32&lt;&gt;"", Formulario!F32&lt;&gt;"",A20&lt;&gt;""),Formulario!F32,"")</f>
        <v/>
      </c>
      <c r="C20" s="146" t="str">
        <f>IF(AND(Formulario!D32&lt;&gt;"", Formulario!E32&lt;&gt;"",A20&lt;&gt;""),Formulario!E32,"")</f>
        <v/>
      </c>
      <c r="D20" s="55" t="str">
        <f>IF('Cond SAP'!AA32="","",'Cond SAP'!AA32)</f>
        <v/>
      </c>
      <c r="E20" t="str">
        <f>IF(AND(Formulario!G32&lt;&gt;"",Formulario!Q32&lt;&gt;"",A20&lt;&gt;""),Formulario!Q32,"")</f>
        <v/>
      </c>
      <c r="F20" t="str" cm="1">
        <f t="array" aca="1" ref="F20" ca="1">IF(OR(A20="",B20=""),"",LEFT(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" t="str">
        <f>IF(AND(Formulario!G32&lt;&gt;"",Formulario!G32&lt;&gt;"",A20&lt;&gt;""),Formulario!G32,"")</f>
        <v/>
      </c>
      <c r="I20" t="str">
        <f>IF(AND(Formulario!D32&lt;&gt;"",A20&lt;&gt;""),"UY10","")</f>
        <v/>
      </c>
      <c r="J20" t="str">
        <f>IF(AND(Formulario!D32&lt;&gt;"",A20&lt;&gt;""),"0001","")</f>
        <v/>
      </c>
      <c r="K20" t="str">
        <f>IF(AND(Formulario!D32&lt;&gt;"",A20&lt;&gt;""),"1","")</f>
        <v/>
      </c>
    </row>
    <row r="21" spans="1:11" x14ac:dyDescent="0.3">
      <c r="A21" t="str">
        <f>IF(AND(Formulario!D33&lt;&gt;"",ISNUMBER(Formulario!D33)),Formulario!D33,"")</f>
        <v/>
      </c>
      <c r="B21" s="146" t="str">
        <f>IF(AND(Formulario!F33&lt;&gt;"", Formulario!F33&lt;&gt;"",A21&lt;&gt;""),Formulario!F33,"")</f>
        <v/>
      </c>
      <c r="C21" s="146" t="str">
        <f>IF(AND(Formulario!D33&lt;&gt;"", Formulario!E33&lt;&gt;"",A21&lt;&gt;""),Formulario!E33,"")</f>
        <v/>
      </c>
      <c r="D21" s="55" t="str">
        <f>IF('Cond SAP'!AA33="","",'Cond SAP'!AA33)</f>
        <v/>
      </c>
      <c r="E21" t="str">
        <f>IF(AND(Formulario!G33&lt;&gt;"",Formulario!Q33&lt;&gt;"",A21&lt;&gt;""),Formulario!Q33,"")</f>
        <v/>
      </c>
      <c r="F21" t="str" cm="1">
        <f t="array" aca="1" ref="F21" ca="1">IF(OR(A21="",B21=""),"",LEFT(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" t="str">
        <f>IF(AND(Formulario!G33&lt;&gt;"",Formulario!G33&lt;&gt;"",A21&lt;&gt;""),Formulario!G33,"")</f>
        <v/>
      </c>
      <c r="I21" t="str">
        <f>IF(AND(Formulario!D33&lt;&gt;"",A21&lt;&gt;""),"UY10","")</f>
        <v/>
      </c>
      <c r="J21" t="str">
        <f>IF(AND(Formulario!D33&lt;&gt;"",A21&lt;&gt;""),"0001","")</f>
        <v/>
      </c>
      <c r="K21" t="str">
        <f>IF(AND(Formulario!D33&lt;&gt;"",A21&lt;&gt;""),"1","")</f>
        <v/>
      </c>
    </row>
    <row r="22" spans="1:11" x14ac:dyDescent="0.3">
      <c r="A22" t="str">
        <f>IF(AND(Formulario!D34&lt;&gt;"",ISNUMBER(Formulario!D34)),Formulario!D34,"")</f>
        <v/>
      </c>
      <c r="B22" s="146" t="str">
        <f>IF(AND(Formulario!F34&lt;&gt;"", Formulario!F34&lt;&gt;"",A22&lt;&gt;""),Formulario!F34,"")</f>
        <v/>
      </c>
      <c r="C22" s="146" t="str">
        <f>IF(AND(Formulario!D34&lt;&gt;"", Formulario!E34&lt;&gt;"",A22&lt;&gt;""),Formulario!E34,"")</f>
        <v/>
      </c>
      <c r="D22" s="55" t="str">
        <f>IF('Cond SAP'!AA34="","",'Cond SAP'!AA34)</f>
        <v/>
      </c>
      <c r="E22" t="str">
        <f>IF(AND(Formulario!G34&lt;&gt;"",Formulario!Q34&lt;&gt;"",A22&lt;&gt;""),Formulario!Q34,"")</f>
        <v/>
      </c>
      <c r="F22" t="str" cm="1">
        <f t="array" aca="1" ref="F22" ca="1">IF(OR(A22="",B22=""),"",LEFT(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" t="str">
        <f>IF(AND(Formulario!G34&lt;&gt;"",Formulario!G34&lt;&gt;"",A22&lt;&gt;""),Formulario!G34,"")</f>
        <v/>
      </c>
      <c r="I22" t="str">
        <f>IF(AND(Formulario!D34&lt;&gt;"",A22&lt;&gt;""),"UY10","")</f>
        <v/>
      </c>
      <c r="J22" t="str">
        <f>IF(AND(Formulario!D34&lt;&gt;"",A22&lt;&gt;""),"0001","")</f>
        <v/>
      </c>
      <c r="K22" t="str">
        <f>IF(AND(Formulario!D34&lt;&gt;"",A22&lt;&gt;""),"1","")</f>
        <v/>
      </c>
    </row>
    <row r="23" spans="1:11" x14ac:dyDescent="0.3">
      <c r="A23" t="str">
        <f>IF(AND(Formulario!D35&lt;&gt;"",ISNUMBER(Formulario!D35)),Formulario!D35,"")</f>
        <v/>
      </c>
      <c r="B23" s="146" t="str">
        <f>IF(AND(Formulario!F35&lt;&gt;"", Formulario!F35&lt;&gt;"",A23&lt;&gt;""),Formulario!F35,"")</f>
        <v/>
      </c>
      <c r="C23" s="146" t="str">
        <f>IF(AND(Formulario!D35&lt;&gt;"", Formulario!E35&lt;&gt;"",A23&lt;&gt;""),Formulario!E35,"")</f>
        <v/>
      </c>
      <c r="D23" s="55" t="str">
        <f>IF('Cond SAP'!AA35="","",'Cond SAP'!AA35)</f>
        <v/>
      </c>
      <c r="E23" t="str">
        <f>IF(AND(Formulario!G35&lt;&gt;"",Formulario!Q35&lt;&gt;"",A23&lt;&gt;""),Formulario!Q35,"")</f>
        <v/>
      </c>
      <c r="F23" t="str" cm="1">
        <f t="array" aca="1" ref="F23" ca="1">IF(OR(A23="",B23=""),"",LEFT(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" t="str">
        <f>IF(AND(Formulario!G35&lt;&gt;"",Formulario!G35&lt;&gt;"",A23&lt;&gt;""),Formulario!G35,"")</f>
        <v/>
      </c>
      <c r="I23" t="str">
        <f>IF(AND(Formulario!D35&lt;&gt;"",A23&lt;&gt;""),"UY10","")</f>
        <v/>
      </c>
      <c r="J23" t="str">
        <f>IF(AND(Formulario!D35&lt;&gt;"",A23&lt;&gt;""),"0001","")</f>
        <v/>
      </c>
      <c r="K23" t="str">
        <f>IF(AND(Formulario!D35&lt;&gt;"",A23&lt;&gt;""),"1","")</f>
        <v/>
      </c>
    </row>
    <row r="24" spans="1:11" x14ac:dyDescent="0.3">
      <c r="A24" t="str">
        <f>IF(AND(Formulario!D36&lt;&gt;"",ISNUMBER(Formulario!D36)),Formulario!D36,"")</f>
        <v/>
      </c>
      <c r="B24" s="146" t="str">
        <f>IF(AND(Formulario!F36&lt;&gt;"", Formulario!F36&lt;&gt;"",A24&lt;&gt;""),Formulario!F36,"")</f>
        <v/>
      </c>
      <c r="C24" s="146" t="str">
        <f>IF(AND(Formulario!D36&lt;&gt;"", Formulario!E36&lt;&gt;"",A24&lt;&gt;""),Formulario!E36,"")</f>
        <v/>
      </c>
      <c r="D24" s="55" t="str">
        <f>IF('Cond SAP'!AA36="","",'Cond SAP'!AA36)</f>
        <v/>
      </c>
      <c r="E24" t="str">
        <f>IF(AND(Formulario!G36&lt;&gt;"",Formulario!Q36&lt;&gt;"",A24&lt;&gt;""),Formulario!Q36,"")</f>
        <v/>
      </c>
      <c r="F24" t="str" cm="1">
        <f t="array" aca="1" ref="F24" ca="1">IF(OR(A24="",B24=""),"",LEFT(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" t="str">
        <f>IF(AND(Formulario!G36&lt;&gt;"",Formulario!G36&lt;&gt;"",A24&lt;&gt;""),Formulario!G36,"")</f>
        <v/>
      </c>
      <c r="I24" t="str">
        <f>IF(AND(Formulario!D36&lt;&gt;"",A24&lt;&gt;""),"UY10","")</f>
        <v/>
      </c>
      <c r="J24" t="str">
        <f>IF(AND(Formulario!D36&lt;&gt;"",A24&lt;&gt;""),"0001","")</f>
        <v/>
      </c>
      <c r="K24" t="str">
        <f>IF(AND(Formulario!D36&lt;&gt;"",A24&lt;&gt;""),"1","")</f>
        <v/>
      </c>
    </row>
    <row r="25" spans="1:11" x14ac:dyDescent="0.3">
      <c r="A25" t="str">
        <f>IF(AND(Formulario!D37&lt;&gt;"",ISNUMBER(Formulario!D37)),Formulario!D37,"")</f>
        <v/>
      </c>
      <c r="B25" s="146" t="str">
        <f>IF(AND(Formulario!F37&lt;&gt;"", Formulario!F37&lt;&gt;"",A25&lt;&gt;""),Formulario!F37,"")</f>
        <v/>
      </c>
      <c r="C25" s="146" t="str">
        <f>IF(AND(Formulario!D37&lt;&gt;"", Formulario!E37&lt;&gt;"",A25&lt;&gt;""),Formulario!E37,"")</f>
        <v/>
      </c>
      <c r="D25" s="55" t="str">
        <f>IF('Cond SAP'!AA37="","",'Cond SAP'!AA37)</f>
        <v/>
      </c>
      <c r="E25" t="str">
        <f>IF(AND(Formulario!G37&lt;&gt;"",Formulario!Q37&lt;&gt;"",A25&lt;&gt;""),Formulario!Q37,"")</f>
        <v/>
      </c>
      <c r="F25" t="str" cm="1">
        <f t="array" aca="1" ref="F25" ca="1">IF(OR(A25="",B25=""),"",LEFT(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" t="str">
        <f>IF(AND(Formulario!G37&lt;&gt;"",Formulario!G37&lt;&gt;"",A25&lt;&gt;""),Formulario!G37,"")</f>
        <v/>
      </c>
      <c r="I25" t="str">
        <f>IF(AND(Formulario!D37&lt;&gt;"",A25&lt;&gt;""),"UY10","")</f>
        <v/>
      </c>
      <c r="J25" t="str">
        <f>IF(AND(Formulario!D37&lt;&gt;"",A25&lt;&gt;""),"0001","")</f>
        <v/>
      </c>
      <c r="K25" t="str">
        <f>IF(AND(Formulario!D37&lt;&gt;"",A25&lt;&gt;""),"1","")</f>
        <v/>
      </c>
    </row>
    <row r="26" spans="1:11" x14ac:dyDescent="0.3">
      <c r="A26" t="str">
        <f>IF(AND(Formulario!D38&lt;&gt;"",ISNUMBER(Formulario!D38)),Formulario!D38,"")</f>
        <v/>
      </c>
      <c r="B26" s="146" t="str">
        <f>IF(AND(Formulario!F38&lt;&gt;"", Formulario!F38&lt;&gt;"",A26&lt;&gt;""),Formulario!F38,"")</f>
        <v/>
      </c>
      <c r="C26" s="146" t="str">
        <f>IF(AND(Formulario!D38&lt;&gt;"", Formulario!E38&lt;&gt;"",A26&lt;&gt;""),Formulario!E38,"")</f>
        <v/>
      </c>
      <c r="D26" s="55" t="str">
        <f>IF('Cond SAP'!AA38="","",'Cond SAP'!AA38)</f>
        <v/>
      </c>
      <c r="E26" t="str">
        <f>IF(AND(Formulario!G38&lt;&gt;"",Formulario!Q38&lt;&gt;"",A26&lt;&gt;""),Formulario!Q38,"")</f>
        <v/>
      </c>
      <c r="F26" t="str" cm="1">
        <f t="array" aca="1" ref="F26" ca="1">IF(OR(A26="",B26=""),"",LEFT(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" t="str">
        <f>IF(AND(Formulario!G38&lt;&gt;"",Formulario!G38&lt;&gt;"",A26&lt;&gt;""),Formulario!G38,"")</f>
        <v/>
      </c>
      <c r="I26" t="str">
        <f>IF(AND(Formulario!D38&lt;&gt;"",A26&lt;&gt;""),"UY10","")</f>
        <v/>
      </c>
      <c r="J26" t="str">
        <f>IF(AND(Formulario!D38&lt;&gt;"",A26&lt;&gt;""),"0001","")</f>
        <v/>
      </c>
      <c r="K26" t="str">
        <f>IF(AND(Formulario!D38&lt;&gt;"",A26&lt;&gt;""),"1","")</f>
        <v/>
      </c>
    </row>
    <row r="27" spans="1:11" x14ac:dyDescent="0.3">
      <c r="A27" t="str">
        <f>IF(AND(Formulario!D39&lt;&gt;"",ISNUMBER(Formulario!D39)),Formulario!D39,"")</f>
        <v/>
      </c>
      <c r="B27" s="146" t="str">
        <f>IF(AND(Formulario!F39&lt;&gt;"", Formulario!F39&lt;&gt;"",A27&lt;&gt;""),Formulario!F39,"")</f>
        <v/>
      </c>
      <c r="C27" s="146" t="str">
        <f>IF(AND(Formulario!D39&lt;&gt;"", Formulario!E39&lt;&gt;"",A27&lt;&gt;""),Formulario!E39,"")</f>
        <v/>
      </c>
      <c r="D27" s="55" t="str">
        <f>IF('Cond SAP'!AA39="","",'Cond SAP'!AA39)</f>
        <v/>
      </c>
      <c r="E27" t="str">
        <f>IF(AND(Formulario!G39&lt;&gt;"",Formulario!Q39&lt;&gt;"",A27&lt;&gt;""),Formulario!Q39,"")</f>
        <v/>
      </c>
      <c r="F27" t="str" cm="1">
        <f t="array" aca="1" ref="F27" ca="1">IF(OR(A27="",B27=""),"",LEFT(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" t="str">
        <f>IF(AND(Formulario!G39&lt;&gt;"",Formulario!G39&lt;&gt;"",A27&lt;&gt;""),Formulario!G39,"")</f>
        <v/>
      </c>
      <c r="I27" t="str">
        <f>IF(AND(Formulario!D39&lt;&gt;"",A27&lt;&gt;""),"UY10","")</f>
        <v/>
      </c>
      <c r="J27" t="str">
        <f>IF(AND(Formulario!D39&lt;&gt;"",A27&lt;&gt;""),"0001","")</f>
        <v/>
      </c>
      <c r="K27" t="str">
        <f>IF(AND(Formulario!D39&lt;&gt;"",A27&lt;&gt;""),"1","")</f>
        <v/>
      </c>
    </row>
    <row r="28" spans="1:11" x14ac:dyDescent="0.3">
      <c r="A28" t="str">
        <f>IF(AND(Formulario!D40&lt;&gt;"",ISNUMBER(Formulario!D40)),Formulario!D40,"")</f>
        <v/>
      </c>
      <c r="B28" s="146" t="str">
        <f>IF(AND(Formulario!F40&lt;&gt;"", Formulario!F40&lt;&gt;"",A28&lt;&gt;""),Formulario!F40,"")</f>
        <v/>
      </c>
      <c r="C28" s="146" t="str">
        <f>IF(AND(Formulario!D40&lt;&gt;"", Formulario!E40&lt;&gt;"",A28&lt;&gt;""),Formulario!E40,"")</f>
        <v/>
      </c>
      <c r="D28" s="55" t="str">
        <f>IF('Cond SAP'!AA40="","",'Cond SAP'!AA40)</f>
        <v/>
      </c>
      <c r="E28" t="str">
        <f>IF(AND(Formulario!G40&lt;&gt;"",Formulario!Q40&lt;&gt;"",A28&lt;&gt;""),Formulario!Q40,"")</f>
        <v/>
      </c>
      <c r="F28" t="str" cm="1">
        <f t="array" aca="1" ref="F28" ca="1">IF(OR(A28="",B28=""),"",LEFT(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" t="str">
        <f>IF(AND(Formulario!G40&lt;&gt;"",Formulario!G40&lt;&gt;"",A28&lt;&gt;""),Formulario!G40,"")</f>
        <v/>
      </c>
      <c r="I28" t="str">
        <f>IF(AND(Formulario!D40&lt;&gt;"",A28&lt;&gt;""),"UY10","")</f>
        <v/>
      </c>
      <c r="J28" t="str">
        <f>IF(AND(Formulario!D40&lt;&gt;"",A28&lt;&gt;""),"0001","")</f>
        <v/>
      </c>
      <c r="K28" t="str">
        <f>IF(AND(Formulario!D40&lt;&gt;"",A28&lt;&gt;""),"1","")</f>
        <v/>
      </c>
    </row>
    <row r="29" spans="1:11" x14ac:dyDescent="0.3">
      <c r="A29" t="str">
        <f>IF(AND(Formulario!D41&lt;&gt;"",ISNUMBER(Formulario!D41)),Formulario!D41,"")</f>
        <v/>
      </c>
      <c r="B29" s="146" t="str">
        <f>IF(AND(Formulario!F41&lt;&gt;"", Formulario!F41&lt;&gt;"",A29&lt;&gt;""),Formulario!F41,"")</f>
        <v/>
      </c>
      <c r="C29" s="146" t="str">
        <f>IF(AND(Formulario!D41&lt;&gt;"", Formulario!E41&lt;&gt;"",A29&lt;&gt;""),Formulario!E41,"")</f>
        <v/>
      </c>
      <c r="D29" s="55" t="str">
        <f>IF('Cond SAP'!AA41="","",'Cond SAP'!AA41)</f>
        <v/>
      </c>
      <c r="E29" t="str">
        <f>IF(AND(Formulario!G41&lt;&gt;"",Formulario!Q41&lt;&gt;"",A29&lt;&gt;""),Formulario!Q41,"")</f>
        <v/>
      </c>
      <c r="F29" t="str" cm="1">
        <f t="array" aca="1" ref="F29" ca="1">IF(OR(A29="",B29=""),"",LEFT(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" t="str">
        <f>IF(AND(Formulario!G41&lt;&gt;"",Formulario!G41&lt;&gt;"",A29&lt;&gt;""),Formulario!G41,"")</f>
        <v/>
      </c>
      <c r="I29" t="str">
        <f>IF(AND(Formulario!D41&lt;&gt;"",A29&lt;&gt;""),"UY10","")</f>
        <v/>
      </c>
      <c r="J29" t="str">
        <f>IF(AND(Formulario!D41&lt;&gt;"",A29&lt;&gt;""),"0001","")</f>
        <v/>
      </c>
      <c r="K29" t="str">
        <f>IF(AND(Formulario!D41&lt;&gt;"",A29&lt;&gt;""),"1","")</f>
        <v/>
      </c>
    </row>
    <row r="30" spans="1:11" x14ac:dyDescent="0.3">
      <c r="A30" t="str">
        <f>IF(AND(Formulario!D42&lt;&gt;"",ISNUMBER(Formulario!D42)),Formulario!D42,"")</f>
        <v/>
      </c>
      <c r="B30" s="146" t="str">
        <f>IF(AND(Formulario!F42&lt;&gt;"", Formulario!F42&lt;&gt;"",A30&lt;&gt;""),Formulario!F42,"")</f>
        <v/>
      </c>
      <c r="C30" s="146" t="str">
        <f>IF(AND(Formulario!D42&lt;&gt;"", Formulario!E42&lt;&gt;"",A30&lt;&gt;""),Formulario!E42,"")</f>
        <v/>
      </c>
      <c r="D30" s="55" t="str">
        <f>IF('Cond SAP'!AA42="","",'Cond SAP'!AA42)</f>
        <v/>
      </c>
      <c r="E30" t="str">
        <f>IF(AND(Formulario!G42&lt;&gt;"",Formulario!Q42&lt;&gt;"",A30&lt;&gt;""),Formulario!Q42,"")</f>
        <v/>
      </c>
      <c r="F30" t="str" cm="1">
        <f t="array" aca="1" ref="F30" ca="1">IF(OR(A30="",B30=""),"",LEFT(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" t="str">
        <f>IF(AND(Formulario!G42&lt;&gt;"",Formulario!G42&lt;&gt;"",A30&lt;&gt;""),Formulario!G42,"")</f>
        <v/>
      </c>
      <c r="I30" t="str">
        <f>IF(AND(Formulario!D42&lt;&gt;"",A30&lt;&gt;""),"UY10","")</f>
        <v/>
      </c>
      <c r="J30" t="str">
        <f>IF(AND(Formulario!D42&lt;&gt;"",A30&lt;&gt;""),"0001","")</f>
        <v/>
      </c>
      <c r="K30" t="str">
        <f>IF(AND(Formulario!D42&lt;&gt;"",A30&lt;&gt;""),"1","")</f>
        <v/>
      </c>
    </row>
    <row r="31" spans="1:11" x14ac:dyDescent="0.3">
      <c r="A31" t="str">
        <f>IF(AND(Formulario!D43&lt;&gt;"",ISNUMBER(Formulario!D43)),Formulario!D43,"")</f>
        <v/>
      </c>
      <c r="B31" s="146" t="str">
        <f>IF(AND(Formulario!F43&lt;&gt;"", Formulario!F43&lt;&gt;"",A31&lt;&gt;""),Formulario!F43,"")</f>
        <v/>
      </c>
      <c r="C31" s="146" t="str">
        <f>IF(AND(Formulario!D43&lt;&gt;"", Formulario!E43&lt;&gt;"",A31&lt;&gt;""),Formulario!E43,"")</f>
        <v/>
      </c>
      <c r="D31" s="55" t="str">
        <f>IF('Cond SAP'!AA43="","",'Cond SAP'!AA43)</f>
        <v/>
      </c>
      <c r="E31" t="str">
        <f>IF(AND(Formulario!G43&lt;&gt;"",Formulario!Q43&lt;&gt;"",A31&lt;&gt;""),Formulario!Q43,"")</f>
        <v/>
      </c>
      <c r="F31" t="str" cm="1">
        <f t="array" aca="1" ref="F31" ca="1">IF(OR(A31="",B31=""),"",LEFT(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" t="str">
        <f>IF(AND(Formulario!G43&lt;&gt;"",Formulario!G43&lt;&gt;"",A31&lt;&gt;""),Formulario!G43,"")</f>
        <v/>
      </c>
      <c r="I31" t="str">
        <f>IF(AND(Formulario!D43&lt;&gt;"",A31&lt;&gt;""),"UY10","")</f>
        <v/>
      </c>
      <c r="J31" t="str">
        <f>IF(AND(Formulario!D43&lt;&gt;"",A31&lt;&gt;""),"0001","")</f>
        <v/>
      </c>
      <c r="K31" t="str">
        <f>IF(AND(Formulario!D43&lt;&gt;"",A31&lt;&gt;""),"1","")</f>
        <v/>
      </c>
    </row>
    <row r="32" spans="1:11" x14ac:dyDescent="0.3">
      <c r="A32" t="str">
        <f>IF(AND(Formulario!D44&lt;&gt;"",ISNUMBER(Formulario!D44)),Formulario!D44,"")</f>
        <v/>
      </c>
      <c r="B32" s="146" t="str">
        <f>IF(AND(Formulario!F44&lt;&gt;"", Formulario!F44&lt;&gt;"",A32&lt;&gt;""),Formulario!F44,"")</f>
        <v/>
      </c>
      <c r="C32" s="146" t="str">
        <f>IF(AND(Formulario!D44&lt;&gt;"", Formulario!E44&lt;&gt;"",A32&lt;&gt;""),Formulario!E44,"")</f>
        <v/>
      </c>
      <c r="D32" s="55" t="str">
        <f>IF('Cond SAP'!AA44="","",'Cond SAP'!AA44)</f>
        <v/>
      </c>
      <c r="E32" t="str">
        <f>IF(AND(Formulario!G44&lt;&gt;"",Formulario!Q44&lt;&gt;"",A32&lt;&gt;""),Formulario!Q44,"")</f>
        <v/>
      </c>
      <c r="F32" t="str" cm="1">
        <f t="array" aca="1" ref="F32" ca="1">IF(OR(A32="",B32=""),"",LEFT(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" t="str">
        <f>IF(AND(Formulario!G44&lt;&gt;"",Formulario!G44&lt;&gt;"",A32&lt;&gt;""),Formulario!G44,"")</f>
        <v/>
      </c>
      <c r="I32" t="str">
        <f>IF(AND(Formulario!D44&lt;&gt;"",A32&lt;&gt;""),"UY10","")</f>
        <v/>
      </c>
      <c r="J32" t="str">
        <f>IF(AND(Formulario!D44&lt;&gt;"",A32&lt;&gt;""),"0001","")</f>
        <v/>
      </c>
      <c r="K32" t="str">
        <f>IF(AND(Formulario!D44&lt;&gt;"",A32&lt;&gt;""),"1","")</f>
        <v/>
      </c>
    </row>
    <row r="33" spans="1:11" x14ac:dyDescent="0.3">
      <c r="A33" t="str">
        <f>IF(AND(Formulario!D45&lt;&gt;"",ISNUMBER(Formulario!D45)),Formulario!D45,"")</f>
        <v/>
      </c>
      <c r="B33" s="146" t="str">
        <f>IF(AND(Formulario!F45&lt;&gt;"", Formulario!F45&lt;&gt;"",A33&lt;&gt;""),Formulario!F45,"")</f>
        <v/>
      </c>
      <c r="C33" s="146" t="str">
        <f>IF(AND(Formulario!D45&lt;&gt;"", Formulario!E45&lt;&gt;"",A33&lt;&gt;""),Formulario!E45,"")</f>
        <v/>
      </c>
      <c r="D33" s="55" t="str">
        <f>IF('Cond SAP'!AA45="","",'Cond SAP'!AA45)</f>
        <v/>
      </c>
      <c r="E33" t="str">
        <f>IF(AND(Formulario!G45&lt;&gt;"",Formulario!Q45&lt;&gt;"",A33&lt;&gt;""),Formulario!Q45,"")</f>
        <v/>
      </c>
      <c r="F33" t="str" cm="1">
        <f t="array" aca="1" ref="F33" ca="1">IF(OR(A33="",B33=""),"",LEFT(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" t="str">
        <f>IF(AND(Formulario!G45&lt;&gt;"",Formulario!G45&lt;&gt;"",A33&lt;&gt;""),Formulario!G45,"")</f>
        <v/>
      </c>
      <c r="I33" t="str">
        <f>IF(AND(Formulario!D45&lt;&gt;"",A33&lt;&gt;""),"UY10","")</f>
        <v/>
      </c>
      <c r="J33" t="str">
        <f>IF(AND(Formulario!D45&lt;&gt;"",A33&lt;&gt;""),"0001","")</f>
        <v/>
      </c>
      <c r="K33" t="str">
        <f>IF(AND(Formulario!D45&lt;&gt;"",A33&lt;&gt;""),"1","")</f>
        <v/>
      </c>
    </row>
    <row r="34" spans="1:11" x14ac:dyDescent="0.3">
      <c r="A34" t="str">
        <f>IF(AND(Formulario!D46&lt;&gt;"",ISNUMBER(Formulario!D46)),Formulario!D46,"")</f>
        <v/>
      </c>
      <c r="B34" s="146" t="str">
        <f>IF(AND(Formulario!F46&lt;&gt;"", Formulario!F46&lt;&gt;"",A34&lt;&gt;""),Formulario!F46,"")</f>
        <v/>
      </c>
      <c r="C34" s="146" t="str">
        <f>IF(AND(Formulario!D46&lt;&gt;"", Formulario!E46&lt;&gt;"",A34&lt;&gt;""),Formulario!E46,"")</f>
        <v/>
      </c>
      <c r="D34" s="55" t="str">
        <f>IF('Cond SAP'!AA46="","",'Cond SAP'!AA46)</f>
        <v/>
      </c>
      <c r="E34" t="str">
        <f>IF(AND(Formulario!G46&lt;&gt;"",Formulario!Q46&lt;&gt;"",A34&lt;&gt;""),Formulario!Q46,"")</f>
        <v/>
      </c>
      <c r="F34" t="str" cm="1">
        <f t="array" aca="1" ref="F34" ca="1">IF(OR(A34="",B34=""),"",LEFT(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" t="str">
        <f>IF(AND(Formulario!G46&lt;&gt;"",Formulario!G46&lt;&gt;"",A34&lt;&gt;""),Formulario!G46,"")</f>
        <v/>
      </c>
      <c r="I34" t="str">
        <f>IF(AND(Formulario!D46&lt;&gt;"",A34&lt;&gt;""),"UY10","")</f>
        <v/>
      </c>
      <c r="J34" t="str">
        <f>IF(AND(Formulario!D46&lt;&gt;"",A34&lt;&gt;""),"0001","")</f>
        <v/>
      </c>
      <c r="K34" t="str">
        <f>IF(AND(Formulario!D46&lt;&gt;"",A34&lt;&gt;""),"1","")</f>
        <v/>
      </c>
    </row>
    <row r="35" spans="1:11" x14ac:dyDescent="0.3">
      <c r="A35" t="str">
        <f>IF(AND(Formulario!D47&lt;&gt;"",ISNUMBER(Formulario!D47)),Formulario!D47,"")</f>
        <v/>
      </c>
      <c r="B35" s="146" t="str">
        <f>IF(AND(Formulario!F47&lt;&gt;"", Formulario!F47&lt;&gt;"",A35&lt;&gt;""),Formulario!F47,"")</f>
        <v/>
      </c>
      <c r="C35" s="146" t="str">
        <f>IF(AND(Formulario!D47&lt;&gt;"", Formulario!E47&lt;&gt;"",A35&lt;&gt;""),Formulario!E47,"")</f>
        <v/>
      </c>
      <c r="D35" s="55" t="str">
        <f>IF('Cond SAP'!AA47="","",'Cond SAP'!AA47)</f>
        <v/>
      </c>
      <c r="E35" t="str">
        <f>IF(AND(Formulario!G47&lt;&gt;"",Formulario!Q47&lt;&gt;"",A35&lt;&gt;""),Formulario!Q47,"")</f>
        <v/>
      </c>
      <c r="F35" t="str" cm="1">
        <f t="array" aca="1" ref="F35" ca="1">IF(OR(A35="",B35=""),"",LEFT(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" t="str">
        <f>IF(AND(Formulario!G47&lt;&gt;"",Formulario!G47&lt;&gt;"",A35&lt;&gt;""),Formulario!G47,"")</f>
        <v/>
      </c>
      <c r="I35" t="str">
        <f>IF(AND(Formulario!D47&lt;&gt;"",A35&lt;&gt;""),"UY10","")</f>
        <v/>
      </c>
      <c r="J35" t="str">
        <f>IF(AND(Formulario!D47&lt;&gt;"",A35&lt;&gt;""),"0001","")</f>
        <v/>
      </c>
      <c r="K35" t="str">
        <f>IF(AND(Formulario!D47&lt;&gt;"",A35&lt;&gt;""),"1","")</f>
        <v/>
      </c>
    </row>
    <row r="36" spans="1:11" x14ac:dyDescent="0.3">
      <c r="A36" t="str">
        <f>IF(AND(Formulario!D48&lt;&gt;"",ISNUMBER(Formulario!D48)),Formulario!D48,"")</f>
        <v/>
      </c>
      <c r="B36" s="146" t="str">
        <f>IF(AND(Formulario!F48&lt;&gt;"", Formulario!F48&lt;&gt;"",A36&lt;&gt;""),Formulario!F48,"")</f>
        <v/>
      </c>
      <c r="C36" s="146" t="str">
        <f>IF(AND(Formulario!D48&lt;&gt;"", Formulario!E48&lt;&gt;"",A36&lt;&gt;""),Formulario!E48,"")</f>
        <v/>
      </c>
      <c r="D36" s="55" t="str">
        <f>IF('Cond SAP'!AA48="","",'Cond SAP'!AA48)</f>
        <v/>
      </c>
      <c r="E36" t="str">
        <f>IF(AND(Formulario!G48&lt;&gt;"",Formulario!Q48&lt;&gt;"",A36&lt;&gt;""),Formulario!Q48,"")</f>
        <v/>
      </c>
      <c r="F36" t="str" cm="1">
        <f t="array" aca="1" ref="F36" ca="1">IF(OR(A36="",B36=""),"",LEFT(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" t="str">
        <f>IF(AND(Formulario!G48&lt;&gt;"",Formulario!G48&lt;&gt;"",A36&lt;&gt;""),Formulario!G48,"")</f>
        <v/>
      </c>
      <c r="I36" t="str">
        <f>IF(AND(Formulario!D48&lt;&gt;"",A36&lt;&gt;""),"UY10","")</f>
        <v/>
      </c>
      <c r="J36" t="str">
        <f>IF(AND(Formulario!D48&lt;&gt;"",A36&lt;&gt;""),"0001","")</f>
        <v/>
      </c>
      <c r="K36" t="str">
        <f>IF(AND(Formulario!D48&lt;&gt;"",A36&lt;&gt;""),"1","")</f>
        <v/>
      </c>
    </row>
    <row r="37" spans="1:11" x14ac:dyDescent="0.3">
      <c r="A37" t="str">
        <f>IF(AND(Formulario!D49&lt;&gt;"",ISNUMBER(Formulario!D49)),Formulario!D49,"")</f>
        <v/>
      </c>
      <c r="B37" s="146" t="str">
        <f>IF(AND(Formulario!F49&lt;&gt;"", Formulario!F49&lt;&gt;"",A37&lt;&gt;""),Formulario!F49,"")</f>
        <v/>
      </c>
      <c r="C37" s="146" t="str">
        <f>IF(AND(Formulario!D49&lt;&gt;"", Formulario!E49&lt;&gt;"",A37&lt;&gt;""),Formulario!E49,"")</f>
        <v/>
      </c>
      <c r="D37" s="55" t="str">
        <f>IF('Cond SAP'!AA49="","",'Cond SAP'!AA49)</f>
        <v/>
      </c>
      <c r="E37" t="str">
        <f>IF(AND(Formulario!G49&lt;&gt;"",Formulario!Q49&lt;&gt;"",A37&lt;&gt;""),Formulario!Q49,"")</f>
        <v/>
      </c>
      <c r="F37" t="str" cm="1">
        <f t="array" aca="1" ref="F37" ca="1">IF(OR(A37="",B37=""),"",LEFT(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" t="str">
        <f>IF(AND(Formulario!G49&lt;&gt;"",Formulario!G49&lt;&gt;"",A37&lt;&gt;""),Formulario!G49,"")</f>
        <v/>
      </c>
      <c r="I37" t="str">
        <f>IF(AND(Formulario!D49&lt;&gt;"",A37&lt;&gt;""),"UY10","")</f>
        <v/>
      </c>
      <c r="J37" t="str">
        <f>IF(AND(Formulario!D49&lt;&gt;"",A37&lt;&gt;""),"0001","")</f>
        <v/>
      </c>
      <c r="K37" t="str">
        <f>IF(AND(Formulario!D49&lt;&gt;"",A37&lt;&gt;""),"1","")</f>
        <v/>
      </c>
    </row>
    <row r="38" spans="1:11" x14ac:dyDescent="0.3">
      <c r="A38" t="str">
        <f>IF(AND(Formulario!D50&lt;&gt;"",ISNUMBER(Formulario!D50)),Formulario!D50,"")</f>
        <v/>
      </c>
      <c r="B38" s="146" t="str">
        <f>IF(AND(Formulario!F50&lt;&gt;"", Formulario!F50&lt;&gt;"",A38&lt;&gt;""),Formulario!F50,"")</f>
        <v/>
      </c>
      <c r="C38" s="146" t="str">
        <f>IF(AND(Formulario!D50&lt;&gt;"", Formulario!E50&lt;&gt;"",A38&lt;&gt;""),Formulario!E50,"")</f>
        <v/>
      </c>
      <c r="D38" s="55" t="str">
        <f>IF('Cond SAP'!AA50="","",'Cond SAP'!AA50)</f>
        <v/>
      </c>
      <c r="E38" t="str">
        <f>IF(AND(Formulario!G50&lt;&gt;"",Formulario!Q50&lt;&gt;"",A38&lt;&gt;""),Formulario!Q50,"")</f>
        <v/>
      </c>
      <c r="F38" t="str" cm="1">
        <f t="array" aca="1" ref="F38" ca="1">IF(OR(A38="",B38=""),"",LEFT(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" t="str">
        <f>IF(AND(Formulario!G50&lt;&gt;"",Formulario!G50&lt;&gt;"",A38&lt;&gt;""),Formulario!G50,"")</f>
        <v/>
      </c>
      <c r="I38" t="str">
        <f>IF(AND(Formulario!D50&lt;&gt;"",A38&lt;&gt;""),"UY10","")</f>
        <v/>
      </c>
      <c r="J38" t="str">
        <f>IF(AND(Formulario!D50&lt;&gt;"",A38&lt;&gt;""),"0001","")</f>
        <v/>
      </c>
      <c r="K38" t="str">
        <f>IF(AND(Formulario!D50&lt;&gt;"",A38&lt;&gt;""),"1","")</f>
        <v/>
      </c>
    </row>
    <row r="39" spans="1:11" x14ac:dyDescent="0.3">
      <c r="A39" t="str">
        <f>IF(AND(Formulario!D51&lt;&gt;"",ISNUMBER(Formulario!D51)),Formulario!D51,"")</f>
        <v/>
      </c>
      <c r="B39" s="146" t="str">
        <f>IF(AND(Formulario!F51&lt;&gt;"", Formulario!F51&lt;&gt;"",A39&lt;&gt;""),Formulario!F51,"")</f>
        <v/>
      </c>
      <c r="C39" s="146" t="str">
        <f>IF(AND(Formulario!D51&lt;&gt;"", Formulario!E51&lt;&gt;"",A39&lt;&gt;""),Formulario!E51,"")</f>
        <v/>
      </c>
      <c r="D39" s="55" t="str">
        <f>IF('Cond SAP'!AA51="","",'Cond SAP'!AA51)</f>
        <v/>
      </c>
      <c r="E39" t="str">
        <f>IF(AND(Formulario!G51&lt;&gt;"",Formulario!Q51&lt;&gt;"",A39&lt;&gt;""),Formulario!Q51,"")</f>
        <v/>
      </c>
      <c r="F39" t="str" cm="1">
        <f t="array" aca="1" ref="F39" ca="1">IF(OR(A39="",B39=""),"",LEFT(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" t="str">
        <f>IF(AND(Formulario!G51&lt;&gt;"",Formulario!G51&lt;&gt;"",A39&lt;&gt;""),Formulario!G51,"")</f>
        <v/>
      </c>
      <c r="I39" t="str">
        <f>IF(AND(Formulario!D51&lt;&gt;"",A39&lt;&gt;""),"UY10","")</f>
        <v/>
      </c>
      <c r="J39" t="str">
        <f>IF(AND(Formulario!D51&lt;&gt;"",A39&lt;&gt;""),"0001","")</f>
        <v/>
      </c>
      <c r="K39" t="str">
        <f>IF(AND(Formulario!D51&lt;&gt;"",A39&lt;&gt;""),"1","")</f>
        <v/>
      </c>
    </row>
    <row r="40" spans="1:11" x14ac:dyDescent="0.3">
      <c r="A40" t="str">
        <f>IF(AND(Formulario!D52&lt;&gt;"",ISNUMBER(Formulario!D52)),Formulario!D52,"")</f>
        <v/>
      </c>
      <c r="B40" s="146" t="str">
        <f>IF(AND(Formulario!F52&lt;&gt;"", Formulario!F52&lt;&gt;"",A40&lt;&gt;""),Formulario!F52,"")</f>
        <v/>
      </c>
      <c r="C40" s="146" t="str">
        <f>IF(AND(Formulario!D52&lt;&gt;"", Formulario!E52&lt;&gt;"",A40&lt;&gt;""),Formulario!E52,"")</f>
        <v/>
      </c>
      <c r="D40" s="55" t="str">
        <f>IF('Cond SAP'!AA52="","",'Cond SAP'!AA52)</f>
        <v/>
      </c>
      <c r="E40" t="str">
        <f>IF(AND(Formulario!G52&lt;&gt;"",Formulario!Q52&lt;&gt;"",A40&lt;&gt;""),Formulario!Q52,"")</f>
        <v/>
      </c>
      <c r="F40" t="str" cm="1">
        <f t="array" aca="1" ref="F40" ca="1">IF(OR(A40="",B40=""),"",LEFT(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" t="str">
        <f>IF(AND(Formulario!G52&lt;&gt;"",Formulario!G52&lt;&gt;"",A40&lt;&gt;""),Formulario!G52,"")</f>
        <v/>
      </c>
      <c r="I40" t="str">
        <f>IF(AND(Formulario!D52&lt;&gt;"",A40&lt;&gt;""),"UY10","")</f>
        <v/>
      </c>
      <c r="J40" t="str">
        <f>IF(AND(Formulario!D52&lt;&gt;"",A40&lt;&gt;""),"0001","")</f>
        <v/>
      </c>
      <c r="K40" t="str">
        <f>IF(AND(Formulario!D52&lt;&gt;"",A40&lt;&gt;""),"1","")</f>
        <v/>
      </c>
    </row>
    <row r="41" spans="1:11" x14ac:dyDescent="0.3">
      <c r="A41" t="str">
        <f>IF(AND(Formulario!D53&lt;&gt;"",ISNUMBER(Formulario!D53)),Formulario!D53,"")</f>
        <v/>
      </c>
      <c r="B41" s="146" t="str">
        <f>IF(AND(Formulario!F53&lt;&gt;"", Formulario!F53&lt;&gt;"",A41&lt;&gt;""),Formulario!F53,"")</f>
        <v/>
      </c>
      <c r="C41" s="146" t="str">
        <f>IF(AND(Formulario!D53&lt;&gt;"", Formulario!E53&lt;&gt;"",A41&lt;&gt;""),Formulario!E53,"")</f>
        <v/>
      </c>
      <c r="D41" s="55" t="str">
        <f>IF('Cond SAP'!AA53="","",'Cond SAP'!AA53)</f>
        <v/>
      </c>
      <c r="E41" t="str">
        <f>IF(AND(Formulario!G53&lt;&gt;"",Formulario!Q53&lt;&gt;"",A41&lt;&gt;""),Formulario!Q53,"")</f>
        <v/>
      </c>
      <c r="F41" t="str" cm="1">
        <f t="array" aca="1" ref="F41" ca="1">IF(OR(A41="",B41=""),"",LEFT(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" t="str">
        <f>IF(AND(Formulario!G53&lt;&gt;"",Formulario!G53&lt;&gt;"",A41&lt;&gt;""),Formulario!G53,"")</f>
        <v/>
      </c>
      <c r="I41" t="str">
        <f>IF(AND(Formulario!D53&lt;&gt;"",A41&lt;&gt;""),"UY10","")</f>
        <v/>
      </c>
      <c r="J41" t="str">
        <f>IF(AND(Formulario!D53&lt;&gt;"",A41&lt;&gt;""),"0001","")</f>
        <v/>
      </c>
      <c r="K41" t="str">
        <f>IF(AND(Formulario!D53&lt;&gt;"",A41&lt;&gt;""),"1","")</f>
        <v/>
      </c>
    </row>
    <row r="42" spans="1:11" x14ac:dyDescent="0.3">
      <c r="A42" t="str">
        <f>IF(AND(Formulario!D54&lt;&gt;"",ISNUMBER(Formulario!D54)),Formulario!D54,"")</f>
        <v/>
      </c>
      <c r="B42" s="146" t="str">
        <f>IF(AND(Formulario!F54&lt;&gt;"", Formulario!F54&lt;&gt;"",A42&lt;&gt;""),Formulario!F54,"")</f>
        <v/>
      </c>
      <c r="C42" s="146" t="str">
        <f>IF(AND(Formulario!D54&lt;&gt;"", Formulario!E54&lt;&gt;"",A42&lt;&gt;""),Formulario!E54,"")</f>
        <v/>
      </c>
      <c r="D42" s="55" t="str">
        <f>IF('Cond SAP'!AA54="","",'Cond SAP'!AA54)</f>
        <v/>
      </c>
      <c r="E42" t="str">
        <f>IF(AND(Formulario!G54&lt;&gt;"",Formulario!Q54&lt;&gt;"",A42&lt;&gt;""),Formulario!Q54,"")</f>
        <v/>
      </c>
      <c r="F42" t="str" cm="1">
        <f t="array" aca="1" ref="F42" ca="1">IF(OR(A42="",B42=""),"",LEFT(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" t="str">
        <f>IF(AND(Formulario!G54&lt;&gt;"",Formulario!G54&lt;&gt;"",A42&lt;&gt;""),Formulario!G54,"")</f>
        <v/>
      </c>
      <c r="I42" t="str">
        <f>IF(AND(Formulario!D54&lt;&gt;"",A42&lt;&gt;""),"UY10","")</f>
        <v/>
      </c>
      <c r="J42" t="str">
        <f>IF(AND(Formulario!D54&lt;&gt;"",A42&lt;&gt;""),"0001","")</f>
        <v/>
      </c>
      <c r="K42" t="str">
        <f>IF(AND(Formulario!D54&lt;&gt;"",A42&lt;&gt;""),"1","")</f>
        <v/>
      </c>
    </row>
    <row r="43" spans="1:11" x14ac:dyDescent="0.3">
      <c r="A43" t="str">
        <f>IF(AND(Formulario!D55&lt;&gt;"",ISNUMBER(Formulario!D55)),Formulario!D55,"")</f>
        <v/>
      </c>
      <c r="B43" s="146" t="str">
        <f>IF(AND(Formulario!F55&lt;&gt;"", Formulario!F55&lt;&gt;"",A43&lt;&gt;""),Formulario!F55,"")</f>
        <v/>
      </c>
      <c r="C43" s="146" t="str">
        <f>IF(AND(Formulario!D55&lt;&gt;"", Formulario!E55&lt;&gt;"",A43&lt;&gt;""),Formulario!E55,"")</f>
        <v/>
      </c>
      <c r="D43" s="55" t="str">
        <f>IF('Cond SAP'!AA55="","",'Cond SAP'!AA55)</f>
        <v/>
      </c>
      <c r="E43" t="str">
        <f>IF(AND(Formulario!G55&lt;&gt;"",Formulario!Q55&lt;&gt;"",A43&lt;&gt;""),Formulario!Q55,"")</f>
        <v/>
      </c>
      <c r="F43" t="str" cm="1">
        <f t="array" aca="1" ref="F43" ca="1">IF(OR(A43="",B43=""),"",LEFT(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3" t="str">
        <f>IF(AND(Formulario!G55&lt;&gt;"",Formulario!G55&lt;&gt;"",A43&lt;&gt;""),Formulario!G55,"")</f>
        <v/>
      </c>
      <c r="I43" t="str">
        <f>IF(AND(Formulario!D55&lt;&gt;"",A43&lt;&gt;""),"UY10","")</f>
        <v/>
      </c>
      <c r="J43" t="str">
        <f>IF(AND(Formulario!D55&lt;&gt;"",A43&lt;&gt;""),"0001","")</f>
        <v/>
      </c>
      <c r="K43" t="str">
        <f>IF(AND(Formulario!D55&lt;&gt;"",A43&lt;&gt;""),"1","")</f>
        <v/>
      </c>
    </row>
    <row r="44" spans="1:11" x14ac:dyDescent="0.3">
      <c r="A44" t="str">
        <f>IF(AND(Formulario!D56&lt;&gt;"",ISNUMBER(Formulario!D56)),Formulario!D56,"")</f>
        <v/>
      </c>
      <c r="B44" s="146" t="str">
        <f>IF(AND(Formulario!F56&lt;&gt;"", Formulario!F56&lt;&gt;"",A44&lt;&gt;""),Formulario!F56,"")</f>
        <v/>
      </c>
      <c r="C44" s="146" t="str">
        <f>IF(AND(Formulario!D56&lt;&gt;"", Formulario!E56&lt;&gt;"",A44&lt;&gt;""),Formulario!E56,"")</f>
        <v/>
      </c>
      <c r="D44" s="55" t="str">
        <f>IF('Cond SAP'!AA56="","",'Cond SAP'!AA56)</f>
        <v/>
      </c>
      <c r="E44" t="str">
        <f>IF(AND(Formulario!G56&lt;&gt;"",Formulario!Q56&lt;&gt;"",A44&lt;&gt;""),Formulario!Q56,"")</f>
        <v/>
      </c>
      <c r="F44" t="str" cm="1">
        <f t="array" aca="1" ref="F44" ca="1">IF(OR(A44="",B44=""),"",LEFT(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4" t="str">
        <f>IF(AND(Formulario!G56&lt;&gt;"",Formulario!G56&lt;&gt;"",A44&lt;&gt;""),Formulario!G56,"")</f>
        <v/>
      </c>
      <c r="I44" t="str">
        <f>IF(AND(Formulario!D56&lt;&gt;"",A44&lt;&gt;""),"UY10","")</f>
        <v/>
      </c>
      <c r="J44" t="str">
        <f>IF(AND(Formulario!D56&lt;&gt;"",A44&lt;&gt;""),"0001","")</f>
        <v/>
      </c>
      <c r="K44" t="str">
        <f>IF(AND(Formulario!D56&lt;&gt;"",A44&lt;&gt;""),"1","")</f>
        <v/>
      </c>
    </row>
    <row r="45" spans="1:11" x14ac:dyDescent="0.3">
      <c r="A45" t="str">
        <f>IF(AND(Formulario!D57&lt;&gt;"",ISNUMBER(Formulario!D57)),Formulario!D57,"")</f>
        <v/>
      </c>
      <c r="B45" s="146" t="str">
        <f>IF(AND(Formulario!F57&lt;&gt;"", Formulario!F57&lt;&gt;"",A45&lt;&gt;""),Formulario!F57,"")</f>
        <v/>
      </c>
      <c r="C45" s="146" t="str">
        <f>IF(AND(Formulario!D57&lt;&gt;"", Formulario!E57&lt;&gt;"",A45&lt;&gt;""),Formulario!E57,"")</f>
        <v/>
      </c>
      <c r="D45" s="55" t="str">
        <f>IF('Cond SAP'!AA57="","",'Cond SAP'!AA57)</f>
        <v/>
      </c>
      <c r="E45" t="str">
        <f>IF(AND(Formulario!G57&lt;&gt;"",Formulario!Q57&lt;&gt;"",A45&lt;&gt;""),Formulario!Q57,"")</f>
        <v/>
      </c>
      <c r="F45" t="str" cm="1">
        <f t="array" aca="1" ref="F45" ca="1">IF(OR(A45="",B45=""),"",LEFT(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5" t="str">
        <f>IF(AND(Formulario!G57&lt;&gt;"",Formulario!G57&lt;&gt;"",A45&lt;&gt;""),Formulario!G57,"")</f>
        <v/>
      </c>
      <c r="I45" t="str">
        <f>IF(AND(Formulario!D57&lt;&gt;"",A45&lt;&gt;""),"UY10","")</f>
        <v/>
      </c>
      <c r="J45" t="str">
        <f>IF(AND(Formulario!D57&lt;&gt;"",A45&lt;&gt;""),"0001","")</f>
        <v/>
      </c>
      <c r="K45" t="str">
        <f>IF(AND(Formulario!D57&lt;&gt;"",A45&lt;&gt;""),"1","")</f>
        <v/>
      </c>
    </row>
    <row r="46" spans="1:11" x14ac:dyDescent="0.3">
      <c r="A46" t="str">
        <f>IF(AND(Formulario!D58&lt;&gt;"",ISNUMBER(Formulario!D58)),Formulario!D58,"")</f>
        <v/>
      </c>
      <c r="B46" s="146" t="str">
        <f>IF(AND(Formulario!F58&lt;&gt;"", Formulario!F58&lt;&gt;"",A46&lt;&gt;""),Formulario!F58,"")</f>
        <v/>
      </c>
      <c r="C46" s="146" t="str">
        <f>IF(AND(Formulario!D58&lt;&gt;"", Formulario!E58&lt;&gt;"",A46&lt;&gt;""),Formulario!E58,"")</f>
        <v/>
      </c>
      <c r="D46" s="55" t="str">
        <f>IF('Cond SAP'!AA58="","",'Cond SAP'!AA58)</f>
        <v/>
      </c>
      <c r="E46" t="str">
        <f>IF(AND(Formulario!G58&lt;&gt;"",Formulario!Q58&lt;&gt;"",A46&lt;&gt;""),Formulario!Q58,"")</f>
        <v/>
      </c>
      <c r="F46" t="str" cm="1">
        <f t="array" aca="1" ref="F46" ca="1">IF(OR(A46="",B46=""),"",LEFT(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6" t="str">
        <f>IF(AND(Formulario!G58&lt;&gt;"",Formulario!G58&lt;&gt;"",A46&lt;&gt;""),Formulario!G58,"")</f>
        <v/>
      </c>
      <c r="I46" t="str">
        <f>IF(AND(Formulario!D58&lt;&gt;"",A46&lt;&gt;""),"UY10","")</f>
        <v/>
      </c>
      <c r="J46" t="str">
        <f>IF(AND(Formulario!D58&lt;&gt;"",A46&lt;&gt;""),"0001","")</f>
        <v/>
      </c>
      <c r="K46" t="str">
        <f>IF(AND(Formulario!D58&lt;&gt;"",A46&lt;&gt;""),"1","")</f>
        <v/>
      </c>
    </row>
    <row r="47" spans="1:11" x14ac:dyDescent="0.3">
      <c r="A47" t="str">
        <f>IF(AND(Formulario!D59&lt;&gt;"",ISNUMBER(Formulario!D59)),Formulario!D59,"")</f>
        <v/>
      </c>
      <c r="B47" s="146" t="str">
        <f>IF(AND(Formulario!F59&lt;&gt;"", Formulario!F59&lt;&gt;"",A47&lt;&gt;""),Formulario!F59,"")</f>
        <v/>
      </c>
      <c r="C47" s="146" t="str">
        <f>IF(AND(Formulario!D59&lt;&gt;"", Formulario!E59&lt;&gt;"",A47&lt;&gt;""),Formulario!E59,"")</f>
        <v/>
      </c>
      <c r="D47" s="55" t="str">
        <f>IF('Cond SAP'!AA59="","",'Cond SAP'!AA59)</f>
        <v/>
      </c>
      <c r="E47" t="str">
        <f>IF(AND(Formulario!G59&lt;&gt;"",Formulario!Q59&lt;&gt;"",A47&lt;&gt;""),Formulario!Q59,"")</f>
        <v/>
      </c>
      <c r="F47" t="str" cm="1">
        <f t="array" aca="1" ref="F47" ca="1">IF(OR(A47="",B47=""),"",LEFT(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7" t="str">
        <f>IF(AND(Formulario!G59&lt;&gt;"",Formulario!G59&lt;&gt;"",A47&lt;&gt;""),Formulario!G59,"")</f>
        <v/>
      </c>
      <c r="I47" t="str">
        <f>IF(AND(Formulario!D59&lt;&gt;"",A47&lt;&gt;""),"UY10","")</f>
        <v/>
      </c>
      <c r="J47" t="str">
        <f>IF(AND(Formulario!D59&lt;&gt;"",A47&lt;&gt;""),"0001","")</f>
        <v/>
      </c>
      <c r="K47" t="str">
        <f>IF(AND(Formulario!D59&lt;&gt;"",A47&lt;&gt;""),"1","")</f>
        <v/>
      </c>
    </row>
    <row r="48" spans="1:11" x14ac:dyDescent="0.3">
      <c r="A48" t="str">
        <f>IF(AND(Formulario!D60&lt;&gt;"",ISNUMBER(Formulario!D60)),Formulario!D60,"")</f>
        <v/>
      </c>
      <c r="B48" s="146" t="str">
        <f>IF(AND(Formulario!F60&lt;&gt;"", Formulario!F60&lt;&gt;"",A48&lt;&gt;""),Formulario!F60,"")</f>
        <v/>
      </c>
      <c r="C48" s="146" t="str">
        <f>IF(AND(Formulario!D60&lt;&gt;"", Formulario!E60&lt;&gt;"",A48&lt;&gt;""),Formulario!E60,"")</f>
        <v/>
      </c>
      <c r="D48" s="55" t="str">
        <f>IF('Cond SAP'!AA60="","",'Cond SAP'!AA60)</f>
        <v/>
      </c>
      <c r="E48" t="str">
        <f>IF(AND(Formulario!G60&lt;&gt;"",Formulario!Q60&lt;&gt;"",A48&lt;&gt;""),Formulario!Q60,"")</f>
        <v/>
      </c>
      <c r="F48" t="str" cm="1">
        <f t="array" aca="1" ref="F48" ca="1">IF(OR(A48="",B48=""),"",LEFT(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8" t="str">
        <f>IF(AND(Formulario!G60&lt;&gt;"",Formulario!G60&lt;&gt;"",A48&lt;&gt;""),Formulario!G60,"")</f>
        <v/>
      </c>
      <c r="I48" t="str">
        <f>IF(AND(Formulario!D60&lt;&gt;"",A48&lt;&gt;""),"UY10","")</f>
        <v/>
      </c>
      <c r="J48" t="str">
        <f>IF(AND(Formulario!D60&lt;&gt;"",A48&lt;&gt;""),"0001","")</f>
        <v/>
      </c>
      <c r="K48" t="str">
        <f>IF(AND(Formulario!D60&lt;&gt;"",A48&lt;&gt;""),"1","")</f>
        <v/>
      </c>
    </row>
    <row r="49" spans="1:11" x14ac:dyDescent="0.3">
      <c r="A49" t="str">
        <f>IF(AND(Formulario!D61&lt;&gt;"",ISNUMBER(Formulario!D61)),Formulario!D61,"")</f>
        <v/>
      </c>
      <c r="B49" s="146" t="str">
        <f>IF(AND(Formulario!F61&lt;&gt;"", Formulario!F61&lt;&gt;"",A49&lt;&gt;""),Formulario!F61,"")</f>
        <v/>
      </c>
      <c r="C49" s="146" t="str">
        <f>IF(AND(Formulario!D61&lt;&gt;"", Formulario!E61&lt;&gt;"",A49&lt;&gt;""),Formulario!E61,"")</f>
        <v/>
      </c>
      <c r="D49" s="55" t="str">
        <f>IF('Cond SAP'!AA61="","",'Cond SAP'!AA61)</f>
        <v/>
      </c>
      <c r="E49" t="str">
        <f>IF(AND(Formulario!G61&lt;&gt;"",Formulario!Q61&lt;&gt;"",A49&lt;&gt;""),Formulario!Q61,"")</f>
        <v/>
      </c>
      <c r="F49" t="str" cm="1">
        <f t="array" aca="1" ref="F49" ca="1">IF(OR(A49="",B49=""),"",LEFT(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9" t="str">
        <f>IF(AND(Formulario!G61&lt;&gt;"",Formulario!G61&lt;&gt;"",A49&lt;&gt;""),Formulario!G61,"")</f>
        <v/>
      </c>
      <c r="I49" t="str">
        <f>IF(AND(Formulario!D61&lt;&gt;"",A49&lt;&gt;""),"UY10","")</f>
        <v/>
      </c>
      <c r="J49" t="str">
        <f>IF(AND(Formulario!D61&lt;&gt;"",A49&lt;&gt;""),"0001","")</f>
        <v/>
      </c>
      <c r="K49" t="str">
        <f>IF(AND(Formulario!D61&lt;&gt;"",A49&lt;&gt;""),"1","")</f>
        <v/>
      </c>
    </row>
    <row r="50" spans="1:11" x14ac:dyDescent="0.3">
      <c r="A50" t="str">
        <f>IF(AND(Formulario!D62&lt;&gt;"",ISNUMBER(Formulario!D62)),Formulario!D62,"")</f>
        <v/>
      </c>
      <c r="B50" s="146" t="str">
        <f>IF(AND(Formulario!F62&lt;&gt;"", Formulario!F62&lt;&gt;"",A50&lt;&gt;""),Formulario!F62,"")</f>
        <v/>
      </c>
      <c r="C50" s="146" t="str">
        <f>IF(AND(Formulario!D62&lt;&gt;"", Formulario!E62&lt;&gt;"",A50&lt;&gt;""),Formulario!E62,"")</f>
        <v/>
      </c>
      <c r="D50" s="55" t="str">
        <f>IF('Cond SAP'!AA62="","",'Cond SAP'!AA62)</f>
        <v/>
      </c>
      <c r="E50" t="str">
        <f>IF(AND(Formulario!G62&lt;&gt;"",Formulario!Q62&lt;&gt;"",A50&lt;&gt;""),Formulario!Q62,"")</f>
        <v/>
      </c>
      <c r="F50" t="str" cm="1">
        <f t="array" aca="1" ref="F50" ca="1">IF(OR(A50="",B50=""),"",LEFT(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0" t="str">
        <f>IF(AND(Formulario!G62&lt;&gt;"",Formulario!G62&lt;&gt;"",A50&lt;&gt;""),Formulario!G62,"")</f>
        <v/>
      </c>
      <c r="I50" t="str">
        <f>IF(AND(Formulario!D62&lt;&gt;"",A50&lt;&gt;""),"UY10","")</f>
        <v/>
      </c>
      <c r="J50" t="str">
        <f>IF(AND(Formulario!D62&lt;&gt;"",A50&lt;&gt;""),"0001","")</f>
        <v/>
      </c>
      <c r="K50" t="str">
        <f>IF(AND(Formulario!D62&lt;&gt;"",A50&lt;&gt;""),"1","")</f>
        <v/>
      </c>
    </row>
    <row r="51" spans="1:11" x14ac:dyDescent="0.3">
      <c r="A51" t="str">
        <f>IF(AND(Formulario!D63&lt;&gt;"",ISNUMBER(Formulario!D63)),Formulario!D63,"")</f>
        <v/>
      </c>
      <c r="B51" s="146" t="str">
        <f>IF(AND(Formulario!F63&lt;&gt;"", Formulario!F63&lt;&gt;"",A51&lt;&gt;""),Formulario!F63,"")</f>
        <v/>
      </c>
      <c r="C51" s="146" t="str">
        <f>IF(AND(Formulario!D63&lt;&gt;"", Formulario!E63&lt;&gt;"",A51&lt;&gt;""),Formulario!E63,"")</f>
        <v/>
      </c>
      <c r="D51" s="55" t="str">
        <f>IF('Cond SAP'!AA63="","",'Cond SAP'!AA63)</f>
        <v/>
      </c>
      <c r="E51" t="str">
        <f>IF(AND(Formulario!G63&lt;&gt;"",Formulario!Q63&lt;&gt;"",A51&lt;&gt;""),Formulario!Q63,"")</f>
        <v/>
      </c>
      <c r="F51" t="str" cm="1">
        <f t="array" aca="1" ref="F51" ca="1">IF(OR(A51="",B51=""),"",LEFT(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1" t="str">
        <f>IF(AND(Formulario!G63&lt;&gt;"",Formulario!G63&lt;&gt;"",A51&lt;&gt;""),Formulario!G63,"")</f>
        <v/>
      </c>
      <c r="I51" t="str">
        <f>IF(AND(Formulario!D63&lt;&gt;"",A51&lt;&gt;""),"UY10","")</f>
        <v/>
      </c>
      <c r="J51" t="str">
        <f>IF(AND(Formulario!D63&lt;&gt;"",A51&lt;&gt;""),"0001","")</f>
        <v/>
      </c>
      <c r="K51" t="str">
        <f>IF(AND(Formulario!D63&lt;&gt;"",A51&lt;&gt;""),"1","")</f>
        <v/>
      </c>
    </row>
    <row r="52" spans="1:11" x14ac:dyDescent="0.3">
      <c r="A52" t="str">
        <f>IF(AND(Formulario!D64&lt;&gt;"",ISNUMBER(Formulario!D64)),Formulario!D64,"")</f>
        <v/>
      </c>
      <c r="B52" s="146" t="str">
        <f>IF(AND(Formulario!F64&lt;&gt;"", Formulario!F64&lt;&gt;"",A52&lt;&gt;""),Formulario!F64,"")</f>
        <v/>
      </c>
      <c r="C52" s="146" t="str">
        <f>IF(AND(Formulario!D64&lt;&gt;"", Formulario!E64&lt;&gt;"",A52&lt;&gt;""),Formulario!E64,"")</f>
        <v/>
      </c>
      <c r="D52" s="55" t="str">
        <f>IF('Cond SAP'!AA64="","",'Cond SAP'!AA64)</f>
        <v/>
      </c>
      <c r="E52" t="str">
        <f>IF(AND(Formulario!G64&lt;&gt;"",Formulario!Q64&lt;&gt;"",A52&lt;&gt;""),Formulario!Q64,"")</f>
        <v/>
      </c>
      <c r="F52" t="str" cm="1">
        <f t="array" aca="1" ref="F52" ca="1">IF(OR(A52="",B52=""),"",LEFT(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2" t="str">
        <f>IF(AND(Formulario!G64&lt;&gt;"",Formulario!G64&lt;&gt;"",A52&lt;&gt;""),Formulario!G64,"")</f>
        <v/>
      </c>
      <c r="I52" t="str">
        <f>IF(AND(Formulario!D64&lt;&gt;"",A52&lt;&gt;""),"UY10","")</f>
        <v/>
      </c>
      <c r="J52" t="str">
        <f>IF(AND(Formulario!D64&lt;&gt;"",A52&lt;&gt;""),"0001","")</f>
        <v/>
      </c>
      <c r="K52" t="str">
        <f>IF(AND(Formulario!D64&lt;&gt;"",A52&lt;&gt;""),"1","")</f>
        <v/>
      </c>
    </row>
    <row r="53" spans="1:11" x14ac:dyDescent="0.3">
      <c r="A53" t="str">
        <f>IF(AND(Formulario!D65&lt;&gt;"",ISNUMBER(Formulario!D65)),Formulario!D65,"")</f>
        <v/>
      </c>
      <c r="B53" s="146" t="str">
        <f>IF(AND(Formulario!F65&lt;&gt;"", Formulario!F65&lt;&gt;"",A53&lt;&gt;""),Formulario!F65,"")</f>
        <v/>
      </c>
      <c r="C53" s="146" t="str">
        <f>IF(AND(Formulario!D65&lt;&gt;"", Formulario!E65&lt;&gt;"",A53&lt;&gt;""),Formulario!E65,"")</f>
        <v/>
      </c>
      <c r="D53" s="55" t="str">
        <f>IF('Cond SAP'!AA65="","",'Cond SAP'!AA65)</f>
        <v/>
      </c>
      <c r="E53" t="str">
        <f>IF(AND(Formulario!G65&lt;&gt;"",Formulario!Q65&lt;&gt;"",A53&lt;&gt;""),Formulario!Q65,"")</f>
        <v/>
      </c>
      <c r="F53" t="str" cm="1">
        <f t="array" aca="1" ref="F53" ca="1">IF(OR(A53="",B53=""),"",LEFT(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3" t="str">
        <f>IF(AND(Formulario!G65&lt;&gt;"",Formulario!G65&lt;&gt;"",A53&lt;&gt;""),Formulario!G65,"")</f>
        <v/>
      </c>
      <c r="I53" t="str">
        <f>IF(AND(Formulario!D65&lt;&gt;"",A53&lt;&gt;""),"UY10","")</f>
        <v/>
      </c>
      <c r="J53" t="str">
        <f>IF(AND(Formulario!D65&lt;&gt;"",A53&lt;&gt;""),"0001","")</f>
        <v/>
      </c>
      <c r="K53" t="str">
        <f>IF(AND(Formulario!D65&lt;&gt;"",A53&lt;&gt;""),"1","")</f>
        <v/>
      </c>
    </row>
    <row r="54" spans="1:11" x14ac:dyDescent="0.3">
      <c r="A54" t="str">
        <f>IF(AND(Formulario!D66&lt;&gt;"",ISNUMBER(Formulario!D66)),Formulario!D66,"")</f>
        <v/>
      </c>
      <c r="B54" s="146" t="str">
        <f>IF(AND(Formulario!F66&lt;&gt;"", Formulario!F66&lt;&gt;"",A54&lt;&gt;""),Formulario!F66,"")</f>
        <v/>
      </c>
      <c r="C54" s="146" t="str">
        <f>IF(AND(Formulario!D66&lt;&gt;"", Formulario!E66&lt;&gt;"",A54&lt;&gt;""),Formulario!E66,"")</f>
        <v/>
      </c>
      <c r="D54" s="55" t="str">
        <f>IF('Cond SAP'!AA66="","",'Cond SAP'!AA66)</f>
        <v/>
      </c>
      <c r="E54" t="str">
        <f>IF(AND(Formulario!G66&lt;&gt;"",Formulario!Q66&lt;&gt;"",A54&lt;&gt;""),Formulario!Q66,"")</f>
        <v/>
      </c>
      <c r="F54" t="str" cm="1">
        <f t="array" aca="1" ref="F54" ca="1">IF(OR(A54="",B54=""),"",LEFT(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4" t="str">
        <f>IF(AND(Formulario!G66&lt;&gt;"",Formulario!G66&lt;&gt;"",A54&lt;&gt;""),Formulario!G66,"")</f>
        <v/>
      </c>
      <c r="I54" t="str">
        <f>IF(AND(Formulario!D66&lt;&gt;"",A54&lt;&gt;""),"UY10","")</f>
        <v/>
      </c>
      <c r="J54" t="str">
        <f>IF(AND(Formulario!D66&lt;&gt;"",A54&lt;&gt;""),"0001","")</f>
        <v/>
      </c>
      <c r="K54" t="str">
        <f>IF(AND(Formulario!D66&lt;&gt;"",A54&lt;&gt;""),"1","")</f>
        <v/>
      </c>
    </row>
    <row r="55" spans="1:11" x14ac:dyDescent="0.3">
      <c r="A55" t="str">
        <f>IF(AND(Formulario!D67&lt;&gt;"",ISNUMBER(Formulario!D67)),Formulario!D67,"")</f>
        <v/>
      </c>
      <c r="B55" s="146" t="str">
        <f>IF(AND(Formulario!F67&lt;&gt;"", Formulario!F67&lt;&gt;"",A55&lt;&gt;""),Formulario!F67,"")</f>
        <v/>
      </c>
      <c r="C55" s="146" t="str">
        <f>IF(AND(Formulario!D67&lt;&gt;"", Formulario!E67&lt;&gt;"",A55&lt;&gt;""),Formulario!E67,"")</f>
        <v/>
      </c>
      <c r="D55" s="55" t="str">
        <f>IF('Cond SAP'!AA67="","",'Cond SAP'!AA67)</f>
        <v/>
      </c>
      <c r="E55" t="str">
        <f>IF(AND(Formulario!G67&lt;&gt;"",Formulario!Q67&lt;&gt;"",A55&lt;&gt;""),Formulario!Q67,"")</f>
        <v/>
      </c>
      <c r="F55" t="str" cm="1">
        <f t="array" aca="1" ref="F55" ca="1">IF(OR(A55="",B55=""),"",LEFT(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5" t="str">
        <f>IF(AND(Formulario!G67&lt;&gt;"",Formulario!G67&lt;&gt;"",A55&lt;&gt;""),Formulario!G67,"")</f>
        <v/>
      </c>
      <c r="I55" t="str">
        <f>IF(AND(Formulario!D67&lt;&gt;"",A55&lt;&gt;""),"UY10","")</f>
        <v/>
      </c>
      <c r="J55" t="str">
        <f>IF(AND(Formulario!D67&lt;&gt;"",A55&lt;&gt;""),"0001","")</f>
        <v/>
      </c>
      <c r="K55" t="str">
        <f>IF(AND(Formulario!D67&lt;&gt;"",A55&lt;&gt;""),"1","")</f>
        <v/>
      </c>
    </row>
    <row r="56" spans="1:11" x14ac:dyDescent="0.3">
      <c r="A56" t="str">
        <f>IF(AND(Formulario!D68&lt;&gt;"",ISNUMBER(Formulario!D68)),Formulario!D68,"")</f>
        <v/>
      </c>
      <c r="B56" s="146" t="str">
        <f>IF(AND(Formulario!F68&lt;&gt;"", Formulario!F68&lt;&gt;"",A56&lt;&gt;""),Formulario!F68,"")</f>
        <v/>
      </c>
      <c r="C56" s="146" t="str">
        <f>IF(AND(Formulario!D68&lt;&gt;"", Formulario!E68&lt;&gt;"",A56&lt;&gt;""),Formulario!E68,"")</f>
        <v/>
      </c>
      <c r="D56" s="55" t="str">
        <f>IF('Cond SAP'!AA68="","",'Cond SAP'!AA68)</f>
        <v/>
      </c>
      <c r="E56" t="str">
        <f>IF(AND(Formulario!G68&lt;&gt;"",Formulario!Q68&lt;&gt;"",A56&lt;&gt;""),Formulario!Q68,"")</f>
        <v/>
      </c>
      <c r="F56" t="str" cm="1">
        <f t="array" aca="1" ref="F56" ca="1">IF(OR(A56="",B56=""),"",LEFT(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6" t="str">
        <f>IF(AND(Formulario!G68&lt;&gt;"",Formulario!G68&lt;&gt;"",A56&lt;&gt;""),Formulario!G68,"")</f>
        <v/>
      </c>
      <c r="I56" t="str">
        <f>IF(AND(Formulario!D68&lt;&gt;"",A56&lt;&gt;""),"UY10","")</f>
        <v/>
      </c>
      <c r="J56" t="str">
        <f>IF(AND(Formulario!D68&lt;&gt;"",A56&lt;&gt;""),"0001","")</f>
        <v/>
      </c>
      <c r="K56" t="str">
        <f>IF(AND(Formulario!D68&lt;&gt;"",A56&lt;&gt;""),"1","")</f>
        <v/>
      </c>
    </row>
    <row r="57" spans="1:11" x14ac:dyDescent="0.3">
      <c r="A57" t="str">
        <f>IF(AND(Formulario!D69&lt;&gt;"",ISNUMBER(Formulario!D69)),Formulario!D69,"")</f>
        <v/>
      </c>
      <c r="B57" s="146" t="str">
        <f>IF(AND(Formulario!F69&lt;&gt;"", Formulario!F69&lt;&gt;"",A57&lt;&gt;""),Formulario!F69,"")</f>
        <v/>
      </c>
      <c r="C57" s="146" t="str">
        <f>IF(AND(Formulario!D69&lt;&gt;"", Formulario!E69&lt;&gt;"",A57&lt;&gt;""),Formulario!E69,"")</f>
        <v/>
      </c>
      <c r="D57" s="55" t="str">
        <f>IF('Cond SAP'!AA69="","",'Cond SAP'!AA69)</f>
        <v/>
      </c>
      <c r="E57" t="str">
        <f>IF(AND(Formulario!G69&lt;&gt;"",Formulario!Q69&lt;&gt;"",A57&lt;&gt;""),Formulario!Q69,"")</f>
        <v/>
      </c>
      <c r="F57" t="str" cm="1">
        <f t="array" aca="1" ref="F57" ca="1">IF(OR(A57="",B57=""),"",LEFT(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7" t="str">
        <f>IF(AND(Formulario!G69&lt;&gt;"",Formulario!G69&lt;&gt;"",A57&lt;&gt;""),Formulario!G69,"")</f>
        <v/>
      </c>
      <c r="I57" t="str">
        <f>IF(AND(Formulario!D69&lt;&gt;"",A57&lt;&gt;""),"UY10","")</f>
        <v/>
      </c>
      <c r="J57" t="str">
        <f>IF(AND(Formulario!D69&lt;&gt;"",A57&lt;&gt;""),"0001","")</f>
        <v/>
      </c>
      <c r="K57" t="str">
        <f>IF(AND(Formulario!D69&lt;&gt;"",A57&lt;&gt;""),"1","")</f>
        <v/>
      </c>
    </row>
    <row r="58" spans="1:11" x14ac:dyDescent="0.3">
      <c r="A58" t="str">
        <f>IF(AND(Formulario!D70&lt;&gt;"",ISNUMBER(Formulario!D70)),Formulario!D70,"")</f>
        <v/>
      </c>
      <c r="B58" s="146" t="str">
        <f>IF(AND(Formulario!F70&lt;&gt;"", Formulario!F70&lt;&gt;"",A58&lt;&gt;""),Formulario!F70,"")</f>
        <v/>
      </c>
      <c r="C58" s="146" t="str">
        <f>IF(AND(Formulario!D70&lt;&gt;"", Formulario!E70&lt;&gt;"",A58&lt;&gt;""),Formulario!E70,"")</f>
        <v/>
      </c>
      <c r="D58" s="55" t="str">
        <f>IF('Cond SAP'!AA70="","",'Cond SAP'!AA70)</f>
        <v/>
      </c>
      <c r="E58" t="str">
        <f>IF(AND(Formulario!G70&lt;&gt;"",Formulario!Q70&lt;&gt;"",A58&lt;&gt;""),Formulario!Q70,"")</f>
        <v/>
      </c>
      <c r="F58" t="str" cm="1">
        <f t="array" aca="1" ref="F58" ca="1">IF(OR(A58="",B58=""),"",LEFT(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8" t="str">
        <f>IF(AND(Formulario!G70&lt;&gt;"",Formulario!G70&lt;&gt;"",A58&lt;&gt;""),Formulario!G70,"")</f>
        <v/>
      </c>
      <c r="I58" t="str">
        <f>IF(AND(Formulario!D70&lt;&gt;"",A58&lt;&gt;""),"UY10","")</f>
        <v/>
      </c>
      <c r="J58" t="str">
        <f>IF(AND(Formulario!D70&lt;&gt;"",A58&lt;&gt;""),"0001","")</f>
        <v/>
      </c>
      <c r="K58" t="str">
        <f>IF(AND(Formulario!D70&lt;&gt;"",A58&lt;&gt;""),"1","")</f>
        <v/>
      </c>
    </row>
    <row r="59" spans="1:11" x14ac:dyDescent="0.3">
      <c r="A59" t="str">
        <f>IF(AND(Formulario!D71&lt;&gt;"",ISNUMBER(Formulario!D71)),Formulario!D71,"")</f>
        <v/>
      </c>
      <c r="B59" s="146" t="str">
        <f>IF(AND(Formulario!F71&lt;&gt;"", Formulario!F71&lt;&gt;"",A59&lt;&gt;""),Formulario!F71,"")</f>
        <v/>
      </c>
      <c r="C59" s="146" t="str">
        <f>IF(AND(Formulario!D71&lt;&gt;"", Formulario!E71&lt;&gt;"",A59&lt;&gt;""),Formulario!E71,"")</f>
        <v/>
      </c>
      <c r="D59" s="55" t="str">
        <f>IF('Cond SAP'!AA71="","",'Cond SAP'!AA71)</f>
        <v/>
      </c>
      <c r="E59" t="str">
        <f>IF(AND(Formulario!G71&lt;&gt;"",Formulario!Q71&lt;&gt;"",A59&lt;&gt;""),Formulario!Q71,"")</f>
        <v/>
      </c>
      <c r="F59" t="str" cm="1">
        <f t="array" aca="1" ref="F59" ca="1">IF(OR(A59="",B59=""),"",LEFT(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59" t="str">
        <f>IF(AND(Formulario!G71&lt;&gt;"",Formulario!G71&lt;&gt;"",A59&lt;&gt;""),Formulario!G71,"")</f>
        <v/>
      </c>
      <c r="I59" t="str">
        <f>IF(AND(Formulario!D71&lt;&gt;"",A59&lt;&gt;""),"UY10","")</f>
        <v/>
      </c>
      <c r="J59" t="str">
        <f>IF(AND(Formulario!D71&lt;&gt;"",A59&lt;&gt;""),"0001","")</f>
        <v/>
      </c>
      <c r="K59" t="str">
        <f>IF(AND(Formulario!D71&lt;&gt;"",A59&lt;&gt;""),"1","")</f>
        <v/>
      </c>
    </row>
    <row r="60" spans="1:11" x14ac:dyDescent="0.3">
      <c r="A60" t="str">
        <f>IF(AND(Formulario!D72&lt;&gt;"",ISNUMBER(Formulario!D72)),Formulario!D72,"")</f>
        <v/>
      </c>
      <c r="B60" s="146" t="str">
        <f>IF(AND(Formulario!F72&lt;&gt;"", Formulario!F72&lt;&gt;"",A60&lt;&gt;""),Formulario!F72,"")</f>
        <v/>
      </c>
      <c r="C60" s="146" t="str">
        <f>IF(AND(Formulario!D72&lt;&gt;"", Formulario!E72&lt;&gt;"",A60&lt;&gt;""),Formulario!E72,"")</f>
        <v/>
      </c>
      <c r="D60" s="55" t="str">
        <f>IF('Cond SAP'!AA72="","",'Cond SAP'!AA72)</f>
        <v/>
      </c>
      <c r="E60" t="str">
        <f>IF(AND(Formulario!G72&lt;&gt;"",Formulario!Q72&lt;&gt;"",A60&lt;&gt;""),Formulario!Q72,"")</f>
        <v/>
      </c>
      <c r="F60" t="str" cm="1">
        <f t="array" aca="1" ref="F60" ca="1">IF(OR(A60="",B60=""),"",LEFT(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0" t="str">
        <f>IF(AND(Formulario!G72&lt;&gt;"",Formulario!G72&lt;&gt;"",A60&lt;&gt;""),Formulario!G72,"")</f>
        <v/>
      </c>
      <c r="I60" t="str">
        <f>IF(AND(Formulario!D72&lt;&gt;"",A60&lt;&gt;""),"UY10","")</f>
        <v/>
      </c>
      <c r="J60" t="str">
        <f>IF(AND(Formulario!D72&lt;&gt;"",A60&lt;&gt;""),"0001","")</f>
        <v/>
      </c>
      <c r="K60" t="str">
        <f>IF(AND(Formulario!D72&lt;&gt;"",A60&lt;&gt;""),"1","")</f>
        <v/>
      </c>
    </row>
    <row r="61" spans="1:11" x14ac:dyDescent="0.3">
      <c r="A61" t="str">
        <f>IF(AND(Formulario!D73&lt;&gt;"",ISNUMBER(Formulario!D73)),Formulario!D73,"")</f>
        <v/>
      </c>
      <c r="B61" s="146" t="str">
        <f>IF(AND(Formulario!F73&lt;&gt;"", Formulario!F73&lt;&gt;"",A61&lt;&gt;""),Formulario!F73,"")</f>
        <v/>
      </c>
      <c r="C61" s="146" t="str">
        <f>IF(AND(Formulario!D73&lt;&gt;"", Formulario!E73&lt;&gt;"",A61&lt;&gt;""),Formulario!E73,"")</f>
        <v/>
      </c>
      <c r="D61" s="55" t="str">
        <f>IF('Cond SAP'!AA73="","",'Cond SAP'!AA73)</f>
        <v/>
      </c>
      <c r="E61" t="str">
        <f>IF(AND(Formulario!G73&lt;&gt;"",Formulario!Q73&lt;&gt;"",A61&lt;&gt;""),Formulario!Q73,"")</f>
        <v/>
      </c>
      <c r="F61" t="str" cm="1">
        <f t="array" aca="1" ref="F61" ca="1">IF(OR(A61="",B61=""),"",LEFT(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1" t="str">
        <f>IF(AND(Formulario!G73&lt;&gt;"",Formulario!G73&lt;&gt;"",A61&lt;&gt;""),Formulario!G73,"")</f>
        <v/>
      </c>
      <c r="I61" t="str">
        <f>IF(AND(Formulario!D73&lt;&gt;"",A61&lt;&gt;""),"UY10","")</f>
        <v/>
      </c>
      <c r="J61" t="str">
        <f>IF(AND(Formulario!D73&lt;&gt;"",A61&lt;&gt;""),"0001","")</f>
        <v/>
      </c>
      <c r="K61" t="str">
        <f>IF(AND(Formulario!D73&lt;&gt;"",A61&lt;&gt;""),"1","")</f>
        <v/>
      </c>
    </row>
    <row r="62" spans="1:11" x14ac:dyDescent="0.3">
      <c r="A62" t="str">
        <f>IF(AND(Formulario!D74&lt;&gt;"",ISNUMBER(Formulario!D74)),Formulario!D74,"")</f>
        <v/>
      </c>
      <c r="B62" s="146" t="str">
        <f>IF(AND(Formulario!F74&lt;&gt;"", Formulario!F74&lt;&gt;"",A62&lt;&gt;""),Formulario!F74,"")</f>
        <v/>
      </c>
      <c r="C62" s="146" t="str">
        <f>IF(AND(Formulario!D74&lt;&gt;"", Formulario!E74&lt;&gt;"",A62&lt;&gt;""),Formulario!E74,"")</f>
        <v/>
      </c>
      <c r="D62" s="55" t="str">
        <f>IF('Cond SAP'!AA74="","",'Cond SAP'!AA74)</f>
        <v/>
      </c>
      <c r="E62" t="str">
        <f>IF(AND(Formulario!G74&lt;&gt;"",Formulario!Q74&lt;&gt;"",A62&lt;&gt;""),Formulario!Q74,"")</f>
        <v/>
      </c>
      <c r="F62" t="str" cm="1">
        <f t="array" aca="1" ref="F62" ca="1">IF(OR(A62="",B62=""),"",LEFT(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2" t="str">
        <f>IF(AND(Formulario!G74&lt;&gt;"",Formulario!G74&lt;&gt;"",A62&lt;&gt;""),Formulario!G74,"")</f>
        <v/>
      </c>
      <c r="I62" t="str">
        <f>IF(AND(Formulario!D74&lt;&gt;"",A62&lt;&gt;""),"UY10","")</f>
        <v/>
      </c>
      <c r="J62" t="str">
        <f>IF(AND(Formulario!D74&lt;&gt;"",A62&lt;&gt;""),"0001","")</f>
        <v/>
      </c>
      <c r="K62" t="str">
        <f>IF(AND(Formulario!D74&lt;&gt;"",A62&lt;&gt;""),"1","")</f>
        <v/>
      </c>
    </row>
    <row r="63" spans="1:11" x14ac:dyDescent="0.3">
      <c r="A63" t="str">
        <f>IF(AND(Formulario!D75&lt;&gt;"",ISNUMBER(Formulario!D75)),Formulario!D75,"")</f>
        <v/>
      </c>
      <c r="B63" s="146" t="str">
        <f>IF(AND(Formulario!F75&lt;&gt;"", Formulario!F75&lt;&gt;"",A63&lt;&gt;""),Formulario!F75,"")</f>
        <v/>
      </c>
      <c r="C63" s="146" t="str">
        <f>IF(AND(Formulario!D75&lt;&gt;"", Formulario!E75&lt;&gt;"",A63&lt;&gt;""),Formulario!E75,"")</f>
        <v/>
      </c>
      <c r="D63" s="55" t="str">
        <f>IF('Cond SAP'!AA75="","",'Cond SAP'!AA75)</f>
        <v/>
      </c>
      <c r="E63" t="str">
        <f>IF(AND(Formulario!G75&lt;&gt;"",Formulario!Q75&lt;&gt;"",A63&lt;&gt;""),Formulario!Q75,"")</f>
        <v/>
      </c>
      <c r="F63" t="str" cm="1">
        <f t="array" aca="1" ref="F63" ca="1">IF(OR(A63="",B63=""),"",LEFT(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3" t="str">
        <f>IF(AND(Formulario!G75&lt;&gt;"",Formulario!G75&lt;&gt;"",A63&lt;&gt;""),Formulario!G75,"")</f>
        <v/>
      </c>
      <c r="I63" t="str">
        <f>IF(AND(Formulario!D75&lt;&gt;"",A63&lt;&gt;""),"UY10","")</f>
        <v/>
      </c>
      <c r="J63" t="str">
        <f>IF(AND(Formulario!D75&lt;&gt;"",A63&lt;&gt;""),"0001","")</f>
        <v/>
      </c>
      <c r="K63" t="str">
        <f>IF(AND(Formulario!D75&lt;&gt;"",A63&lt;&gt;""),"1","")</f>
        <v/>
      </c>
    </row>
    <row r="64" spans="1:11" x14ac:dyDescent="0.3">
      <c r="A64" t="str">
        <f>IF(AND(Formulario!D76&lt;&gt;"",ISNUMBER(Formulario!D76)),Formulario!D76,"")</f>
        <v/>
      </c>
      <c r="B64" s="146" t="str">
        <f>IF(AND(Formulario!F76&lt;&gt;"", Formulario!F76&lt;&gt;"",A64&lt;&gt;""),Formulario!F76,"")</f>
        <v/>
      </c>
      <c r="C64" s="146" t="str">
        <f>IF(AND(Formulario!D76&lt;&gt;"", Formulario!E76&lt;&gt;"",A64&lt;&gt;""),Formulario!E76,"")</f>
        <v/>
      </c>
      <c r="D64" s="55" t="str">
        <f>IF('Cond SAP'!AA76="","",'Cond SAP'!AA76)</f>
        <v/>
      </c>
      <c r="E64" t="str">
        <f>IF(AND(Formulario!G76&lt;&gt;"",Formulario!Q76&lt;&gt;"",A64&lt;&gt;""),Formulario!Q76,"")</f>
        <v/>
      </c>
      <c r="F64" t="str" cm="1">
        <f t="array" aca="1" ref="F64" ca="1">IF(OR(A64="",B64=""),"",LEFT(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4" t="str">
        <f>IF(AND(Formulario!G76&lt;&gt;"",Formulario!G76&lt;&gt;"",A64&lt;&gt;""),Formulario!G76,"")</f>
        <v/>
      </c>
      <c r="I64" t="str">
        <f>IF(AND(Formulario!D76&lt;&gt;"",A64&lt;&gt;""),"UY10","")</f>
        <v/>
      </c>
      <c r="J64" t="str">
        <f>IF(AND(Formulario!D76&lt;&gt;"",A64&lt;&gt;""),"0001","")</f>
        <v/>
      </c>
      <c r="K64" t="str">
        <f>IF(AND(Formulario!D76&lt;&gt;"",A64&lt;&gt;""),"1","")</f>
        <v/>
      </c>
    </row>
    <row r="65" spans="1:11" x14ac:dyDescent="0.3">
      <c r="A65" t="str">
        <f>IF(AND(Formulario!D77&lt;&gt;"",ISNUMBER(Formulario!D77)),Formulario!D77,"")</f>
        <v/>
      </c>
      <c r="B65" s="146" t="str">
        <f>IF(AND(Formulario!F77&lt;&gt;"", Formulario!F77&lt;&gt;"",A65&lt;&gt;""),Formulario!F77,"")</f>
        <v/>
      </c>
      <c r="C65" s="146" t="str">
        <f>IF(AND(Formulario!D77&lt;&gt;"", Formulario!E77&lt;&gt;"",A65&lt;&gt;""),Formulario!E77,"")</f>
        <v/>
      </c>
      <c r="D65" s="55" t="str">
        <f>IF('Cond SAP'!AA77="","",'Cond SAP'!AA77)</f>
        <v/>
      </c>
      <c r="E65" t="str">
        <f>IF(AND(Formulario!G77&lt;&gt;"",Formulario!Q77&lt;&gt;"",A65&lt;&gt;""),Formulario!Q77,"")</f>
        <v/>
      </c>
      <c r="F65" t="str" cm="1">
        <f t="array" aca="1" ref="F65" ca="1">IF(OR(A65="",B65=""),"",LEFT(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5" t="str">
        <f>IF(AND(Formulario!G77&lt;&gt;"",Formulario!G77&lt;&gt;"",A65&lt;&gt;""),Formulario!G77,"")</f>
        <v/>
      </c>
      <c r="I65" t="str">
        <f>IF(AND(Formulario!D77&lt;&gt;"",A65&lt;&gt;""),"UY10","")</f>
        <v/>
      </c>
      <c r="J65" t="str">
        <f>IF(AND(Formulario!D77&lt;&gt;"",A65&lt;&gt;""),"0001","")</f>
        <v/>
      </c>
      <c r="K65" t="str">
        <f>IF(AND(Formulario!D77&lt;&gt;"",A65&lt;&gt;""),"1","")</f>
        <v/>
      </c>
    </row>
    <row r="66" spans="1:11" x14ac:dyDescent="0.3">
      <c r="A66" t="str">
        <f>IF(AND(Formulario!D78&lt;&gt;"",ISNUMBER(Formulario!D78)),Formulario!D78,"")</f>
        <v/>
      </c>
      <c r="B66" s="146" t="str">
        <f>IF(AND(Formulario!F78&lt;&gt;"", Formulario!F78&lt;&gt;"",A66&lt;&gt;""),Formulario!F78,"")</f>
        <v/>
      </c>
      <c r="C66" s="146" t="str">
        <f>IF(AND(Formulario!D78&lt;&gt;"", Formulario!E78&lt;&gt;"",A66&lt;&gt;""),Formulario!E78,"")</f>
        <v/>
      </c>
      <c r="D66" s="55" t="str">
        <f>IF('Cond SAP'!AA78="","",'Cond SAP'!AA78)</f>
        <v/>
      </c>
      <c r="E66" t="str">
        <f>IF(AND(Formulario!G78&lt;&gt;"",Formulario!Q78&lt;&gt;"",A66&lt;&gt;""),Formulario!Q78,"")</f>
        <v/>
      </c>
      <c r="F66" t="str" cm="1">
        <f t="array" aca="1" ref="F66" ca="1">IF(OR(A66="",B66=""),"",LEFT(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6" t="str">
        <f>IF(AND(Formulario!G78&lt;&gt;"",Formulario!G78&lt;&gt;"",A66&lt;&gt;""),Formulario!G78,"")</f>
        <v/>
      </c>
      <c r="I66" t="str">
        <f>IF(AND(Formulario!D78&lt;&gt;"",A66&lt;&gt;""),"UY10","")</f>
        <v/>
      </c>
      <c r="J66" t="str">
        <f>IF(AND(Formulario!D78&lt;&gt;"",A66&lt;&gt;""),"0001","")</f>
        <v/>
      </c>
      <c r="K66" t="str">
        <f>IF(AND(Formulario!D78&lt;&gt;"",A66&lt;&gt;""),"1","")</f>
        <v/>
      </c>
    </row>
    <row r="67" spans="1:11" x14ac:dyDescent="0.3">
      <c r="A67" t="str">
        <f>IF(AND(Formulario!D79&lt;&gt;"",ISNUMBER(Formulario!D79)),Formulario!D79,"")</f>
        <v/>
      </c>
      <c r="B67" s="146" t="str">
        <f>IF(AND(Formulario!F79&lt;&gt;"", Formulario!F79&lt;&gt;"",A67&lt;&gt;""),Formulario!F79,"")</f>
        <v/>
      </c>
      <c r="C67" s="146" t="str">
        <f>IF(AND(Formulario!D79&lt;&gt;"", Formulario!E79&lt;&gt;"",A67&lt;&gt;""),Formulario!E79,"")</f>
        <v/>
      </c>
      <c r="D67" s="55" t="str">
        <f>IF('Cond SAP'!AA79="","",'Cond SAP'!AA79)</f>
        <v/>
      </c>
      <c r="E67" t="str">
        <f>IF(AND(Formulario!G79&lt;&gt;"",Formulario!Q79&lt;&gt;"",A67&lt;&gt;""),Formulario!Q79,"")</f>
        <v/>
      </c>
      <c r="F67" t="str" cm="1">
        <f t="array" aca="1" ref="F67" ca="1">IF(OR(A67="",B67=""),"",LEFT(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7" t="str">
        <f>IF(AND(Formulario!G79&lt;&gt;"",Formulario!G79&lt;&gt;"",A67&lt;&gt;""),Formulario!G79,"")</f>
        <v/>
      </c>
      <c r="I67" t="str">
        <f>IF(AND(Formulario!D79&lt;&gt;"",A67&lt;&gt;""),"UY10","")</f>
        <v/>
      </c>
      <c r="J67" t="str">
        <f>IF(AND(Formulario!D79&lt;&gt;"",A67&lt;&gt;""),"0001","")</f>
        <v/>
      </c>
      <c r="K67" t="str">
        <f>IF(AND(Formulario!D79&lt;&gt;"",A67&lt;&gt;""),"1","")</f>
        <v/>
      </c>
    </row>
    <row r="68" spans="1:11" x14ac:dyDescent="0.3">
      <c r="A68" t="str">
        <f>IF(AND(Formulario!D80&lt;&gt;"",ISNUMBER(Formulario!D80)),Formulario!D80,"")</f>
        <v/>
      </c>
      <c r="B68" s="146" t="str">
        <f>IF(AND(Formulario!F80&lt;&gt;"", Formulario!F80&lt;&gt;"",A68&lt;&gt;""),Formulario!F80,"")</f>
        <v/>
      </c>
      <c r="C68" s="146" t="str">
        <f>IF(AND(Formulario!D80&lt;&gt;"", Formulario!E80&lt;&gt;"",A68&lt;&gt;""),Formulario!E80,"")</f>
        <v/>
      </c>
      <c r="D68" s="55" t="str">
        <f>IF('Cond SAP'!AA80="","",'Cond SAP'!AA80)</f>
        <v/>
      </c>
      <c r="E68" t="str">
        <f>IF(AND(Formulario!G80&lt;&gt;"",Formulario!Q80&lt;&gt;"",A68&lt;&gt;""),Formulario!Q80,"")</f>
        <v/>
      </c>
      <c r="F68" t="str" cm="1">
        <f t="array" aca="1" ref="F68" ca="1">IF(OR(A68="",B68=""),"",LEFT(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8" t="str">
        <f>IF(AND(Formulario!G80&lt;&gt;"",Formulario!G80&lt;&gt;"",A68&lt;&gt;""),Formulario!G80,"")</f>
        <v/>
      </c>
      <c r="I68" t="str">
        <f>IF(AND(Formulario!D80&lt;&gt;"",A68&lt;&gt;""),"UY10","")</f>
        <v/>
      </c>
      <c r="J68" t="str">
        <f>IF(AND(Formulario!D80&lt;&gt;"",A68&lt;&gt;""),"0001","")</f>
        <v/>
      </c>
      <c r="K68" t="str">
        <f>IF(AND(Formulario!D80&lt;&gt;"",A68&lt;&gt;""),"1","")</f>
        <v/>
      </c>
    </row>
    <row r="69" spans="1:11" x14ac:dyDescent="0.3">
      <c r="A69" t="str">
        <f>IF(AND(Formulario!D81&lt;&gt;"",ISNUMBER(Formulario!D81)),Formulario!D81,"")</f>
        <v/>
      </c>
      <c r="B69" s="146" t="str">
        <f>IF(AND(Formulario!F81&lt;&gt;"", Formulario!F81&lt;&gt;"",A69&lt;&gt;""),Formulario!F81,"")</f>
        <v/>
      </c>
      <c r="C69" s="146" t="str">
        <f>IF(AND(Formulario!D81&lt;&gt;"", Formulario!E81&lt;&gt;"",A69&lt;&gt;""),Formulario!E81,"")</f>
        <v/>
      </c>
      <c r="D69" s="55" t="str">
        <f>IF('Cond SAP'!AA81="","",'Cond SAP'!AA81)</f>
        <v/>
      </c>
      <c r="E69" t="str">
        <f>IF(AND(Formulario!G81&lt;&gt;"",Formulario!Q81&lt;&gt;"",A69&lt;&gt;""),Formulario!Q81,"")</f>
        <v/>
      </c>
      <c r="F69" t="str" cm="1">
        <f t="array" aca="1" ref="F69" ca="1">IF(OR(A69="",B69=""),"",LEFT(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69" t="str">
        <f>IF(AND(Formulario!G81&lt;&gt;"",Formulario!G81&lt;&gt;"",A69&lt;&gt;""),Formulario!G81,"")</f>
        <v/>
      </c>
      <c r="I69" t="str">
        <f>IF(AND(Formulario!D81&lt;&gt;"",A69&lt;&gt;""),"UY10","")</f>
        <v/>
      </c>
      <c r="J69" t="str">
        <f>IF(AND(Formulario!D81&lt;&gt;"",A69&lt;&gt;""),"0001","")</f>
        <v/>
      </c>
      <c r="K69" t="str">
        <f>IF(AND(Formulario!D81&lt;&gt;"",A69&lt;&gt;""),"1","")</f>
        <v/>
      </c>
    </row>
    <row r="70" spans="1:11" x14ac:dyDescent="0.3">
      <c r="A70" t="str">
        <f>IF(AND(Formulario!D82&lt;&gt;"",ISNUMBER(Formulario!D82)),Formulario!D82,"")</f>
        <v/>
      </c>
      <c r="B70" s="146" t="str">
        <f>IF(AND(Formulario!F82&lt;&gt;"", Formulario!F82&lt;&gt;"",A70&lt;&gt;""),Formulario!F82,"")</f>
        <v/>
      </c>
      <c r="C70" s="146" t="str">
        <f>IF(AND(Formulario!D82&lt;&gt;"", Formulario!E82&lt;&gt;"",A70&lt;&gt;""),Formulario!E82,"")</f>
        <v/>
      </c>
      <c r="D70" s="55" t="str">
        <f>IF('Cond SAP'!AA82="","",'Cond SAP'!AA82)</f>
        <v/>
      </c>
      <c r="E70" t="str">
        <f>IF(AND(Formulario!G82&lt;&gt;"",Formulario!Q82&lt;&gt;"",A70&lt;&gt;""),Formulario!Q82,"")</f>
        <v/>
      </c>
      <c r="F70" t="str" cm="1">
        <f t="array" aca="1" ref="F70" ca="1">IF(OR(A70="",B70=""),"",LEFT(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0" t="str">
        <f>IF(AND(Formulario!G82&lt;&gt;"",Formulario!G82&lt;&gt;"",A70&lt;&gt;""),Formulario!G82,"")</f>
        <v/>
      </c>
      <c r="I70" t="str">
        <f>IF(AND(Formulario!D82&lt;&gt;"",A70&lt;&gt;""),"UY10","")</f>
        <v/>
      </c>
      <c r="J70" t="str">
        <f>IF(AND(Formulario!D82&lt;&gt;"",A70&lt;&gt;""),"0001","")</f>
        <v/>
      </c>
      <c r="K70" t="str">
        <f>IF(AND(Formulario!D82&lt;&gt;"",A70&lt;&gt;""),"1","")</f>
        <v/>
      </c>
    </row>
    <row r="71" spans="1:11" x14ac:dyDescent="0.3">
      <c r="A71" t="str">
        <f>IF(AND(Formulario!D83&lt;&gt;"",ISNUMBER(Formulario!D83)),Formulario!D83,"")</f>
        <v/>
      </c>
      <c r="B71" s="146" t="str">
        <f>IF(AND(Formulario!F83&lt;&gt;"", Formulario!F83&lt;&gt;"",A71&lt;&gt;""),Formulario!F83,"")</f>
        <v/>
      </c>
      <c r="C71" s="146" t="str">
        <f>IF(AND(Formulario!D83&lt;&gt;"", Formulario!E83&lt;&gt;"",A71&lt;&gt;""),Formulario!E83,"")</f>
        <v/>
      </c>
      <c r="D71" s="55" t="str">
        <f>IF('Cond SAP'!AA83="","",'Cond SAP'!AA83)</f>
        <v/>
      </c>
      <c r="E71" t="str">
        <f>IF(AND(Formulario!G83&lt;&gt;"",Formulario!Q83&lt;&gt;"",A71&lt;&gt;""),Formulario!Q83,"")</f>
        <v/>
      </c>
      <c r="F71" t="str" cm="1">
        <f t="array" aca="1" ref="F71" ca="1">IF(OR(A71="",B71=""),"",LEFT(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1" t="str">
        <f>IF(AND(Formulario!G83&lt;&gt;"",Formulario!G83&lt;&gt;"",A71&lt;&gt;""),Formulario!G83,"")</f>
        <v/>
      </c>
      <c r="I71" t="str">
        <f>IF(AND(Formulario!D83&lt;&gt;"",A71&lt;&gt;""),"UY10","")</f>
        <v/>
      </c>
      <c r="J71" t="str">
        <f>IF(AND(Formulario!D83&lt;&gt;"",A71&lt;&gt;""),"0001","")</f>
        <v/>
      </c>
      <c r="K71" t="str">
        <f>IF(AND(Formulario!D83&lt;&gt;"",A71&lt;&gt;""),"1","")</f>
        <v/>
      </c>
    </row>
    <row r="72" spans="1:11" x14ac:dyDescent="0.3">
      <c r="A72" t="str">
        <f>IF(AND(Formulario!D84&lt;&gt;"",ISNUMBER(Formulario!D84)),Formulario!D84,"")</f>
        <v/>
      </c>
      <c r="B72" s="146" t="str">
        <f>IF(AND(Formulario!F84&lt;&gt;"", Formulario!F84&lt;&gt;"",A72&lt;&gt;""),Formulario!F84,"")</f>
        <v/>
      </c>
      <c r="C72" s="146" t="str">
        <f>IF(AND(Formulario!D84&lt;&gt;"", Formulario!E84&lt;&gt;"",A72&lt;&gt;""),Formulario!E84,"")</f>
        <v/>
      </c>
      <c r="D72" s="55" t="str">
        <f>IF('Cond SAP'!AA84="","",'Cond SAP'!AA84)</f>
        <v/>
      </c>
      <c r="E72" t="str">
        <f>IF(AND(Formulario!G84&lt;&gt;"",Formulario!Q84&lt;&gt;"",A72&lt;&gt;""),Formulario!Q84,"")</f>
        <v/>
      </c>
      <c r="F72" t="str" cm="1">
        <f t="array" aca="1" ref="F72" ca="1">IF(OR(A72="",B72=""),"",LEFT(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2" t="str">
        <f>IF(AND(Formulario!G84&lt;&gt;"",Formulario!G84&lt;&gt;"",A72&lt;&gt;""),Formulario!G84,"")</f>
        <v/>
      </c>
      <c r="I72" t="str">
        <f>IF(AND(Formulario!D84&lt;&gt;"",A72&lt;&gt;""),"UY10","")</f>
        <v/>
      </c>
      <c r="J72" t="str">
        <f>IF(AND(Formulario!D84&lt;&gt;"",A72&lt;&gt;""),"0001","")</f>
        <v/>
      </c>
      <c r="K72" t="str">
        <f>IF(AND(Formulario!D84&lt;&gt;"",A72&lt;&gt;""),"1","")</f>
        <v/>
      </c>
    </row>
    <row r="73" spans="1:11" x14ac:dyDescent="0.3">
      <c r="A73" t="str">
        <f>IF(AND(Formulario!D85&lt;&gt;"",ISNUMBER(Formulario!D85)),Formulario!D85,"")</f>
        <v/>
      </c>
      <c r="B73" s="146" t="str">
        <f>IF(AND(Formulario!F85&lt;&gt;"", Formulario!F85&lt;&gt;"",A73&lt;&gt;""),Formulario!F85,"")</f>
        <v/>
      </c>
      <c r="C73" s="146" t="str">
        <f>IF(AND(Formulario!D85&lt;&gt;"", Formulario!E85&lt;&gt;"",A73&lt;&gt;""),Formulario!E85,"")</f>
        <v/>
      </c>
      <c r="D73" s="55" t="str">
        <f>IF('Cond SAP'!AA85="","",'Cond SAP'!AA85)</f>
        <v/>
      </c>
      <c r="E73" t="str">
        <f>IF(AND(Formulario!G85&lt;&gt;"",Formulario!Q85&lt;&gt;"",A73&lt;&gt;""),Formulario!Q85,"")</f>
        <v/>
      </c>
      <c r="F73" t="str" cm="1">
        <f t="array" aca="1" ref="F73" ca="1">IF(OR(A73="",B73=""),"",LEFT(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3" t="str">
        <f>IF(AND(Formulario!G85&lt;&gt;"",Formulario!G85&lt;&gt;"",A73&lt;&gt;""),Formulario!G85,"")</f>
        <v/>
      </c>
      <c r="I73" t="str">
        <f>IF(AND(Formulario!D85&lt;&gt;"",A73&lt;&gt;""),"UY10","")</f>
        <v/>
      </c>
      <c r="J73" t="str">
        <f>IF(AND(Formulario!D85&lt;&gt;"",A73&lt;&gt;""),"0001","")</f>
        <v/>
      </c>
      <c r="K73" t="str">
        <f>IF(AND(Formulario!D85&lt;&gt;"",A73&lt;&gt;""),"1","")</f>
        <v/>
      </c>
    </row>
    <row r="74" spans="1:11" x14ac:dyDescent="0.3">
      <c r="A74" t="str">
        <f>IF(AND(Formulario!D86&lt;&gt;"",ISNUMBER(Formulario!D86)),Formulario!D86,"")</f>
        <v/>
      </c>
      <c r="B74" s="146" t="str">
        <f>IF(AND(Formulario!F86&lt;&gt;"", Formulario!F86&lt;&gt;"",A74&lt;&gt;""),Formulario!F86,"")</f>
        <v/>
      </c>
      <c r="C74" s="146" t="str">
        <f>IF(AND(Formulario!D86&lt;&gt;"", Formulario!E86&lt;&gt;"",A74&lt;&gt;""),Formulario!E86,"")</f>
        <v/>
      </c>
      <c r="D74" s="55" t="str">
        <f>IF('Cond SAP'!AA86="","",'Cond SAP'!AA86)</f>
        <v/>
      </c>
      <c r="E74" t="str">
        <f>IF(AND(Formulario!G86&lt;&gt;"",Formulario!Q86&lt;&gt;"",A74&lt;&gt;""),Formulario!Q86,"")</f>
        <v/>
      </c>
      <c r="F74" t="str" cm="1">
        <f t="array" aca="1" ref="F74" ca="1">IF(OR(A74="",B74=""),"",LEFT(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4" t="str">
        <f>IF(AND(Formulario!G86&lt;&gt;"",Formulario!G86&lt;&gt;"",A74&lt;&gt;""),Formulario!G86,"")</f>
        <v/>
      </c>
      <c r="I74" t="str">
        <f>IF(AND(Formulario!D86&lt;&gt;"",A74&lt;&gt;""),"UY10","")</f>
        <v/>
      </c>
      <c r="J74" t="str">
        <f>IF(AND(Formulario!D86&lt;&gt;"",A74&lt;&gt;""),"0001","")</f>
        <v/>
      </c>
      <c r="K74" t="str">
        <f>IF(AND(Formulario!D86&lt;&gt;"",A74&lt;&gt;""),"1","")</f>
        <v/>
      </c>
    </row>
    <row r="75" spans="1:11" x14ac:dyDescent="0.3">
      <c r="A75" t="str">
        <f>IF(AND(Formulario!D87&lt;&gt;"",ISNUMBER(Formulario!D87)),Formulario!D87,"")</f>
        <v/>
      </c>
      <c r="B75" s="146" t="str">
        <f>IF(AND(Formulario!F87&lt;&gt;"", Formulario!F87&lt;&gt;"",A75&lt;&gt;""),Formulario!F87,"")</f>
        <v/>
      </c>
      <c r="C75" s="146" t="str">
        <f>IF(AND(Formulario!D87&lt;&gt;"", Formulario!E87&lt;&gt;"",A75&lt;&gt;""),Formulario!E87,"")</f>
        <v/>
      </c>
      <c r="D75" s="55" t="str">
        <f>IF('Cond SAP'!AA87="","",'Cond SAP'!AA87)</f>
        <v/>
      </c>
      <c r="E75" t="str">
        <f>IF(AND(Formulario!G87&lt;&gt;"",Formulario!Q87&lt;&gt;"",A75&lt;&gt;""),Formulario!Q87,"")</f>
        <v/>
      </c>
      <c r="F75" t="str" cm="1">
        <f t="array" aca="1" ref="F75" ca="1">IF(OR(A75="",B75=""),"",LEFT(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5" t="str">
        <f>IF(AND(Formulario!G87&lt;&gt;"",Formulario!G87&lt;&gt;"",A75&lt;&gt;""),Formulario!G87,"")</f>
        <v/>
      </c>
      <c r="I75" t="str">
        <f>IF(AND(Formulario!D87&lt;&gt;"",A75&lt;&gt;""),"UY10","")</f>
        <v/>
      </c>
      <c r="J75" t="str">
        <f>IF(AND(Formulario!D87&lt;&gt;"",A75&lt;&gt;""),"0001","")</f>
        <v/>
      </c>
      <c r="K75" t="str">
        <f>IF(AND(Formulario!D87&lt;&gt;"",A75&lt;&gt;""),"1","")</f>
        <v/>
      </c>
    </row>
    <row r="76" spans="1:11" x14ac:dyDescent="0.3">
      <c r="A76" t="str">
        <f>IF(AND(Formulario!D88&lt;&gt;"",ISNUMBER(Formulario!D88)),Formulario!D88,"")</f>
        <v/>
      </c>
      <c r="B76" s="146" t="str">
        <f>IF(AND(Formulario!F88&lt;&gt;"", Formulario!F88&lt;&gt;"",A76&lt;&gt;""),Formulario!F88,"")</f>
        <v/>
      </c>
      <c r="C76" s="146" t="str">
        <f>IF(AND(Formulario!D88&lt;&gt;"", Formulario!E88&lt;&gt;"",A76&lt;&gt;""),Formulario!E88,"")</f>
        <v/>
      </c>
      <c r="D76" s="55" t="str">
        <f>IF('Cond SAP'!AA88="","",'Cond SAP'!AA88)</f>
        <v/>
      </c>
      <c r="E76" t="str">
        <f>IF(AND(Formulario!G88&lt;&gt;"",Formulario!Q88&lt;&gt;"",A76&lt;&gt;""),Formulario!Q88,"")</f>
        <v/>
      </c>
      <c r="F76" t="str" cm="1">
        <f t="array" aca="1" ref="F76" ca="1">IF(OR(A76="",B76=""),"",LEFT(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6" t="str">
        <f>IF(AND(Formulario!G88&lt;&gt;"",Formulario!G88&lt;&gt;"",A76&lt;&gt;""),Formulario!G88,"")</f>
        <v/>
      </c>
      <c r="I76" t="str">
        <f>IF(AND(Formulario!D88&lt;&gt;"",A76&lt;&gt;""),"UY10","")</f>
        <v/>
      </c>
      <c r="J76" t="str">
        <f>IF(AND(Formulario!D88&lt;&gt;"",A76&lt;&gt;""),"0001","")</f>
        <v/>
      </c>
      <c r="K76" t="str">
        <f>IF(AND(Formulario!D88&lt;&gt;"",A76&lt;&gt;""),"1","")</f>
        <v/>
      </c>
    </row>
    <row r="77" spans="1:11" x14ac:dyDescent="0.3">
      <c r="A77" t="str">
        <f>IF(AND(Formulario!D89&lt;&gt;"",ISNUMBER(Formulario!D89)),Formulario!D89,"")</f>
        <v/>
      </c>
      <c r="B77" s="146" t="str">
        <f>IF(AND(Formulario!F89&lt;&gt;"", Formulario!F89&lt;&gt;"",A77&lt;&gt;""),Formulario!F89,"")</f>
        <v/>
      </c>
      <c r="C77" s="146" t="str">
        <f>IF(AND(Formulario!D89&lt;&gt;"", Formulario!E89&lt;&gt;"",A77&lt;&gt;""),Formulario!E89,"")</f>
        <v/>
      </c>
      <c r="D77" s="55" t="str">
        <f>IF('Cond SAP'!AA89="","",'Cond SAP'!AA89)</f>
        <v/>
      </c>
      <c r="E77" t="str">
        <f>IF(AND(Formulario!G89&lt;&gt;"",Formulario!Q89&lt;&gt;"",A77&lt;&gt;""),Formulario!Q89,"")</f>
        <v/>
      </c>
      <c r="F77" t="str" cm="1">
        <f t="array" aca="1" ref="F77" ca="1">IF(OR(A77="",B77=""),"",LEFT(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7" t="str">
        <f>IF(AND(Formulario!G89&lt;&gt;"",Formulario!G89&lt;&gt;"",A77&lt;&gt;""),Formulario!G89,"")</f>
        <v/>
      </c>
      <c r="I77" t="str">
        <f>IF(AND(Formulario!D89&lt;&gt;"",A77&lt;&gt;""),"UY10","")</f>
        <v/>
      </c>
      <c r="J77" t="str">
        <f>IF(AND(Formulario!D89&lt;&gt;"",A77&lt;&gt;""),"0001","")</f>
        <v/>
      </c>
      <c r="K77" t="str">
        <f>IF(AND(Formulario!D89&lt;&gt;"",A77&lt;&gt;""),"1","")</f>
        <v/>
      </c>
    </row>
    <row r="78" spans="1:11" x14ac:dyDescent="0.3">
      <c r="A78" t="str">
        <f>IF(AND(Formulario!D90&lt;&gt;"",ISNUMBER(Formulario!D90)),Formulario!D90,"")</f>
        <v/>
      </c>
      <c r="B78" s="146" t="str">
        <f>IF(AND(Formulario!F90&lt;&gt;"", Formulario!F90&lt;&gt;"",A78&lt;&gt;""),Formulario!F90,"")</f>
        <v/>
      </c>
      <c r="C78" s="146" t="str">
        <f>IF(AND(Formulario!D90&lt;&gt;"", Formulario!E90&lt;&gt;"",A78&lt;&gt;""),Formulario!E90,"")</f>
        <v/>
      </c>
      <c r="D78" s="55" t="str">
        <f>IF('Cond SAP'!AA90="","",'Cond SAP'!AA90)</f>
        <v/>
      </c>
      <c r="E78" t="str">
        <f>IF(AND(Formulario!G90&lt;&gt;"",Formulario!Q90&lt;&gt;"",A78&lt;&gt;""),Formulario!Q90,"")</f>
        <v/>
      </c>
      <c r="F78" t="str" cm="1">
        <f t="array" aca="1" ref="F78" ca="1">IF(OR(A78="",B78=""),"",LEFT(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8" t="str">
        <f>IF(AND(Formulario!G90&lt;&gt;"",Formulario!G90&lt;&gt;"",A78&lt;&gt;""),Formulario!G90,"")</f>
        <v/>
      </c>
      <c r="I78" t="str">
        <f>IF(AND(Formulario!D90&lt;&gt;"",A78&lt;&gt;""),"UY10","")</f>
        <v/>
      </c>
      <c r="J78" t="str">
        <f>IF(AND(Formulario!D90&lt;&gt;"",A78&lt;&gt;""),"0001","")</f>
        <v/>
      </c>
      <c r="K78" t="str">
        <f>IF(AND(Formulario!D90&lt;&gt;"",A78&lt;&gt;""),"1","")</f>
        <v/>
      </c>
    </row>
    <row r="79" spans="1:11" x14ac:dyDescent="0.3">
      <c r="A79" t="str">
        <f>IF(AND(Formulario!D91&lt;&gt;"",ISNUMBER(Formulario!D91)),Formulario!D91,"")</f>
        <v/>
      </c>
      <c r="B79" s="146" t="str">
        <f>IF(AND(Formulario!F91&lt;&gt;"", Formulario!F91&lt;&gt;"",A79&lt;&gt;""),Formulario!F91,"")</f>
        <v/>
      </c>
      <c r="C79" s="146" t="str">
        <f>IF(AND(Formulario!D91&lt;&gt;"", Formulario!E91&lt;&gt;"",A79&lt;&gt;""),Formulario!E91,"")</f>
        <v/>
      </c>
      <c r="D79" s="55" t="str">
        <f>IF('Cond SAP'!AA91="","",'Cond SAP'!AA91)</f>
        <v/>
      </c>
      <c r="E79" t="str">
        <f>IF(AND(Formulario!G91&lt;&gt;"",Formulario!Q91&lt;&gt;"",A79&lt;&gt;""),Formulario!Q91,"")</f>
        <v/>
      </c>
      <c r="F79" t="str" cm="1">
        <f t="array" aca="1" ref="F79" ca="1">IF(OR(A79="",B79=""),"",LEFT(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79" t="str">
        <f>IF(AND(Formulario!G91&lt;&gt;"",Formulario!G91&lt;&gt;"",A79&lt;&gt;""),Formulario!G91,"")</f>
        <v/>
      </c>
      <c r="I79" t="str">
        <f>IF(AND(Formulario!D91&lt;&gt;"",A79&lt;&gt;""),"UY10","")</f>
        <v/>
      </c>
      <c r="J79" t="str">
        <f>IF(AND(Formulario!D91&lt;&gt;"",A79&lt;&gt;""),"0001","")</f>
        <v/>
      </c>
      <c r="K79" t="str">
        <f>IF(AND(Formulario!D91&lt;&gt;"",A79&lt;&gt;""),"1","")</f>
        <v/>
      </c>
    </row>
    <row r="80" spans="1:11" x14ac:dyDescent="0.3">
      <c r="A80" t="str">
        <f>IF(AND(Formulario!D92&lt;&gt;"",ISNUMBER(Formulario!D92)),Formulario!D92,"")</f>
        <v/>
      </c>
      <c r="B80" s="146" t="str">
        <f>IF(AND(Formulario!F92&lt;&gt;"", Formulario!F92&lt;&gt;"",A80&lt;&gt;""),Formulario!F92,"")</f>
        <v/>
      </c>
      <c r="C80" s="146" t="str">
        <f>IF(AND(Formulario!D92&lt;&gt;"", Formulario!E92&lt;&gt;"",A80&lt;&gt;""),Formulario!E92,"")</f>
        <v/>
      </c>
      <c r="D80" s="55" t="str">
        <f>IF('Cond SAP'!AA92="","",'Cond SAP'!AA92)</f>
        <v/>
      </c>
      <c r="E80" t="str">
        <f>IF(AND(Formulario!G92&lt;&gt;"",Formulario!Q92&lt;&gt;"",A80&lt;&gt;""),Formulario!Q92,"")</f>
        <v/>
      </c>
      <c r="F80" t="str" cm="1">
        <f t="array" aca="1" ref="F80" ca="1">IF(OR(A80="",B80=""),"",LEFT(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0" t="str">
        <f>IF(AND(Formulario!G92&lt;&gt;"",Formulario!G92&lt;&gt;"",A80&lt;&gt;""),Formulario!G92,"")</f>
        <v/>
      </c>
      <c r="I80" t="str">
        <f>IF(AND(Formulario!D92&lt;&gt;"",A80&lt;&gt;""),"UY10","")</f>
        <v/>
      </c>
      <c r="J80" t="str">
        <f>IF(AND(Formulario!D92&lt;&gt;"",A80&lt;&gt;""),"0001","")</f>
        <v/>
      </c>
      <c r="K80" t="str">
        <f>IF(AND(Formulario!D92&lt;&gt;"",A80&lt;&gt;""),"1","")</f>
        <v/>
      </c>
    </row>
    <row r="81" spans="1:11" x14ac:dyDescent="0.3">
      <c r="A81" t="str">
        <f>IF(AND(Formulario!D93&lt;&gt;"",ISNUMBER(Formulario!D93)),Formulario!D93,"")</f>
        <v/>
      </c>
      <c r="B81" s="146" t="str">
        <f>IF(AND(Formulario!F93&lt;&gt;"", Formulario!F93&lt;&gt;"",A81&lt;&gt;""),Formulario!F93,"")</f>
        <v/>
      </c>
      <c r="C81" s="146" t="str">
        <f>IF(AND(Formulario!D93&lt;&gt;"", Formulario!E93&lt;&gt;"",A81&lt;&gt;""),Formulario!E93,"")</f>
        <v/>
      </c>
      <c r="D81" s="55" t="str">
        <f>IF('Cond SAP'!AA93="","",'Cond SAP'!AA93)</f>
        <v/>
      </c>
      <c r="E81" t="str">
        <f>IF(AND(Formulario!G93&lt;&gt;"",Formulario!Q93&lt;&gt;"",A81&lt;&gt;""),Formulario!Q93,"")</f>
        <v/>
      </c>
      <c r="F81" t="str" cm="1">
        <f t="array" aca="1" ref="F81" ca="1">IF(OR(A81="",B81=""),"",LEFT(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1" t="str">
        <f>IF(AND(Formulario!G93&lt;&gt;"",Formulario!G93&lt;&gt;"",A81&lt;&gt;""),Formulario!G93,"")</f>
        <v/>
      </c>
      <c r="I81" t="str">
        <f>IF(AND(Formulario!D93&lt;&gt;"",A81&lt;&gt;""),"UY10","")</f>
        <v/>
      </c>
      <c r="J81" t="str">
        <f>IF(AND(Formulario!D93&lt;&gt;"",A81&lt;&gt;""),"0001","")</f>
        <v/>
      </c>
      <c r="K81" t="str">
        <f>IF(AND(Formulario!D93&lt;&gt;"",A81&lt;&gt;""),"1","")</f>
        <v/>
      </c>
    </row>
    <row r="82" spans="1:11" x14ac:dyDescent="0.3">
      <c r="A82" t="str">
        <f>IF(AND(Formulario!D94&lt;&gt;"",ISNUMBER(Formulario!D94)),Formulario!D94,"")</f>
        <v/>
      </c>
      <c r="B82" s="146" t="str">
        <f>IF(AND(Formulario!F94&lt;&gt;"", Formulario!F94&lt;&gt;"",A82&lt;&gt;""),Formulario!F94,"")</f>
        <v/>
      </c>
      <c r="C82" s="146" t="str">
        <f>IF(AND(Formulario!D94&lt;&gt;"", Formulario!E94&lt;&gt;"",A82&lt;&gt;""),Formulario!E94,"")</f>
        <v/>
      </c>
      <c r="D82" s="55" t="str">
        <f>IF('Cond SAP'!AA94="","",'Cond SAP'!AA94)</f>
        <v/>
      </c>
      <c r="E82" t="str">
        <f>IF(AND(Formulario!G94&lt;&gt;"",Formulario!Q94&lt;&gt;"",A82&lt;&gt;""),Formulario!Q94,"")</f>
        <v/>
      </c>
      <c r="F82" t="str" cm="1">
        <f t="array" aca="1" ref="F82" ca="1">IF(OR(A82="",B82=""),"",LEFT(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2" t="str">
        <f>IF(AND(Formulario!G94&lt;&gt;"",Formulario!G94&lt;&gt;"",A82&lt;&gt;""),Formulario!G94,"")</f>
        <v/>
      </c>
      <c r="I82" t="str">
        <f>IF(AND(Formulario!D94&lt;&gt;"",A82&lt;&gt;""),"UY10","")</f>
        <v/>
      </c>
      <c r="J82" t="str">
        <f>IF(AND(Formulario!D94&lt;&gt;"",A82&lt;&gt;""),"0001","")</f>
        <v/>
      </c>
      <c r="K82" t="str">
        <f>IF(AND(Formulario!D94&lt;&gt;"",A82&lt;&gt;""),"1","")</f>
        <v/>
      </c>
    </row>
    <row r="83" spans="1:11" x14ac:dyDescent="0.3">
      <c r="A83" t="str">
        <f>IF(AND(Formulario!D95&lt;&gt;"",ISNUMBER(Formulario!D95)),Formulario!D95,"")</f>
        <v/>
      </c>
      <c r="B83" s="146" t="str">
        <f>IF(AND(Formulario!F95&lt;&gt;"", Formulario!F95&lt;&gt;"",A83&lt;&gt;""),Formulario!F95,"")</f>
        <v/>
      </c>
      <c r="C83" s="146" t="str">
        <f>IF(AND(Formulario!D95&lt;&gt;"", Formulario!E95&lt;&gt;"",A83&lt;&gt;""),Formulario!E95,"")</f>
        <v/>
      </c>
      <c r="D83" s="55" t="str">
        <f>IF('Cond SAP'!AA95="","",'Cond SAP'!AA95)</f>
        <v/>
      </c>
      <c r="E83" t="str">
        <f>IF(AND(Formulario!G95&lt;&gt;"",Formulario!Q95&lt;&gt;"",A83&lt;&gt;""),Formulario!Q95,"")</f>
        <v/>
      </c>
      <c r="F83" t="str" cm="1">
        <f t="array" aca="1" ref="F83" ca="1">IF(OR(A83="",B83=""),"",LEFT(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3" t="str">
        <f>IF(AND(Formulario!G95&lt;&gt;"",Formulario!G95&lt;&gt;"",A83&lt;&gt;""),Formulario!G95,"")</f>
        <v/>
      </c>
      <c r="I83" t="str">
        <f>IF(AND(Formulario!D95&lt;&gt;"",A83&lt;&gt;""),"UY10","")</f>
        <v/>
      </c>
      <c r="J83" t="str">
        <f>IF(AND(Formulario!D95&lt;&gt;"",A83&lt;&gt;""),"0001","")</f>
        <v/>
      </c>
      <c r="K83" t="str">
        <f>IF(AND(Formulario!D95&lt;&gt;"",A83&lt;&gt;""),"1","")</f>
        <v/>
      </c>
    </row>
    <row r="84" spans="1:11" x14ac:dyDescent="0.3">
      <c r="A84" t="str">
        <f>IF(AND(Formulario!D96&lt;&gt;"",ISNUMBER(Formulario!D96)),Formulario!D96,"")</f>
        <v/>
      </c>
      <c r="B84" s="146" t="str">
        <f>IF(AND(Formulario!F96&lt;&gt;"", Formulario!F96&lt;&gt;"",A84&lt;&gt;""),Formulario!F96,"")</f>
        <v/>
      </c>
      <c r="C84" s="146" t="str">
        <f>IF(AND(Formulario!D96&lt;&gt;"", Formulario!E96&lt;&gt;"",A84&lt;&gt;""),Formulario!E96,"")</f>
        <v/>
      </c>
      <c r="D84" s="55" t="str">
        <f>IF('Cond SAP'!AA96="","",'Cond SAP'!AA96)</f>
        <v/>
      </c>
      <c r="E84" t="str">
        <f>IF(AND(Formulario!G96&lt;&gt;"",Formulario!Q96&lt;&gt;"",A84&lt;&gt;""),Formulario!Q96,"")</f>
        <v/>
      </c>
      <c r="F84" t="str" cm="1">
        <f t="array" aca="1" ref="F84" ca="1">IF(OR(A84="",B84=""),"",LEFT(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4" t="str">
        <f>IF(AND(Formulario!G96&lt;&gt;"",Formulario!G96&lt;&gt;"",A84&lt;&gt;""),Formulario!G96,"")</f>
        <v/>
      </c>
      <c r="I84" t="str">
        <f>IF(AND(Formulario!D96&lt;&gt;"",A84&lt;&gt;""),"UY10","")</f>
        <v/>
      </c>
      <c r="J84" t="str">
        <f>IF(AND(Formulario!D96&lt;&gt;"",A84&lt;&gt;""),"0001","")</f>
        <v/>
      </c>
      <c r="K84" t="str">
        <f>IF(AND(Formulario!D96&lt;&gt;"",A84&lt;&gt;""),"1","")</f>
        <v/>
      </c>
    </row>
    <row r="85" spans="1:11" x14ac:dyDescent="0.3">
      <c r="A85" t="str">
        <f>IF(AND(Formulario!D97&lt;&gt;"",ISNUMBER(Formulario!D97)),Formulario!D97,"")</f>
        <v/>
      </c>
      <c r="B85" s="146" t="str">
        <f>IF(AND(Formulario!F97&lt;&gt;"", Formulario!F97&lt;&gt;"",A85&lt;&gt;""),Formulario!F97,"")</f>
        <v/>
      </c>
      <c r="C85" s="146" t="str">
        <f>IF(AND(Formulario!D97&lt;&gt;"", Formulario!E97&lt;&gt;"",A85&lt;&gt;""),Formulario!E97,"")</f>
        <v/>
      </c>
      <c r="D85" s="55" t="str">
        <f>IF('Cond SAP'!AA97="","",'Cond SAP'!AA97)</f>
        <v/>
      </c>
      <c r="E85" t="str">
        <f>IF(AND(Formulario!G97&lt;&gt;"",Formulario!Q97&lt;&gt;"",A85&lt;&gt;""),Formulario!Q97,"")</f>
        <v/>
      </c>
      <c r="F85" t="str" cm="1">
        <f t="array" aca="1" ref="F85" ca="1">IF(OR(A85="",B85=""),"",LEFT(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5" t="str">
        <f>IF(AND(Formulario!G97&lt;&gt;"",Formulario!G97&lt;&gt;"",A85&lt;&gt;""),Formulario!G97,"")</f>
        <v/>
      </c>
      <c r="I85" t="str">
        <f>IF(AND(Formulario!D97&lt;&gt;"",A85&lt;&gt;""),"UY10","")</f>
        <v/>
      </c>
      <c r="J85" t="str">
        <f>IF(AND(Formulario!D97&lt;&gt;"",A85&lt;&gt;""),"0001","")</f>
        <v/>
      </c>
      <c r="K85" t="str">
        <f>IF(AND(Formulario!D97&lt;&gt;"",A85&lt;&gt;""),"1","")</f>
        <v/>
      </c>
    </row>
    <row r="86" spans="1:11" x14ac:dyDescent="0.3">
      <c r="A86" t="str">
        <f>IF(AND(Formulario!D98&lt;&gt;"",ISNUMBER(Formulario!D98)),Formulario!D98,"")</f>
        <v/>
      </c>
      <c r="B86" s="146" t="str">
        <f>IF(AND(Formulario!F98&lt;&gt;"", Formulario!F98&lt;&gt;"",A86&lt;&gt;""),Formulario!F98,"")</f>
        <v/>
      </c>
      <c r="C86" s="146" t="str">
        <f>IF(AND(Formulario!D98&lt;&gt;"", Formulario!E98&lt;&gt;"",A86&lt;&gt;""),Formulario!E98,"")</f>
        <v/>
      </c>
      <c r="D86" s="55" t="str">
        <f>IF('Cond SAP'!AA98="","",'Cond SAP'!AA98)</f>
        <v/>
      </c>
      <c r="E86" t="str">
        <f>IF(AND(Formulario!G98&lt;&gt;"",Formulario!Q98&lt;&gt;"",A86&lt;&gt;""),Formulario!Q98,"")</f>
        <v/>
      </c>
      <c r="F86" t="str" cm="1">
        <f t="array" aca="1" ref="F86" ca="1">IF(OR(A86="",B86=""),"",LEFT(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6" t="str">
        <f>IF(AND(Formulario!G98&lt;&gt;"",Formulario!G98&lt;&gt;"",A86&lt;&gt;""),Formulario!G98,"")</f>
        <v/>
      </c>
      <c r="I86" t="str">
        <f>IF(AND(Formulario!D98&lt;&gt;"",A86&lt;&gt;""),"UY10","")</f>
        <v/>
      </c>
      <c r="J86" t="str">
        <f>IF(AND(Formulario!D98&lt;&gt;"",A86&lt;&gt;""),"0001","")</f>
        <v/>
      </c>
      <c r="K86" t="str">
        <f>IF(AND(Formulario!D98&lt;&gt;"",A86&lt;&gt;""),"1","")</f>
        <v/>
      </c>
    </row>
    <row r="87" spans="1:11" x14ac:dyDescent="0.3">
      <c r="A87" t="str">
        <f>IF(AND(Formulario!D99&lt;&gt;"",ISNUMBER(Formulario!D99)),Formulario!D99,"")</f>
        <v/>
      </c>
      <c r="B87" s="146" t="str">
        <f>IF(AND(Formulario!F99&lt;&gt;"", Formulario!F99&lt;&gt;"",A87&lt;&gt;""),Formulario!F99,"")</f>
        <v/>
      </c>
      <c r="C87" s="146" t="str">
        <f>IF(AND(Formulario!D99&lt;&gt;"", Formulario!E99&lt;&gt;"",A87&lt;&gt;""),Formulario!E99,"")</f>
        <v/>
      </c>
      <c r="D87" s="55" t="str">
        <f>IF('Cond SAP'!AA99="","",'Cond SAP'!AA99)</f>
        <v/>
      </c>
      <c r="E87" t="str">
        <f>IF(AND(Formulario!G99&lt;&gt;"",Formulario!Q99&lt;&gt;"",A87&lt;&gt;""),Formulario!Q99,"")</f>
        <v/>
      </c>
      <c r="F87" t="str" cm="1">
        <f t="array" aca="1" ref="F87" ca="1">IF(OR(A87="",B87=""),"",LEFT(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7" t="str">
        <f>IF(AND(Formulario!G99&lt;&gt;"",Formulario!G99&lt;&gt;"",A87&lt;&gt;""),Formulario!G99,"")</f>
        <v/>
      </c>
      <c r="I87" t="str">
        <f>IF(AND(Formulario!D99&lt;&gt;"",A87&lt;&gt;""),"UY10","")</f>
        <v/>
      </c>
      <c r="J87" t="str">
        <f>IF(AND(Formulario!D99&lt;&gt;"",A87&lt;&gt;""),"0001","")</f>
        <v/>
      </c>
      <c r="K87" t="str">
        <f>IF(AND(Formulario!D99&lt;&gt;"",A87&lt;&gt;""),"1","")</f>
        <v/>
      </c>
    </row>
    <row r="88" spans="1:11" x14ac:dyDescent="0.3">
      <c r="A88" t="str">
        <f>IF(AND(Formulario!D100&lt;&gt;"",ISNUMBER(Formulario!D100)),Formulario!D100,"")</f>
        <v/>
      </c>
      <c r="B88" s="146" t="str">
        <f>IF(AND(Formulario!F100&lt;&gt;"", Formulario!F100&lt;&gt;"",A88&lt;&gt;""),Formulario!F100,"")</f>
        <v/>
      </c>
      <c r="C88" s="146" t="str">
        <f>IF(AND(Formulario!D100&lt;&gt;"", Formulario!E100&lt;&gt;"",A88&lt;&gt;""),Formulario!E100,"")</f>
        <v/>
      </c>
      <c r="D88" s="55" t="str">
        <f>IF('Cond SAP'!AA100="","",'Cond SAP'!AA100)</f>
        <v/>
      </c>
      <c r="E88" t="str">
        <f>IF(AND(Formulario!G100&lt;&gt;"",Formulario!Q100&lt;&gt;"",A88&lt;&gt;""),Formulario!Q100,"")</f>
        <v/>
      </c>
      <c r="F88" t="str" cm="1">
        <f t="array" aca="1" ref="F88" ca="1">IF(OR(A88="",B88=""),"",LEFT(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8" t="str">
        <f>IF(AND(Formulario!G100&lt;&gt;"",Formulario!G100&lt;&gt;"",A88&lt;&gt;""),Formulario!G100,"")</f>
        <v/>
      </c>
      <c r="I88" t="str">
        <f>IF(AND(Formulario!D100&lt;&gt;"",A88&lt;&gt;""),"UY10","")</f>
        <v/>
      </c>
      <c r="J88" t="str">
        <f>IF(AND(Formulario!D100&lt;&gt;"",A88&lt;&gt;""),"0001","")</f>
        <v/>
      </c>
      <c r="K88" t="str">
        <f>IF(AND(Formulario!D100&lt;&gt;"",A88&lt;&gt;""),"1","")</f>
        <v/>
      </c>
    </row>
    <row r="89" spans="1:11" x14ac:dyDescent="0.3">
      <c r="A89" t="str">
        <f>IF(AND(Formulario!D101&lt;&gt;"",ISNUMBER(Formulario!D101)),Formulario!D101,"")</f>
        <v/>
      </c>
      <c r="B89" s="146" t="str">
        <f>IF(AND(Formulario!F101&lt;&gt;"", Formulario!F101&lt;&gt;"",A89&lt;&gt;""),Formulario!F101,"")</f>
        <v/>
      </c>
      <c r="C89" s="146" t="str">
        <f>IF(AND(Formulario!D101&lt;&gt;"", Formulario!E101&lt;&gt;"",A89&lt;&gt;""),Formulario!E101,"")</f>
        <v/>
      </c>
      <c r="D89" s="55" t="str">
        <f>IF('Cond SAP'!AA101="","",'Cond SAP'!AA101)</f>
        <v/>
      </c>
      <c r="E89" t="str">
        <f>IF(AND(Formulario!G101&lt;&gt;"",Formulario!Q101&lt;&gt;"",A89&lt;&gt;""),Formulario!Q101,"")</f>
        <v/>
      </c>
      <c r="F89" t="str" cm="1">
        <f t="array" aca="1" ref="F89" ca="1">IF(OR(A89="",B89=""),"",LEFT(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89" t="str">
        <f>IF(AND(Formulario!G101&lt;&gt;"",Formulario!G101&lt;&gt;"",A89&lt;&gt;""),Formulario!G101,"")</f>
        <v/>
      </c>
      <c r="I89" t="str">
        <f>IF(AND(Formulario!D101&lt;&gt;"",A89&lt;&gt;""),"UY10","")</f>
        <v/>
      </c>
      <c r="J89" t="str">
        <f>IF(AND(Formulario!D101&lt;&gt;"",A89&lt;&gt;""),"0001","")</f>
        <v/>
      </c>
      <c r="K89" t="str">
        <f>IF(AND(Formulario!D101&lt;&gt;"",A89&lt;&gt;""),"1","")</f>
        <v/>
      </c>
    </row>
    <row r="90" spans="1:11" x14ac:dyDescent="0.3">
      <c r="A90" t="str">
        <f>IF(AND(Formulario!D102&lt;&gt;"",ISNUMBER(Formulario!D102)),Formulario!D102,"")</f>
        <v/>
      </c>
      <c r="B90" s="146" t="str">
        <f>IF(AND(Formulario!F102&lt;&gt;"", Formulario!F102&lt;&gt;"",A90&lt;&gt;""),Formulario!F102,"")</f>
        <v/>
      </c>
      <c r="C90" s="146" t="str">
        <f>IF(AND(Formulario!D102&lt;&gt;"", Formulario!E102&lt;&gt;"",A90&lt;&gt;""),Formulario!E102,"")</f>
        <v/>
      </c>
      <c r="D90" s="55" t="str">
        <f>IF('Cond SAP'!AA102="","",'Cond SAP'!AA102)</f>
        <v/>
      </c>
      <c r="E90" t="str">
        <f>IF(AND(Formulario!G102&lt;&gt;"",Formulario!Q102&lt;&gt;"",A90&lt;&gt;""),Formulario!Q102,"")</f>
        <v/>
      </c>
      <c r="F90" t="str" cm="1">
        <f t="array" aca="1" ref="F90" ca="1">IF(OR(A90="",B90=""),"",LEFT(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0" t="str">
        <f>IF(AND(Formulario!G102&lt;&gt;"",Formulario!G102&lt;&gt;"",A90&lt;&gt;""),Formulario!G102,"")</f>
        <v/>
      </c>
      <c r="I90" t="str">
        <f>IF(AND(Formulario!D102&lt;&gt;"",A90&lt;&gt;""),"UY10","")</f>
        <v/>
      </c>
      <c r="J90" t="str">
        <f>IF(AND(Formulario!D102&lt;&gt;"",A90&lt;&gt;""),"0001","")</f>
        <v/>
      </c>
      <c r="K90" t="str">
        <f>IF(AND(Formulario!D102&lt;&gt;"",A90&lt;&gt;""),"1","")</f>
        <v/>
      </c>
    </row>
    <row r="91" spans="1:11" x14ac:dyDescent="0.3">
      <c r="A91" t="str">
        <f>IF(AND(Formulario!D103&lt;&gt;"",ISNUMBER(Formulario!D103)),Formulario!D103,"")</f>
        <v/>
      </c>
      <c r="B91" s="146" t="str">
        <f>IF(AND(Formulario!F103&lt;&gt;"", Formulario!F103&lt;&gt;"",A91&lt;&gt;""),Formulario!F103,"")</f>
        <v/>
      </c>
      <c r="C91" s="146" t="str">
        <f>IF(AND(Formulario!D103&lt;&gt;"", Formulario!E103&lt;&gt;"",A91&lt;&gt;""),Formulario!E103,"")</f>
        <v/>
      </c>
      <c r="D91" s="55" t="str">
        <f>IF('Cond SAP'!AA103="","",'Cond SAP'!AA103)</f>
        <v/>
      </c>
      <c r="E91" t="str">
        <f>IF(AND(Formulario!G103&lt;&gt;"",Formulario!Q103&lt;&gt;"",A91&lt;&gt;""),Formulario!Q103,"")</f>
        <v/>
      </c>
      <c r="F91" t="str" cm="1">
        <f t="array" aca="1" ref="F91" ca="1">IF(OR(A91="",B91=""),"",LEFT(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1" t="str">
        <f>IF(AND(Formulario!G103&lt;&gt;"",Formulario!G103&lt;&gt;"",A91&lt;&gt;""),Formulario!G103,"")</f>
        <v/>
      </c>
      <c r="I91" t="str">
        <f>IF(AND(Formulario!D103&lt;&gt;"",A91&lt;&gt;""),"UY10","")</f>
        <v/>
      </c>
      <c r="J91" t="str">
        <f>IF(AND(Formulario!D103&lt;&gt;"",A91&lt;&gt;""),"0001","")</f>
        <v/>
      </c>
      <c r="K91" t="str">
        <f>IF(AND(Formulario!D103&lt;&gt;"",A91&lt;&gt;""),"1","")</f>
        <v/>
      </c>
    </row>
    <row r="92" spans="1:11" x14ac:dyDescent="0.3">
      <c r="A92" t="str">
        <f>IF(AND(Formulario!D104&lt;&gt;"",ISNUMBER(Formulario!D104)),Formulario!D104,"")</f>
        <v/>
      </c>
      <c r="B92" s="146" t="str">
        <f>IF(AND(Formulario!F104&lt;&gt;"", Formulario!F104&lt;&gt;"",A92&lt;&gt;""),Formulario!F104,"")</f>
        <v/>
      </c>
      <c r="C92" s="146" t="str">
        <f>IF(AND(Formulario!D104&lt;&gt;"", Formulario!E104&lt;&gt;"",A92&lt;&gt;""),Formulario!E104,"")</f>
        <v/>
      </c>
      <c r="D92" s="55" t="str">
        <f>IF('Cond SAP'!AA104="","",'Cond SAP'!AA104)</f>
        <v/>
      </c>
      <c r="E92" t="str">
        <f>IF(AND(Formulario!G104&lt;&gt;"",Formulario!Q104&lt;&gt;"",A92&lt;&gt;""),Formulario!Q104,"")</f>
        <v/>
      </c>
      <c r="F92" t="str" cm="1">
        <f t="array" aca="1" ref="F92" ca="1">IF(OR(A92="",B92=""),"",LEFT(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2" t="str">
        <f>IF(AND(Formulario!G104&lt;&gt;"",Formulario!G104&lt;&gt;"",A92&lt;&gt;""),Formulario!G104,"")</f>
        <v/>
      </c>
      <c r="I92" t="str">
        <f>IF(AND(Formulario!D104&lt;&gt;"",A92&lt;&gt;""),"UY10","")</f>
        <v/>
      </c>
      <c r="J92" t="str">
        <f>IF(AND(Formulario!D104&lt;&gt;"",A92&lt;&gt;""),"0001","")</f>
        <v/>
      </c>
      <c r="K92" t="str">
        <f>IF(AND(Formulario!D104&lt;&gt;"",A92&lt;&gt;""),"1","")</f>
        <v/>
      </c>
    </row>
    <row r="93" spans="1:11" x14ac:dyDescent="0.3">
      <c r="A93" t="str">
        <f>IF(AND(Formulario!D105&lt;&gt;"",ISNUMBER(Formulario!D105)),Formulario!D105,"")</f>
        <v/>
      </c>
      <c r="B93" s="146" t="str">
        <f>IF(AND(Formulario!F105&lt;&gt;"", Formulario!F105&lt;&gt;"",A93&lt;&gt;""),Formulario!F105,"")</f>
        <v/>
      </c>
      <c r="C93" s="146" t="str">
        <f>IF(AND(Formulario!D105&lt;&gt;"", Formulario!E105&lt;&gt;"",A93&lt;&gt;""),Formulario!E105,"")</f>
        <v/>
      </c>
      <c r="D93" s="55" t="str">
        <f>IF('Cond SAP'!AA105="","",'Cond SAP'!AA105)</f>
        <v/>
      </c>
      <c r="E93" t="str">
        <f>IF(AND(Formulario!G105&lt;&gt;"",Formulario!Q105&lt;&gt;"",A93&lt;&gt;""),Formulario!Q105,"")</f>
        <v/>
      </c>
      <c r="F93" t="str" cm="1">
        <f t="array" aca="1" ref="F93" ca="1">IF(OR(A93="",B93=""),"",LEFT(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3" t="str">
        <f>IF(AND(Formulario!G105&lt;&gt;"",Formulario!G105&lt;&gt;"",A93&lt;&gt;""),Formulario!G105,"")</f>
        <v/>
      </c>
      <c r="I93" t="str">
        <f>IF(AND(Formulario!D105&lt;&gt;"",A93&lt;&gt;""),"UY10","")</f>
        <v/>
      </c>
      <c r="J93" t="str">
        <f>IF(AND(Formulario!D105&lt;&gt;"",A93&lt;&gt;""),"0001","")</f>
        <v/>
      </c>
      <c r="K93" t="str">
        <f>IF(AND(Formulario!D105&lt;&gt;"",A93&lt;&gt;""),"1","")</f>
        <v/>
      </c>
    </row>
    <row r="94" spans="1:11" x14ac:dyDescent="0.3">
      <c r="A94" t="str">
        <f>IF(AND(Formulario!D106&lt;&gt;"",ISNUMBER(Formulario!D106)),Formulario!D106,"")</f>
        <v/>
      </c>
      <c r="B94" s="146" t="str">
        <f>IF(AND(Formulario!F106&lt;&gt;"", Formulario!F106&lt;&gt;"",A94&lt;&gt;""),Formulario!F106,"")</f>
        <v/>
      </c>
      <c r="C94" s="146" t="str">
        <f>IF(AND(Formulario!D106&lt;&gt;"", Formulario!E106&lt;&gt;"",A94&lt;&gt;""),Formulario!E106,"")</f>
        <v/>
      </c>
      <c r="D94" s="55" t="str">
        <f>IF('Cond SAP'!AA106="","",'Cond SAP'!AA106)</f>
        <v/>
      </c>
      <c r="E94" t="str">
        <f>IF(AND(Formulario!G106&lt;&gt;"",Formulario!Q106&lt;&gt;"",A94&lt;&gt;""),Formulario!Q106,"")</f>
        <v/>
      </c>
      <c r="F94" t="str" cm="1">
        <f t="array" aca="1" ref="F94" ca="1">IF(OR(A94="",B94=""),"",LEFT(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4" t="str">
        <f>IF(AND(Formulario!G106&lt;&gt;"",Formulario!G106&lt;&gt;"",A94&lt;&gt;""),Formulario!G106,"")</f>
        <v/>
      </c>
      <c r="I94" t="str">
        <f>IF(AND(Formulario!D106&lt;&gt;"",A94&lt;&gt;""),"UY10","")</f>
        <v/>
      </c>
      <c r="J94" t="str">
        <f>IF(AND(Formulario!D106&lt;&gt;"",A94&lt;&gt;""),"0001","")</f>
        <v/>
      </c>
      <c r="K94" t="str">
        <f>IF(AND(Formulario!D106&lt;&gt;"",A94&lt;&gt;""),"1","")</f>
        <v/>
      </c>
    </row>
    <row r="95" spans="1:11" x14ac:dyDescent="0.3">
      <c r="A95" t="str">
        <f>IF(AND(Formulario!D107&lt;&gt;"",ISNUMBER(Formulario!D107)),Formulario!D107,"")</f>
        <v/>
      </c>
      <c r="B95" s="146" t="str">
        <f>IF(AND(Formulario!F107&lt;&gt;"", Formulario!F107&lt;&gt;"",A95&lt;&gt;""),Formulario!F107,"")</f>
        <v/>
      </c>
      <c r="C95" s="146" t="str">
        <f>IF(AND(Formulario!D107&lt;&gt;"", Formulario!E107&lt;&gt;"",A95&lt;&gt;""),Formulario!E107,"")</f>
        <v/>
      </c>
      <c r="D95" s="55" t="str">
        <f>IF('Cond SAP'!AA107="","",'Cond SAP'!AA107)</f>
        <v/>
      </c>
      <c r="E95" t="str">
        <f>IF(AND(Formulario!G107&lt;&gt;"",Formulario!Q107&lt;&gt;"",A95&lt;&gt;""),Formulario!Q107,"")</f>
        <v/>
      </c>
      <c r="F95" t="str" cm="1">
        <f t="array" aca="1" ref="F95" ca="1">IF(OR(A95="",B95=""),"",LEFT(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5" t="str">
        <f>IF(AND(Formulario!G107&lt;&gt;"",Formulario!G107&lt;&gt;"",A95&lt;&gt;""),Formulario!G107,"")</f>
        <v/>
      </c>
      <c r="I95" t="str">
        <f>IF(AND(Formulario!D107&lt;&gt;"",A95&lt;&gt;""),"UY10","")</f>
        <v/>
      </c>
      <c r="J95" t="str">
        <f>IF(AND(Formulario!D107&lt;&gt;"",A95&lt;&gt;""),"0001","")</f>
        <v/>
      </c>
      <c r="K95" t="str">
        <f>IF(AND(Formulario!D107&lt;&gt;"",A95&lt;&gt;""),"1","")</f>
        <v/>
      </c>
    </row>
    <row r="96" spans="1:11" x14ac:dyDescent="0.3">
      <c r="A96" t="str">
        <f>IF(AND(Formulario!D108&lt;&gt;"",ISNUMBER(Formulario!D108)),Formulario!D108,"")</f>
        <v/>
      </c>
      <c r="B96" s="146" t="str">
        <f>IF(AND(Formulario!F108&lt;&gt;"", Formulario!F108&lt;&gt;"",A96&lt;&gt;""),Formulario!F108,"")</f>
        <v/>
      </c>
      <c r="C96" s="146" t="str">
        <f>IF(AND(Formulario!D108&lt;&gt;"", Formulario!E108&lt;&gt;"",A96&lt;&gt;""),Formulario!E108,"")</f>
        <v/>
      </c>
      <c r="D96" s="55" t="str">
        <f>IF('Cond SAP'!AA108="","",'Cond SAP'!AA108)</f>
        <v/>
      </c>
      <c r="E96" t="str">
        <f>IF(AND(Formulario!G108&lt;&gt;"",Formulario!Q108&lt;&gt;"",A96&lt;&gt;""),Formulario!Q108,"")</f>
        <v/>
      </c>
      <c r="F96" t="str" cm="1">
        <f t="array" aca="1" ref="F96" ca="1">IF(OR(A96="",B96=""),"",LEFT(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6" t="str">
        <f>IF(AND(Formulario!G108&lt;&gt;"",Formulario!G108&lt;&gt;"",A96&lt;&gt;""),Formulario!G108,"")</f>
        <v/>
      </c>
      <c r="I96" t="str">
        <f>IF(AND(Formulario!D108&lt;&gt;"",A96&lt;&gt;""),"UY10","")</f>
        <v/>
      </c>
      <c r="J96" t="str">
        <f>IF(AND(Formulario!D108&lt;&gt;"",A96&lt;&gt;""),"0001","")</f>
        <v/>
      </c>
      <c r="K96" t="str">
        <f>IF(AND(Formulario!D108&lt;&gt;"",A96&lt;&gt;""),"1","")</f>
        <v/>
      </c>
    </row>
    <row r="97" spans="1:11" x14ac:dyDescent="0.3">
      <c r="A97" t="str">
        <f>IF(AND(Formulario!D109&lt;&gt;"",ISNUMBER(Formulario!D109)),Formulario!D109,"")</f>
        <v/>
      </c>
      <c r="B97" s="146" t="str">
        <f>IF(AND(Formulario!F109&lt;&gt;"", Formulario!F109&lt;&gt;"",A97&lt;&gt;""),Formulario!F109,"")</f>
        <v/>
      </c>
      <c r="C97" s="146" t="str">
        <f>IF(AND(Formulario!D109&lt;&gt;"", Formulario!E109&lt;&gt;"",A97&lt;&gt;""),Formulario!E109,"")</f>
        <v/>
      </c>
      <c r="D97" s="55" t="str">
        <f>IF('Cond SAP'!AA109="","",'Cond SAP'!AA109)</f>
        <v/>
      </c>
      <c r="E97" t="str">
        <f>IF(AND(Formulario!G109&lt;&gt;"",Formulario!Q109&lt;&gt;"",A97&lt;&gt;""),Formulario!Q109,"")</f>
        <v/>
      </c>
      <c r="F97" t="str" cm="1">
        <f t="array" aca="1" ref="F97" ca="1">IF(OR(A97="",B97=""),"",LEFT(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7" t="str">
        <f>IF(AND(Formulario!G109&lt;&gt;"",Formulario!G109&lt;&gt;"",A97&lt;&gt;""),Formulario!G109,"")</f>
        <v/>
      </c>
      <c r="I97" t="str">
        <f>IF(AND(Formulario!D109&lt;&gt;"",A97&lt;&gt;""),"UY10","")</f>
        <v/>
      </c>
      <c r="J97" t="str">
        <f>IF(AND(Formulario!D109&lt;&gt;"",A97&lt;&gt;""),"0001","")</f>
        <v/>
      </c>
      <c r="K97" t="str">
        <f>IF(AND(Formulario!D109&lt;&gt;"",A97&lt;&gt;""),"1","")</f>
        <v/>
      </c>
    </row>
    <row r="98" spans="1:11" x14ac:dyDescent="0.3">
      <c r="A98" t="str">
        <f>IF(AND(Formulario!D110&lt;&gt;"",ISNUMBER(Formulario!D110)),Formulario!D110,"")</f>
        <v/>
      </c>
      <c r="B98" s="146" t="str">
        <f>IF(AND(Formulario!F110&lt;&gt;"", Formulario!F110&lt;&gt;"",A98&lt;&gt;""),Formulario!F110,"")</f>
        <v/>
      </c>
      <c r="C98" s="146" t="str">
        <f>IF(AND(Formulario!D110&lt;&gt;"", Formulario!E110&lt;&gt;"",A98&lt;&gt;""),Formulario!E110,"")</f>
        <v/>
      </c>
      <c r="D98" s="55" t="str">
        <f>IF('Cond SAP'!AA110="","",'Cond SAP'!AA110)</f>
        <v/>
      </c>
      <c r="E98" t="str">
        <f>IF(AND(Formulario!G110&lt;&gt;"",Formulario!Q110&lt;&gt;"",A98&lt;&gt;""),Formulario!Q110,"")</f>
        <v/>
      </c>
      <c r="F98" t="str" cm="1">
        <f t="array" aca="1" ref="F98" ca="1">IF(OR(A98="",B98=""),"",LEFT(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8" t="str">
        <f>IF(AND(Formulario!G110&lt;&gt;"",Formulario!G110&lt;&gt;"",A98&lt;&gt;""),Formulario!G110,"")</f>
        <v/>
      </c>
      <c r="I98" t="str">
        <f>IF(AND(Formulario!D110&lt;&gt;"",A98&lt;&gt;""),"UY10","")</f>
        <v/>
      </c>
      <c r="J98" t="str">
        <f>IF(AND(Formulario!D110&lt;&gt;"",A98&lt;&gt;""),"0001","")</f>
        <v/>
      </c>
      <c r="K98" t="str">
        <f>IF(AND(Formulario!D110&lt;&gt;"",A98&lt;&gt;""),"1","")</f>
        <v/>
      </c>
    </row>
    <row r="99" spans="1:11" x14ac:dyDescent="0.3">
      <c r="A99" t="str">
        <f>IF(AND(Formulario!D111&lt;&gt;"",ISNUMBER(Formulario!D111)),Formulario!D111,"")</f>
        <v/>
      </c>
      <c r="B99" s="146" t="str">
        <f>IF(AND(Formulario!F111&lt;&gt;"", Formulario!F111&lt;&gt;"",A99&lt;&gt;""),Formulario!F111,"")</f>
        <v/>
      </c>
      <c r="C99" s="146" t="str">
        <f>IF(AND(Formulario!D111&lt;&gt;"", Formulario!E111&lt;&gt;"",A99&lt;&gt;""),Formulario!E111,"")</f>
        <v/>
      </c>
      <c r="D99" s="55" t="str">
        <f>IF('Cond SAP'!AA111="","",'Cond SAP'!AA111)</f>
        <v/>
      </c>
      <c r="E99" t="str">
        <f>IF(AND(Formulario!G111&lt;&gt;"",Formulario!Q111&lt;&gt;"",A99&lt;&gt;""),Formulario!Q111,"")</f>
        <v/>
      </c>
      <c r="F99" t="str" cm="1">
        <f t="array" aca="1" ref="F99" ca="1">IF(OR(A99="",B99=""),"",LEFT(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99" t="str">
        <f>IF(AND(Formulario!G111&lt;&gt;"",Formulario!G111&lt;&gt;"",A99&lt;&gt;""),Formulario!G111,"")</f>
        <v/>
      </c>
      <c r="I99" t="str">
        <f>IF(AND(Formulario!D111&lt;&gt;"",A99&lt;&gt;""),"UY10","")</f>
        <v/>
      </c>
      <c r="J99" t="str">
        <f>IF(AND(Formulario!D111&lt;&gt;"",A99&lt;&gt;""),"0001","")</f>
        <v/>
      </c>
      <c r="K99" t="str">
        <f>IF(AND(Formulario!D111&lt;&gt;"",A99&lt;&gt;""),"1","")</f>
        <v/>
      </c>
    </row>
    <row r="100" spans="1:11" x14ac:dyDescent="0.3">
      <c r="A100" t="str">
        <f>IF(AND(Formulario!D112&lt;&gt;"",ISNUMBER(Formulario!D112)),Formulario!D112,"")</f>
        <v/>
      </c>
      <c r="B100" s="146" t="str">
        <f>IF(AND(Formulario!F112&lt;&gt;"", Formulario!F112&lt;&gt;"",A100&lt;&gt;""),Formulario!F112,"")</f>
        <v/>
      </c>
      <c r="C100" s="146" t="str">
        <f>IF(AND(Formulario!D112&lt;&gt;"", Formulario!E112&lt;&gt;"",A100&lt;&gt;""),Formulario!E112,"")</f>
        <v/>
      </c>
      <c r="D100" s="55" t="str">
        <f>IF('Cond SAP'!AA112="","",'Cond SAP'!AA112)</f>
        <v/>
      </c>
      <c r="E100" t="str">
        <f>IF(AND(Formulario!G112&lt;&gt;"",Formulario!Q112&lt;&gt;"",A100&lt;&gt;""),Formulario!Q112,"")</f>
        <v/>
      </c>
      <c r="F100" t="str" cm="1">
        <f t="array" aca="1" ref="F100" ca="1">IF(OR(A100="",B100=""),"",LEFT(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0" t="str">
        <f>IF(AND(Formulario!G112&lt;&gt;"",Formulario!G112&lt;&gt;"",A100&lt;&gt;""),Formulario!G112,"")</f>
        <v/>
      </c>
      <c r="I100" t="str">
        <f>IF(AND(Formulario!D112&lt;&gt;"",A100&lt;&gt;""),"UY10","")</f>
        <v/>
      </c>
      <c r="J100" t="str">
        <f>IF(AND(Formulario!D112&lt;&gt;"",A100&lt;&gt;""),"0001","")</f>
        <v/>
      </c>
      <c r="K100" t="str">
        <f>IF(AND(Formulario!D112&lt;&gt;"",A100&lt;&gt;""),"1","")</f>
        <v/>
      </c>
    </row>
    <row r="101" spans="1:11" x14ac:dyDescent="0.3">
      <c r="A101" t="str">
        <f>IF(AND(Formulario!D113&lt;&gt;"",ISNUMBER(Formulario!D113)),Formulario!D113,"")</f>
        <v/>
      </c>
      <c r="B101" s="146" t="str">
        <f>IF(AND(Formulario!F113&lt;&gt;"", Formulario!F113&lt;&gt;"",A101&lt;&gt;""),Formulario!F113,"")</f>
        <v/>
      </c>
      <c r="C101" s="146" t="str">
        <f>IF(AND(Formulario!D113&lt;&gt;"", Formulario!E113&lt;&gt;"",A101&lt;&gt;""),Formulario!E113,"")</f>
        <v/>
      </c>
      <c r="D101" s="55" t="str">
        <f>IF('Cond SAP'!AA113="","",'Cond SAP'!AA113)</f>
        <v/>
      </c>
      <c r="E101" t="str">
        <f>IF(AND(Formulario!G113&lt;&gt;"",Formulario!Q113&lt;&gt;"",A101&lt;&gt;""),Formulario!Q113,"")</f>
        <v/>
      </c>
      <c r="F101" t="str" cm="1">
        <f t="array" aca="1" ref="F101" ca="1">IF(OR(A101="",B101=""),"",LEFT(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1" t="str">
        <f>IF(AND(Formulario!G113&lt;&gt;"",Formulario!G113&lt;&gt;"",A101&lt;&gt;""),Formulario!G113,"")</f>
        <v/>
      </c>
      <c r="I101" t="str">
        <f>IF(AND(Formulario!D113&lt;&gt;"",A101&lt;&gt;""),"UY10","")</f>
        <v/>
      </c>
      <c r="J101" t="str">
        <f>IF(AND(Formulario!D113&lt;&gt;"",A101&lt;&gt;""),"0001","")</f>
        <v/>
      </c>
      <c r="K101" t="str">
        <f>IF(AND(Formulario!D113&lt;&gt;"",A101&lt;&gt;""),"1","")</f>
        <v/>
      </c>
    </row>
    <row r="102" spans="1:11" x14ac:dyDescent="0.3">
      <c r="A102" t="str">
        <f>IF(AND(Formulario!D114&lt;&gt;"",ISNUMBER(Formulario!D114)),Formulario!D114,"")</f>
        <v/>
      </c>
      <c r="B102" s="146" t="str">
        <f>IF(AND(Formulario!F114&lt;&gt;"", Formulario!F114&lt;&gt;"",A102&lt;&gt;""),Formulario!F114,"")</f>
        <v/>
      </c>
      <c r="C102" s="146" t="str">
        <f>IF(AND(Formulario!D114&lt;&gt;"", Formulario!E114&lt;&gt;"",A102&lt;&gt;""),Formulario!E114,"")</f>
        <v/>
      </c>
      <c r="D102" s="55" t="str">
        <f>IF('Cond SAP'!AA114="","",'Cond SAP'!AA114)</f>
        <v/>
      </c>
      <c r="E102" t="str">
        <f>IF(AND(Formulario!G114&lt;&gt;"",Formulario!Q114&lt;&gt;"",A102&lt;&gt;""),Formulario!Q114,"")</f>
        <v/>
      </c>
      <c r="F102" t="str" cm="1">
        <f t="array" aca="1" ref="F102" ca="1">IF(OR(A102="",B102=""),"",LEFT(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2" t="str">
        <f>IF(AND(Formulario!G114&lt;&gt;"",Formulario!G114&lt;&gt;"",A102&lt;&gt;""),Formulario!G114,"")</f>
        <v/>
      </c>
      <c r="I102" t="str">
        <f>IF(AND(Formulario!D114&lt;&gt;"",A102&lt;&gt;""),"UY10","")</f>
        <v/>
      </c>
      <c r="J102" t="str">
        <f>IF(AND(Formulario!D114&lt;&gt;"",A102&lt;&gt;""),"0001","")</f>
        <v/>
      </c>
      <c r="K102" t="str">
        <f>IF(AND(Formulario!D114&lt;&gt;"",A102&lt;&gt;""),"1","")</f>
        <v/>
      </c>
    </row>
    <row r="103" spans="1:11" x14ac:dyDescent="0.3">
      <c r="A103" t="str">
        <f>IF(AND(Formulario!D115&lt;&gt;"",ISNUMBER(Formulario!D115)),Formulario!D115,"")</f>
        <v/>
      </c>
      <c r="B103" s="146" t="str">
        <f>IF(AND(Formulario!F115&lt;&gt;"", Formulario!F115&lt;&gt;"",A103&lt;&gt;""),Formulario!F115,"")</f>
        <v/>
      </c>
      <c r="C103" s="146" t="str">
        <f>IF(AND(Formulario!D115&lt;&gt;"", Formulario!E115&lt;&gt;"",A103&lt;&gt;""),Formulario!E115,"")</f>
        <v/>
      </c>
      <c r="D103" s="55" t="str">
        <f>IF('Cond SAP'!AA115="","",'Cond SAP'!AA115)</f>
        <v/>
      </c>
      <c r="E103" t="str">
        <f>IF(AND(Formulario!G115&lt;&gt;"",Formulario!Q115&lt;&gt;"",A103&lt;&gt;""),Formulario!Q115,"")</f>
        <v/>
      </c>
      <c r="F103" t="str" cm="1">
        <f t="array" aca="1" ref="F103" ca="1">IF(OR(A103="",B103=""),"",LEFT(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3" t="str">
        <f>IF(AND(Formulario!G115&lt;&gt;"",Formulario!G115&lt;&gt;"",A103&lt;&gt;""),Formulario!G115,"")</f>
        <v/>
      </c>
      <c r="I103" t="str">
        <f>IF(AND(Formulario!D115&lt;&gt;"",A103&lt;&gt;""),"UY10","")</f>
        <v/>
      </c>
      <c r="J103" t="str">
        <f>IF(AND(Formulario!D115&lt;&gt;"",A103&lt;&gt;""),"0001","")</f>
        <v/>
      </c>
      <c r="K103" t="str">
        <f>IF(AND(Formulario!D115&lt;&gt;"",A103&lt;&gt;""),"1","")</f>
        <v/>
      </c>
    </row>
    <row r="104" spans="1:11" x14ac:dyDescent="0.3">
      <c r="A104" t="str">
        <f>IF(AND(Formulario!D116&lt;&gt;"",ISNUMBER(Formulario!D116)),Formulario!D116,"")</f>
        <v/>
      </c>
      <c r="B104" s="146" t="str">
        <f>IF(AND(Formulario!F116&lt;&gt;"", Formulario!F116&lt;&gt;"",A104&lt;&gt;""),Formulario!F116,"")</f>
        <v/>
      </c>
      <c r="C104" s="146" t="str">
        <f>IF(AND(Formulario!D116&lt;&gt;"", Formulario!E116&lt;&gt;"",A104&lt;&gt;""),Formulario!E116,"")</f>
        <v/>
      </c>
      <c r="D104" s="55" t="str">
        <f>IF('Cond SAP'!AA116="","",'Cond SAP'!AA116)</f>
        <v/>
      </c>
      <c r="E104" t="str">
        <f>IF(AND(Formulario!G116&lt;&gt;"",Formulario!Q116&lt;&gt;"",A104&lt;&gt;""),Formulario!Q116,"")</f>
        <v/>
      </c>
      <c r="F104" t="str" cm="1">
        <f t="array" aca="1" ref="F104" ca="1">IF(OR(A104="",B104=""),"",LEFT(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4" t="str">
        <f>IF(AND(Formulario!G116&lt;&gt;"",Formulario!G116&lt;&gt;"",A104&lt;&gt;""),Formulario!G116,"")</f>
        <v/>
      </c>
      <c r="I104" t="str">
        <f>IF(AND(Formulario!D116&lt;&gt;"",A104&lt;&gt;""),"UY10","")</f>
        <v/>
      </c>
      <c r="J104" t="str">
        <f>IF(AND(Formulario!D116&lt;&gt;"",A104&lt;&gt;""),"0001","")</f>
        <v/>
      </c>
      <c r="K104" t="str">
        <f>IF(AND(Formulario!D116&lt;&gt;"",A104&lt;&gt;""),"1","")</f>
        <v/>
      </c>
    </row>
    <row r="105" spans="1:11" x14ac:dyDescent="0.3">
      <c r="A105" t="str">
        <f>IF(AND(Formulario!D117&lt;&gt;"",ISNUMBER(Formulario!D117)),Formulario!D117,"")</f>
        <v/>
      </c>
      <c r="B105" s="146" t="str">
        <f>IF(AND(Formulario!F117&lt;&gt;"", Formulario!F117&lt;&gt;"",A105&lt;&gt;""),Formulario!F117,"")</f>
        <v/>
      </c>
      <c r="C105" s="146" t="str">
        <f>IF(AND(Formulario!D117&lt;&gt;"", Formulario!E117&lt;&gt;"",A105&lt;&gt;""),Formulario!E117,"")</f>
        <v/>
      </c>
      <c r="D105" s="55" t="str">
        <f>IF('Cond SAP'!AA117="","",'Cond SAP'!AA117)</f>
        <v/>
      </c>
      <c r="E105" t="str">
        <f>IF(AND(Formulario!G117&lt;&gt;"",Formulario!Q117&lt;&gt;"",A105&lt;&gt;""),Formulario!Q117,"")</f>
        <v/>
      </c>
      <c r="F105" t="str" cm="1">
        <f t="array" aca="1" ref="F105" ca="1">IF(OR(A105="",B105=""),"",LEFT(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5" t="str">
        <f>IF(AND(Formulario!G117&lt;&gt;"",Formulario!G117&lt;&gt;"",A105&lt;&gt;""),Formulario!G117,"")</f>
        <v/>
      </c>
      <c r="I105" t="str">
        <f>IF(AND(Formulario!D117&lt;&gt;"",A105&lt;&gt;""),"UY10","")</f>
        <v/>
      </c>
      <c r="J105" t="str">
        <f>IF(AND(Formulario!D117&lt;&gt;"",A105&lt;&gt;""),"0001","")</f>
        <v/>
      </c>
      <c r="K105" t="str">
        <f>IF(AND(Formulario!D117&lt;&gt;"",A105&lt;&gt;""),"1","")</f>
        <v/>
      </c>
    </row>
    <row r="106" spans="1:11" x14ac:dyDescent="0.3">
      <c r="A106" t="str">
        <f>IF(AND(Formulario!D118&lt;&gt;"",ISNUMBER(Formulario!D118)),Formulario!D118,"")</f>
        <v/>
      </c>
      <c r="B106" s="146" t="str">
        <f>IF(AND(Formulario!F118&lt;&gt;"", Formulario!F118&lt;&gt;"",A106&lt;&gt;""),Formulario!F118,"")</f>
        <v/>
      </c>
      <c r="C106" s="146" t="str">
        <f>IF(AND(Formulario!D118&lt;&gt;"", Formulario!E118&lt;&gt;"",A106&lt;&gt;""),Formulario!E118,"")</f>
        <v/>
      </c>
      <c r="D106" s="55" t="str">
        <f>IF('Cond SAP'!AA118="","",'Cond SAP'!AA118)</f>
        <v/>
      </c>
      <c r="E106" t="str">
        <f>IF(AND(Formulario!G118&lt;&gt;"",Formulario!Q118&lt;&gt;"",A106&lt;&gt;""),Formulario!Q118,"")</f>
        <v/>
      </c>
      <c r="F106" t="str" cm="1">
        <f t="array" aca="1" ref="F106" ca="1">IF(OR(A106="",B106=""),"",LEFT(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6" t="str">
        <f>IF(AND(Formulario!G118&lt;&gt;"",Formulario!G118&lt;&gt;"",A106&lt;&gt;""),Formulario!G118,"")</f>
        <v/>
      </c>
      <c r="I106" t="str">
        <f>IF(AND(Formulario!D118&lt;&gt;"",A106&lt;&gt;""),"UY10","")</f>
        <v/>
      </c>
      <c r="J106" t="str">
        <f>IF(AND(Formulario!D118&lt;&gt;"",A106&lt;&gt;""),"0001","")</f>
        <v/>
      </c>
      <c r="K106" t="str">
        <f>IF(AND(Formulario!D118&lt;&gt;"",A106&lt;&gt;""),"1","")</f>
        <v/>
      </c>
    </row>
    <row r="107" spans="1:11" x14ac:dyDescent="0.3">
      <c r="A107" t="str">
        <f>IF(AND(Formulario!D119&lt;&gt;"",ISNUMBER(Formulario!D119)),Formulario!D119,"")</f>
        <v/>
      </c>
      <c r="B107" s="146" t="str">
        <f>IF(AND(Formulario!F119&lt;&gt;"", Formulario!F119&lt;&gt;"",A107&lt;&gt;""),Formulario!F119,"")</f>
        <v/>
      </c>
      <c r="C107" s="146" t="str">
        <f>IF(AND(Formulario!D119&lt;&gt;"", Formulario!E119&lt;&gt;"",A107&lt;&gt;""),Formulario!E119,"")</f>
        <v/>
      </c>
      <c r="D107" s="55" t="str">
        <f>IF('Cond SAP'!AA119="","",'Cond SAP'!AA119)</f>
        <v/>
      </c>
      <c r="E107" t="str">
        <f>IF(AND(Formulario!G119&lt;&gt;"",Formulario!Q119&lt;&gt;"",A107&lt;&gt;""),Formulario!Q119,"")</f>
        <v/>
      </c>
      <c r="F107" t="str" cm="1">
        <f t="array" aca="1" ref="F107" ca="1">IF(OR(A107="",B107=""),"",LEFT(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7" t="str">
        <f>IF(AND(Formulario!G119&lt;&gt;"",Formulario!G119&lt;&gt;"",A107&lt;&gt;""),Formulario!G119,"")</f>
        <v/>
      </c>
      <c r="I107" t="str">
        <f>IF(AND(Formulario!D119&lt;&gt;"",A107&lt;&gt;""),"UY10","")</f>
        <v/>
      </c>
      <c r="J107" t="str">
        <f>IF(AND(Formulario!D119&lt;&gt;"",A107&lt;&gt;""),"0001","")</f>
        <v/>
      </c>
      <c r="K107" t="str">
        <f>IF(AND(Formulario!D119&lt;&gt;"",A107&lt;&gt;""),"1","")</f>
        <v/>
      </c>
    </row>
    <row r="108" spans="1:11" x14ac:dyDescent="0.3">
      <c r="A108" t="str">
        <f>IF(AND(Formulario!D120&lt;&gt;"",ISNUMBER(Formulario!D120)),Formulario!D120,"")</f>
        <v/>
      </c>
      <c r="B108" s="146" t="str">
        <f>IF(AND(Formulario!F120&lt;&gt;"", Formulario!F120&lt;&gt;"",A108&lt;&gt;""),Formulario!F120,"")</f>
        <v/>
      </c>
      <c r="C108" s="146" t="str">
        <f>IF(AND(Formulario!D120&lt;&gt;"", Formulario!E120&lt;&gt;"",A108&lt;&gt;""),Formulario!E120,"")</f>
        <v/>
      </c>
      <c r="D108" s="55" t="str">
        <f>IF('Cond SAP'!AA120="","",'Cond SAP'!AA120)</f>
        <v/>
      </c>
      <c r="E108" t="str">
        <f>IF(AND(Formulario!G120&lt;&gt;"",Formulario!Q120&lt;&gt;"",A108&lt;&gt;""),Formulario!Q120,"")</f>
        <v/>
      </c>
      <c r="F108" t="str" cm="1">
        <f t="array" aca="1" ref="F108" ca="1">IF(OR(A108="",B108=""),"",LEFT(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8" t="str">
        <f>IF(AND(Formulario!G120&lt;&gt;"",Formulario!G120&lt;&gt;"",A108&lt;&gt;""),Formulario!G120,"")</f>
        <v/>
      </c>
      <c r="I108" t="str">
        <f>IF(AND(Formulario!D120&lt;&gt;"",A108&lt;&gt;""),"UY10","")</f>
        <v/>
      </c>
      <c r="J108" t="str">
        <f>IF(AND(Formulario!D120&lt;&gt;"",A108&lt;&gt;""),"0001","")</f>
        <v/>
      </c>
      <c r="K108" t="str">
        <f>IF(AND(Formulario!D120&lt;&gt;"",A108&lt;&gt;""),"1","")</f>
        <v/>
      </c>
    </row>
    <row r="109" spans="1:11" x14ac:dyDescent="0.3">
      <c r="A109" t="str">
        <f>IF(AND(Formulario!D121&lt;&gt;"",ISNUMBER(Formulario!D121)),Formulario!D121,"")</f>
        <v/>
      </c>
      <c r="B109" s="146" t="str">
        <f>IF(AND(Formulario!F121&lt;&gt;"", Formulario!F121&lt;&gt;"",A109&lt;&gt;""),Formulario!F121,"")</f>
        <v/>
      </c>
      <c r="C109" s="146" t="str">
        <f>IF(AND(Formulario!D121&lt;&gt;"", Formulario!E121&lt;&gt;"",A109&lt;&gt;""),Formulario!E121,"")</f>
        <v/>
      </c>
      <c r="D109" s="55" t="str">
        <f>IF('Cond SAP'!AA121="","",'Cond SAP'!AA121)</f>
        <v/>
      </c>
      <c r="E109" t="str">
        <f>IF(AND(Formulario!G121&lt;&gt;"",Formulario!Q121&lt;&gt;"",A109&lt;&gt;""),Formulario!Q121,"")</f>
        <v/>
      </c>
      <c r="F109" t="str" cm="1">
        <f t="array" aca="1" ref="F109" ca="1">IF(OR(A109="",B109=""),"",LEFT(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09" t="str">
        <f>IF(AND(Formulario!G121&lt;&gt;"",Formulario!G121&lt;&gt;"",A109&lt;&gt;""),Formulario!G121,"")</f>
        <v/>
      </c>
      <c r="I109" t="str">
        <f>IF(AND(Formulario!D121&lt;&gt;"",A109&lt;&gt;""),"UY10","")</f>
        <v/>
      </c>
      <c r="J109" t="str">
        <f>IF(AND(Formulario!D121&lt;&gt;"",A109&lt;&gt;""),"0001","")</f>
        <v/>
      </c>
      <c r="K109" t="str">
        <f>IF(AND(Formulario!D121&lt;&gt;"",A109&lt;&gt;""),"1","")</f>
        <v/>
      </c>
    </row>
    <row r="110" spans="1:11" x14ac:dyDescent="0.3">
      <c r="A110" t="str">
        <f>IF(AND(Formulario!D122&lt;&gt;"",ISNUMBER(Formulario!D122)),Formulario!D122,"")</f>
        <v/>
      </c>
      <c r="B110" s="146" t="str">
        <f>IF(AND(Formulario!F122&lt;&gt;"", Formulario!F122&lt;&gt;"",A110&lt;&gt;""),Formulario!F122,"")</f>
        <v/>
      </c>
      <c r="C110" s="146" t="str">
        <f>IF(AND(Formulario!D122&lt;&gt;"", Formulario!E122&lt;&gt;"",A110&lt;&gt;""),Formulario!E122,"")</f>
        <v/>
      </c>
      <c r="D110" s="55" t="str">
        <f>IF('Cond SAP'!AA122="","",'Cond SAP'!AA122)</f>
        <v/>
      </c>
      <c r="E110" t="str">
        <f>IF(AND(Formulario!G122&lt;&gt;"",Formulario!Q122&lt;&gt;"",A110&lt;&gt;""),Formulario!Q122,"")</f>
        <v/>
      </c>
      <c r="F110" t="str" cm="1">
        <f t="array" aca="1" ref="F110" ca="1">IF(OR(A110="",B110=""),"",LEFT(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0" t="str">
        <f>IF(AND(Formulario!G122&lt;&gt;"",Formulario!G122&lt;&gt;"",A110&lt;&gt;""),Formulario!G122,"")</f>
        <v/>
      </c>
      <c r="I110" t="str">
        <f>IF(AND(Formulario!D122&lt;&gt;"",A110&lt;&gt;""),"UY10","")</f>
        <v/>
      </c>
      <c r="J110" t="str">
        <f>IF(AND(Formulario!D122&lt;&gt;"",A110&lt;&gt;""),"0001","")</f>
        <v/>
      </c>
      <c r="K110" t="str">
        <f>IF(AND(Formulario!D122&lt;&gt;"",A110&lt;&gt;""),"1","")</f>
        <v/>
      </c>
    </row>
    <row r="111" spans="1:11" x14ac:dyDescent="0.3">
      <c r="A111" t="str">
        <f>IF(AND(Formulario!D123&lt;&gt;"",ISNUMBER(Formulario!D123)),Formulario!D123,"")</f>
        <v/>
      </c>
      <c r="B111" s="146" t="str">
        <f>IF(AND(Formulario!F123&lt;&gt;"", Formulario!F123&lt;&gt;"",A111&lt;&gt;""),Formulario!F123,"")</f>
        <v/>
      </c>
      <c r="C111" s="146" t="str">
        <f>IF(AND(Formulario!D123&lt;&gt;"", Formulario!E123&lt;&gt;"",A111&lt;&gt;""),Formulario!E123,"")</f>
        <v/>
      </c>
      <c r="D111" s="55" t="str">
        <f>IF('Cond SAP'!AA123="","",'Cond SAP'!AA123)</f>
        <v/>
      </c>
      <c r="E111" t="str">
        <f>IF(AND(Formulario!G123&lt;&gt;"",Formulario!Q123&lt;&gt;"",A111&lt;&gt;""),Formulario!Q123,"")</f>
        <v/>
      </c>
      <c r="F111" t="str" cm="1">
        <f t="array" aca="1" ref="F111" ca="1">IF(OR(A111="",B111=""),"",LEFT(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1" t="str">
        <f>IF(AND(Formulario!G123&lt;&gt;"",Formulario!G123&lt;&gt;"",A111&lt;&gt;""),Formulario!G123,"")</f>
        <v/>
      </c>
      <c r="I111" t="str">
        <f>IF(AND(Formulario!D123&lt;&gt;"",A111&lt;&gt;""),"UY10","")</f>
        <v/>
      </c>
      <c r="J111" t="str">
        <f>IF(AND(Formulario!D123&lt;&gt;"",A111&lt;&gt;""),"0001","")</f>
        <v/>
      </c>
      <c r="K111" t="str">
        <f>IF(AND(Formulario!D123&lt;&gt;"",A111&lt;&gt;""),"1","")</f>
        <v/>
      </c>
    </row>
    <row r="112" spans="1:11" x14ac:dyDescent="0.3">
      <c r="A112" t="str">
        <f>IF(AND(Formulario!D124&lt;&gt;"",ISNUMBER(Formulario!D124)),Formulario!D124,"")</f>
        <v/>
      </c>
      <c r="B112" s="146" t="str">
        <f>IF(AND(Formulario!F124&lt;&gt;"", Formulario!F124&lt;&gt;"",A112&lt;&gt;""),Formulario!F124,"")</f>
        <v/>
      </c>
      <c r="C112" s="146" t="str">
        <f>IF(AND(Formulario!D124&lt;&gt;"", Formulario!E124&lt;&gt;"",A112&lt;&gt;""),Formulario!E124,"")</f>
        <v/>
      </c>
      <c r="D112" s="55" t="str">
        <f>IF('Cond SAP'!AA124="","",'Cond SAP'!AA124)</f>
        <v/>
      </c>
      <c r="E112" t="str">
        <f>IF(AND(Formulario!G124&lt;&gt;"",Formulario!Q124&lt;&gt;"",A112&lt;&gt;""),Formulario!Q124,"")</f>
        <v/>
      </c>
      <c r="F112" t="str" cm="1">
        <f t="array" aca="1" ref="F112" ca="1">IF(OR(A112="",B112=""),"",LEFT(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2" t="str">
        <f>IF(AND(Formulario!G124&lt;&gt;"",Formulario!G124&lt;&gt;"",A112&lt;&gt;""),Formulario!G124,"")</f>
        <v/>
      </c>
      <c r="I112" t="str">
        <f>IF(AND(Formulario!D124&lt;&gt;"",A112&lt;&gt;""),"UY10","")</f>
        <v/>
      </c>
      <c r="J112" t="str">
        <f>IF(AND(Formulario!D124&lt;&gt;"",A112&lt;&gt;""),"0001","")</f>
        <v/>
      </c>
      <c r="K112" t="str">
        <f>IF(AND(Formulario!D124&lt;&gt;"",A112&lt;&gt;""),"1","")</f>
        <v/>
      </c>
    </row>
    <row r="113" spans="1:11" x14ac:dyDescent="0.3">
      <c r="A113" t="str">
        <f>IF(AND(Formulario!D125&lt;&gt;"",ISNUMBER(Formulario!D125)),Formulario!D125,"")</f>
        <v/>
      </c>
      <c r="B113" s="146" t="str">
        <f>IF(AND(Formulario!F125&lt;&gt;"", Formulario!F125&lt;&gt;"",A113&lt;&gt;""),Formulario!F125,"")</f>
        <v/>
      </c>
      <c r="C113" s="146" t="str">
        <f>IF(AND(Formulario!D125&lt;&gt;"", Formulario!E125&lt;&gt;"",A113&lt;&gt;""),Formulario!E125,"")</f>
        <v/>
      </c>
      <c r="D113" s="55" t="str">
        <f>IF('Cond SAP'!AA125="","",'Cond SAP'!AA125)</f>
        <v/>
      </c>
      <c r="E113" t="str">
        <f>IF(AND(Formulario!G125&lt;&gt;"",Formulario!Q125&lt;&gt;"",A113&lt;&gt;""),Formulario!Q125,"")</f>
        <v/>
      </c>
      <c r="F113" t="str" cm="1">
        <f t="array" aca="1" ref="F113" ca="1">IF(OR(A113="",B113=""),"",LEFT(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3" t="str">
        <f>IF(AND(Formulario!G125&lt;&gt;"",Formulario!G125&lt;&gt;"",A113&lt;&gt;""),Formulario!G125,"")</f>
        <v/>
      </c>
      <c r="I113" t="str">
        <f>IF(AND(Formulario!D125&lt;&gt;"",A113&lt;&gt;""),"UY10","")</f>
        <v/>
      </c>
      <c r="J113" t="str">
        <f>IF(AND(Formulario!D125&lt;&gt;"",A113&lt;&gt;""),"0001","")</f>
        <v/>
      </c>
      <c r="K113" t="str">
        <f>IF(AND(Formulario!D125&lt;&gt;"",A113&lt;&gt;""),"1","")</f>
        <v/>
      </c>
    </row>
    <row r="114" spans="1:11" x14ac:dyDescent="0.3">
      <c r="A114" t="str">
        <f>IF(AND(Formulario!D126&lt;&gt;"",ISNUMBER(Formulario!D126)),Formulario!D126,"")</f>
        <v/>
      </c>
      <c r="B114" s="146" t="str">
        <f>IF(AND(Formulario!F126&lt;&gt;"", Formulario!F126&lt;&gt;"",A114&lt;&gt;""),Formulario!F126,"")</f>
        <v/>
      </c>
      <c r="C114" s="146" t="str">
        <f>IF(AND(Formulario!D126&lt;&gt;"", Formulario!E126&lt;&gt;"",A114&lt;&gt;""),Formulario!E126,"")</f>
        <v/>
      </c>
      <c r="D114" s="55" t="str">
        <f>IF('Cond SAP'!AA126="","",'Cond SAP'!AA126)</f>
        <v/>
      </c>
      <c r="E114" t="str">
        <f>IF(AND(Formulario!G126&lt;&gt;"",Formulario!Q126&lt;&gt;"",A114&lt;&gt;""),Formulario!Q126,"")</f>
        <v/>
      </c>
      <c r="F114" t="str" cm="1">
        <f t="array" aca="1" ref="F114" ca="1">IF(OR(A114="",B114=""),"",LEFT(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4" t="str">
        <f>IF(AND(Formulario!G126&lt;&gt;"",Formulario!G126&lt;&gt;"",A114&lt;&gt;""),Formulario!G126,"")</f>
        <v/>
      </c>
      <c r="I114" t="str">
        <f>IF(AND(Formulario!D126&lt;&gt;"",A114&lt;&gt;""),"UY10","")</f>
        <v/>
      </c>
      <c r="J114" t="str">
        <f>IF(AND(Formulario!D126&lt;&gt;"",A114&lt;&gt;""),"0001","")</f>
        <v/>
      </c>
      <c r="K114" t="str">
        <f>IF(AND(Formulario!D126&lt;&gt;"",A114&lt;&gt;""),"1","")</f>
        <v/>
      </c>
    </row>
    <row r="115" spans="1:11" x14ac:dyDescent="0.3">
      <c r="A115" t="str">
        <f>IF(AND(Formulario!D127&lt;&gt;"",ISNUMBER(Formulario!D127)),Formulario!D127,"")</f>
        <v/>
      </c>
      <c r="B115" s="146" t="str">
        <f>IF(AND(Formulario!F127&lt;&gt;"", Formulario!F127&lt;&gt;"",A115&lt;&gt;""),Formulario!F127,"")</f>
        <v/>
      </c>
      <c r="C115" s="146" t="str">
        <f>IF(AND(Formulario!D127&lt;&gt;"", Formulario!E127&lt;&gt;"",A115&lt;&gt;""),Formulario!E127,"")</f>
        <v/>
      </c>
      <c r="D115" s="55" t="str">
        <f>IF('Cond SAP'!AA127="","",'Cond SAP'!AA127)</f>
        <v/>
      </c>
      <c r="E115" t="str">
        <f>IF(AND(Formulario!G127&lt;&gt;"",Formulario!Q127&lt;&gt;"",A115&lt;&gt;""),Formulario!Q127,"")</f>
        <v/>
      </c>
      <c r="F115" t="str" cm="1">
        <f t="array" aca="1" ref="F115" ca="1">IF(OR(A115="",B115=""),"",LEFT(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5" t="str">
        <f>IF(AND(Formulario!G127&lt;&gt;"",Formulario!G127&lt;&gt;"",A115&lt;&gt;""),Formulario!G127,"")</f>
        <v/>
      </c>
      <c r="I115" t="str">
        <f>IF(AND(Formulario!D127&lt;&gt;"",A115&lt;&gt;""),"UY10","")</f>
        <v/>
      </c>
      <c r="J115" t="str">
        <f>IF(AND(Formulario!D127&lt;&gt;"",A115&lt;&gt;""),"0001","")</f>
        <v/>
      </c>
      <c r="K115" t="str">
        <f>IF(AND(Formulario!D127&lt;&gt;"",A115&lt;&gt;""),"1","")</f>
        <v/>
      </c>
    </row>
    <row r="116" spans="1:11" x14ac:dyDescent="0.3">
      <c r="A116" t="str">
        <f>IF(AND(Formulario!D128&lt;&gt;"",ISNUMBER(Formulario!D128)),Formulario!D128,"")</f>
        <v/>
      </c>
      <c r="B116" s="146" t="str">
        <f>IF(AND(Formulario!F128&lt;&gt;"", Formulario!F128&lt;&gt;"",A116&lt;&gt;""),Formulario!F128,"")</f>
        <v/>
      </c>
      <c r="C116" s="146" t="str">
        <f>IF(AND(Formulario!D128&lt;&gt;"", Formulario!E128&lt;&gt;"",A116&lt;&gt;""),Formulario!E128,"")</f>
        <v/>
      </c>
      <c r="D116" s="55" t="str">
        <f>IF('Cond SAP'!AA128="","",'Cond SAP'!AA128)</f>
        <v/>
      </c>
      <c r="E116" t="str">
        <f>IF(AND(Formulario!G128&lt;&gt;"",Formulario!Q128&lt;&gt;"",A116&lt;&gt;""),Formulario!Q128,"")</f>
        <v/>
      </c>
      <c r="F116" t="str" cm="1">
        <f t="array" aca="1" ref="F116" ca="1">IF(OR(A116="",B116=""),"",LEFT(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6" t="str">
        <f>IF(AND(Formulario!G128&lt;&gt;"",Formulario!G128&lt;&gt;"",A116&lt;&gt;""),Formulario!G128,"")</f>
        <v/>
      </c>
      <c r="I116" t="str">
        <f>IF(AND(Formulario!D128&lt;&gt;"",A116&lt;&gt;""),"UY10","")</f>
        <v/>
      </c>
      <c r="J116" t="str">
        <f>IF(AND(Formulario!D128&lt;&gt;"",A116&lt;&gt;""),"0001","")</f>
        <v/>
      </c>
      <c r="K116" t="str">
        <f>IF(AND(Formulario!D128&lt;&gt;"",A116&lt;&gt;""),"1","")</f>
        <v/>
      </c>
    </row>
    <row r="117" spans="1:11" x14ac:dyDescent="0.3">
      <c r="A117" t="str">
        <f>IF(AND(Formulario!D129&lt;&gt;"",ISNUMBER(Formulario!D129)),Formulario!D129,"")</f>
        <v/>
      </c>
      <c r="B117" s="146" t="str">
        <f>IF(AND(Formulario!F129&lt;&gt;"", Formulario!F129&lt;&gt;"",A117&lt;&gt;""),Formulario!F129,"")</f>
        <v/>
      </c>
      <c r="C117" s="146" t="str">
        <f>IF(AND(Formulario!D129&lt;&gt;"", Formulario!E129&lt;&gt;"",A117&lt;&gt;""),Formulario!E129,"")</f>
        <v/>
      </c>
      <c r="D117" s="55" t="str">
        <f>IF('Cond SAP'!AA129="","",'Cond SAP'!AA129)</f>
        <v/>
      </c>
      <c r="E117" t="str">
        <f>IF(AND(Formulario!G129&lt;&gt;"",Formulario!Q129&lt;&gt;"",A117&lt;&gt;""),Formulario!Q129,"")</f>
        <v/>
      </c>
      <c r="F117" t="str" cm="1">
        <f t="array" aca="1" ref="F117" ca="1">IF(OR(A117="",B117=""),"",LEFT(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7" t="str">
        <f>IF(AND(Formulario!G129&lt;&gt;"",Formulario!G129&lt;&gt;"",A117&lt;&gt;""),Formulario!G129,"")</f>
        <v/>
      </c>
      <c r="I117" t="str">
        <f>IF(AND(Formulario!D129&lt;&gt;"",A117&lt;&gt;""),"UY10","")</f>
        <v/>
      </c>
      <c r="J117" t="str">
        <f>IF(AND(Formulario!D129&lt;&gt;"",A117&lt;&gt;""),"0001","")</f>
        <v/>
      </c>
      <c r="K117" t="str">
        <f>IF(AND(Formulario!D129&lt;&gt;"",A117&lt;&gt;""),"1","")</f>
        <v/>
      </c>
    </row>
    <row r="118" spans="1:11" x14ac:dyDescent="0.3">
      <c r="A118" t="str">
        <f>IF(AND(Formulario!D130&lt;&gt;"",ISNUMBER(Formulario!D130)),Formulario!D130,"")</f>
        <v/>
      </c>
      <c r="B118" s="146" t="str">
        <f>IF(AND(Formulario!F130&lt;&gt;"", Formulario!F130&lt;&gt;"",A118&lt;&gt;""),Formulario!F130,"")</f>
        <v/>
      </c>
      <c r="C118" s="146" t="str">
        <f>IF(AND(Formulario!D130&lt;&gt;"", Formulario!E130&lt;&gt;"",A118&lt;&gt;""),Formulario!E130,"")</f>
        <v/>
      </c>
      <c r="D118" s="55" t="str">
        <f>IF('Cond SAP'!AA130="","",'Cond SAP'!AA130)</f>
        <v/>
      </c>
      <c r="E118" t="str">
        <f>IF(AND(Formulario!G130&lt;&gt;"",Formulario!Q130&lt;&gt;"",A118&lt;&gt;""),Formulario!Q130,"")</f>
        <v/>
      </c>
      <c r="F118" t="str" cm="1">
        <f t="array" aca="1" ref="F118" ca="1">IF(OR(A118="",B118=""),"",LEFT(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8" t="str">
        <f>IF(AND(Formulario!G130&lt;&gt;"",Formulario!G130&lt;&gt;"",A118&lt;&gt;""),Formulario!G130,"")</f>
        <v/>
      </c>
      <c r="I118" t="str">
        <f>IF(AND(Formulario!D130&lt;&gt;"",A118&lt;&gt;""),"UY10","")</f>
        <v/>
      </c>
      <c r="J118" t="str">
        <f>IF(AND(Formulario!D130&lt;&gt;"",A118&lt;&gt;""),"0001","")</f>
        <v/>
      </c>
      <c r="K118" t="str">
        <f>IF(AND(Formulario!D130&lt;&gt;"",A118&lt;&gt;""),"1","")</f>
        <v/>
      </c>
    </row>
    <row r="119" spans="1:11" x14ac:dyDescent="0.3">
      <c r="A119" t="str">
        <f>IF(AND(Formulario!D131&lt;&gt;"",ISNUMBER(Formulario!D131)),Formulario!D131,"")</f>
        <v/>
      </c>
      <c r="B119" s="146" t="str">
        <f>IF(AND(Formulario!F131&lt;&gt;"", Formulario!F131&lt;&gt;"",A119&lt;&gt;""),Formulario!F131,"")</f>
        <v/>
      </c>
      <c r="C119" s="146" t="str">
        <f>IF(AND(Formulario!D131&lt;&gt;"", Formulario!E131&lt;&gt;"",A119&lt;&gt;""),Formulario!E131,"")</f>
        <v/>
      </c>
      <c r="D119" s="55" t="str">
        <f>IF('Cond SAP'!AA131="","",'Cond SAP'!AA131)</f>
        <v/>
      </c>
      <c r="E119" t="str">
        <f>IF(AND(Formulario!G131&lt;&gt;"",Formulario!Q131&lt;&gt;"",A119&lt;&gt;""),Formulario!Q131,"")</f>
        <v/>
      </c>
      <c r="F119" t="str" cm="1">
        <f t="array" aca="1" ref="F119" ca="1">IF(OR(A119="",B119=""),"",LEFT(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19" t="str">
        <f>IF(AND(Formulario!G131&lt;&gt;"",Formulario!G131&lt;&gt;"",A119&lt;&gt;""),Formulario!G131,"")</f>
        <v/>
      </c>
      <c r="I119" t="str">
        <f>IF(AND(Formulario!D131&lt;&gt;"",A119&lt;&gt;""),"UY10","")</f>
        <v/>
      </c>
      <c r="J119" t="str">
        <f>IF(AND(Formulario!D131&lt;&gt;"",A119&lt;&gt;""),"0001","")</f>
        <v/>
      </c>
      <c r="K119" t="str">
        <f>IF(AND(Formulario!D131&lt;&gt;"",A119&lt;&gt;""),"1","")</f>
        <v/>
      </c>
    </row>
    <row r="120" spans="1:11" x14ac:dyDescent="0.3">
      <c r="A120" t="str">
        <f>IF(AND(Formulario!D132&lt;&gt;"",ISNUMBER(Formulario!D132)),Formulario!D132,"")</f>
        <v/>
      </c>
      <c r="B120" s="146" t="str">
        <f>IF(AND(Formulario!F132&lt;&gt;"", Formulario!F132&lt;&gt;"",A120&lt;&gt;""),Formulario!F132,"")</f>
        <v/>
      </c>
      <c r="C120" s="146" t="str">
        <f>IF(AND(Formulario!D132&lt;&gt;"", Formulario!E132&lt;&gt;"",A120&lt;&gt;""),Formulario!E132,"")</f>
        <v/>
      </c>
      <c r="D120" s="55" t="str">
        <f>IF('Cond SAP'!AA132="","",'Cond SAP'!AA132)</f>
        <v/>
      </c>
      <c r="E120" t="str">
        <f>IF(AND(Formulario!G132&lt;&gt;"",Formulario!Q132&lt;&gt;"",A120&lt;&gt;""),Formulario!Q132,"")</f>
        <v/>
      </c>
      <c r="F120" t="str" cm="1">
        <f t="array" aca="1" ref="F120" ca="1">IF(OR(A120="",B120=""),"",LEFT(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0" t="str">
        <f>IF(AND(Formulario!G132&lt;&gt;"",Formulario!G132&lt;&gt;"",A120&lt;&gt;""),Formulario!G132,"")</f>
        <v/>
      </c>
      <c r="I120" t="str">
        <f>IF(AND(Formulario!D132&lt;&gt;"",A120&lt;&gt;""),"UY10","")</f>
        <v/>
      </c>
      <c r="J120" t="str">
        <f>IF(AND(Formulario!D132&lt;&gt;"",A120&lt;&gt;""),"0001","")</f>
        <v/>
      </c>
      <c r="K120" t="str">
        <f>IF(AND(Formulario!D132&lt;&gt;"",A120&lt;&gt;""),"1","")</f>
        <v/>
      </c>
    </row>
    <row r="121" spans="1:11" x14ac:dyDescent="0.3">
      <c r="A121" t="str">
        <f>IF(AND(Formulario!D133&lt;&gt;"",ISNUMBER(Formulario!D133)),Formulario!D133,"")</f>
        <v/>
      </c>
      <c r="B121" s="146" t="str">
        <f>IF(AND(Formulario!F133&lt;&gt;"", Formulario!F133&lt;&gt;"",A121&lt;&gt;""),Formulario!F133,"")</f>
        <v/>
      </c>
      <c r="C121" s="146" t="str">
        <f>IF(AND(Formulario!D133&lt;&gt;"", Formulario!E133&lt;&gt;"",A121&lt;&gt;""),Formulario!E133,"")</f>
        <v/>
      </c>
      <c r="D121" s="55" t="str">
        <f>IF('Cond SAP'!AA133="","",'Cond SAP'!AA133)</f>
        <v/>
      </c>
      <c r="E121" t="str">
        <f>IF(AND(Formulario!G133&lt;&gt;"",Formulario!Q133&lt;&gt;"",A121&lt;&gt;""),Formulario!Q133,"")</f>
        <v/>
      </c>
      <c r="F121" t="str" cm="1">
        <f t="array" aca="1" ref="F121" ca="1">IF(OR(A121="",B121=""),"",LEFT(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1" t="str">
        <f>IF(AND(Formulario!G133&lt;&gt;"",Formulario!G133&lt;&gt;"",A121&lt;&gt;""),Formulario!G133,"")</f>
        <v/>
      </c>
      <c r="I121" t="str">
        <f>IF(AND(Formulario!D133&lt;&gt;"",A121&lt;&gt;""),"UY10","")</f>
        <v/>
      </c>
      <c r="J121" t="str">
        <f>IF(AND(Formulario!D133&lt;&gt;"",A121&lt;&gt;""),"0001","")</f>
        <v/>
      </c>
      <c r="K121" t="str">
        <f>IF(AND(Formulario!D133&lt;&gt;"",A121&lt;&gt;""),"1","")</f>
        <v/>
      </c>
    </row>
    <row r="122" spans="1:11" x14ac:dyDescent="0.3">
      <c r="A122" t="str">
        <f>IF(AND(Formulario!D134&lt;&gt;"",ISNUMBER(Formulario!D134)),Formulario!D134,"")</f>
        <v/>
      </c>
      <c r="B122" s="146" t="str">
        <f>IF(AND(Formulario!F134&lt;&gt;"", Formulario!F134&lt;&gt;"",A122&lt;&gt;""),Formulario!F134,"")</f>
        <v/>
      </c>
      <c r="C122" s="146" t="str">
        <f>IF(AND(Formulario!D134&lt;&gt;"", Formulario!E134&lt;&gt;"",A122&lt;&gt;""),Formulario!E134,"")</f>
        <v/>
      </c>
      <c r="D122" s="55" t="str">
        <f>IF('Cond SAP'!AA134="","",'Cond SAP'!AA134)</f>
        <v/>
      </c>
      <c r="E122" t="str">
        <f>IF(AND(Formulario!G134&lt;&gt;"",Formulario!Q134&lt;&gt;"",A122&lt;&gt;""),Formulario!Q134,"")</f>
        <v/>
      </c>
      <c r="F122" t="str" cm="1">
        <f t="array" aca="1" ref="F122" ca="1">IF(OR(A122="",B122=""),"",LEFT(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2" t="str">
        <f>IF(AND(Formulario!G134&lt;&gt;"",Formulario!G134&lt;&gt;"",A122&lt;&gt;""),Formulario!G134,"")</f>
        <v/>
      </c>
      <c r="I122" t="str">
        <f>IF(AND(Formulario!D134&lt;&gt;"",A122&lt;&gt;""),"UY10","")</f>
        <v/>
      </c>
      <c r="J122" t="str">
        <f>IF(AND(Formulario!D134&lt;&gt;"",A122&lt;&gt;""),"0001","")</f>
        <v/>
      </c>
      <c r="K122" t="str">
        <f>IF(AND(Formulario!D134&lt;&gt;"",A122&lt;&gt;""),"1","")</f>
        <v/>
      </c>
    </row>
    <row r="123" spans="1:11" x14ac:dyDescent="0.3">
      <c r="A123" t="str">
        <f>IF(AND(Formulario!D135&lt;&gt;"",ISNUMBER(Formulario!D135)),Formulario!D135,"")</f>
        <v/>
      </c>
      <c r="B123" s="146" t="str">
        <f>IF(AND(Formulario!F135&lt;&gt;"", Formulario!F135&lt;&gt;"",A123&lt;&gt;""),Formulario!F135,"")</f>
        <v/>
      </c>
      <c r="C123" s="146" t="str">
        <f>IF(AND(Formulario!D135&lt;&gt;"", Formulario!E135&lt;&gt;"",A123&lt;&gt;""),Formulario!E135,"")</f>
        <v/>
      </c>
      <c r="D123" s="55" t="str">
        <f>IF('Cond SAP'!AA135="","",'Cond SAP'!AA135)</f>
        <v/>
      </c>
      <c r="E123" t="str">
        <f>IF(AND(Formulario!G135&lt;&gt;"",Formulario!Q135&lt;&gt;"",A123&lt;&gt;""),Formulario!Q135,"")</f>
        <v/>
      </c>
      <c r="F123" t="str" cm="1">
        <f t="array" aca="1" ref="F123" ca="1">IF(OR(A123="",B123=""),"",LEFT(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3" t="str">
        <f>IF(AND(Formulario!G135&lt;&gt;"",Formulario!G135&lt;&gt;"",A123&lt;&gt;""),Formulario!G135,"")</f>
        <v/>
      </c>
      <c r="I123" t="str">
        <f>IF(AND(Formulario!D135&lt;&gt;"",A123&lt;&gt;""),"UY10","")</f>
        <v/>
      </c>
      <c r="J123" t="str">
        <f>IF(AND(Formulario!D135&lt;&gt;"",A123&lt;&gt;""),"0001","")</f>
        <v/>
      </c>
      <c r="K123" t="str">
        <f>IF(AND(Formulario!D135&lt;&gt;"",A123&lt;&gt;""),"1","")</f>
        <v/>
      </c>
    </row>
    <row r="124" spans="1:11" x14ac:dyDescent="0.3">
      <c r="A124" t="str">
        <f>IF(AND(Formulario!D136&lt;&gt;"",ISNUMBER(Formulario!D136)),Formulario!D136,"")</f>
        <v/>
      </c>
      <c r="B124" s="146" t="str">
        <f>IF(AND(Formulario!F136&lt;&gt;"", Formulario!F136&lt;&gt;"",A124&lt;&gt;""),Formulario!F136,"")</f>
        <v/>
      </c>
      <c r="C124" s="146" t="str">
        <f>IF(AND(Formulario!D136&lt;&gt;"", Formulario!E136&lt;&gt;"",A124&lt;&gt;""),Formulario!E136,"")</f>
        <v/>
      </c>
      <c r="D124" s="55" t="str">
        <f>IF('Cond SAP'!AA136="","",'Cond SAP'!AA136)</f>
        <v/>
      </c>
      <c r="E124" t="str">
        <f>IF(AND(Formulario!G136&lt;&gt;"",Formulario!Q136&lt;&gt;"",A124&lt;&gt;""),Formulario!Q136,"")</f>
        <v/>
      </c>
      <c r="F124" t="str" cm="1">
        <f t="array" aca="1" ref="F124" ca="1">IF(OR(A124="",B124=""),"",LEFT(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4" t="str">
        <f>IF(AND(Formulario!G136&lt;&gt;"",Formulario!G136&lt;&gt;"",A124&lt;&gt;""),Formulario!G136,"")</f>
        <v/>
      </c>
      <c r="I124" t="str">
        <f>IF(AND(Formulario!D136&lt;&gt;"",A124&lt;&gt;""),"UY10","")</f>
        <v/>
      </c>
      <c r="J124" t="str">
        <f>IF(AND(Formulario!D136&lt;&gt;"",A124&lt;&gt;""),"0001","")</f>
        <v/>
      </c>
      <c r="K124" t="str">
        <f>IF(AND(Formulario!D136&lt;&gt;"",A124&lt;&gt;""),"1","")</f>
        <v/>
      </c>
    </row>
    <row r="125" spans="1:11" x14ac:dyDescent="0.3">
      <c r="A125" t="str">
        <f>IF(AND(Formulario!D137&lt;&gt;"",ISNUMBER(Formulario!D137)),Formulario!D137,"")</f>
        <v/>
      </c>
      <c r="B125" s="146" t="str">
        <f>IF(AND(Formulario!F137&lt;&gt;"", Formulario!F137&lt;&gt;"",A125&lt;&gt;""),Formulario!F137,"")</f>
        <v/>
      </c>
      <c r="C125" s="146" t="str">
        <f>IF(AND(Formulario!D137&lt;&gt;"", Formulario!E137&lt;&gt;"",A125&lt;&gt;""),Formulario!E137,"")</f>
        <v/>
      </c>
      <c r="D125" s="55" t="str">
        <f>IF('Cond SAP'!AA137="","",'Cond SAP'!AA137)</f>
        <v/>
      </c>
      <c r="E125" t="str">
        <f>IF(AND(Formulario!G137&lt;&gt;"",Formulario!Q137&lt;&gt;"",A125&lt;&gt;""),Formulario!Q137,"")</f>
        <v/>
      </c>
      <c r="F125" t="str" cm="1">
        <f t="array" aca="1" ref="F125" ca="1">IF(OR(A125="",B125=""),"",LEFT(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5" t="str">
        <f>IF(AND(Formulario!G137&lt;&gt;"",Formulario!G137&lt;&gt;"",A125&lt;&gt;""),Formulario!G137,"")</f>
        <v/>
      </c>
      <c r="I125" t="str">
        <f>IF(AND(Formulario!D137&lt;&gt;"",A125&lt;&gt;""),"UY10","")</f>
        <v/>
      </c>
      <c r="J125" t="str">
        <f>IF(AND(Formulario!D137&lt;&gt;"",A125&lt;&gt;""),"0001","")</f>
        <v/>
      </c>
      <c r="K125" t="str">
        <f>IF(AND(Formulario!D137&lt;&gt;"",A125&lt;&gt;""),"1","")</f>
        <v/>
      </c>
    </row>
    <row r="126" spans="1:11" x14ac:dyDescent="0.3">
      <c r="A126" t="str">
        <f>IF(AND(Formulario!D138&lt;&gt;"",ISNUMBER(Formulario!D138)),Formulario!D138,"")</f>
        <v/>
      </c>
      <c r="B126" s="146" t="str">
        <f>IF(AND(Formulario!F138&lt;&gt;"", Formulario!F138&lt;&gt;"",A126&lt;&gt;""),Formulario!F138,"")</f>
        <v/>
      </c>
      <c r="C126" s="146" t="str">
        <f>IF(AND(Formulario!D138&lt;&gt;"", Formulario!E138&lt;&gt;"",A126&lt;&gt;""),Formulario!E138,"")</f>
        <v/>
      </c>
      <c r="D126" s="55" t="str">
        <f>IF('Cond SAP'!AA138="","",'Cond SAP'!AA138)</f>
        <v/>
      </c>
      <c r="E126" t="str">
        <f>IF(AND(Formulario!G138&lt;&gt;"",Formulario!Q138&lt;&gt;"",A126&lt;&gt;""),Formulario!Q138,"")</f>
        <v/>
      </c>
      <c r="F126" t="str" cm="1">
        <f t="array" aca="1" ref="F126" ca="1">IF(OR(A126="",B126=""),"",LEFT(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6" t="str">
        <f>IF(AND(Formulario!G138&lt;&gt;"",Formulario!G138&lt;&gt;"",A126&lt;&gt;""),Formulario!G138,"")</f>
        <v/>
      </c>
      <c r="I126" t="str">
        <f>IF(AND(Formulario!D138&lt;&gt;"",A126&lt;&gt;""),"UY10","")</f>
        <v/>
      </c>
      <c r="J126" t="str">
        <f>IF(AND(Formulario!D138&lt;&gt;"",A126&lt;&gt;""),"0001","")</f>
        <v/>
      </c>
      <c r="K126" t="str">
        <f>IF(AND(Formulario!D138&lt;&gt;"",A126&lt;&gt;""),"1","")</f>
        <v/>
      </c>
    </row>
    <row r="127" spans="1:11" x14ac:dyDescent="0.3">
      <c r="A127" t="str">
        <f>IF(AND(Formulario!D139&lt;&gt;"",ISNUMBER(Formulario!D139)),Formulario!D139,"")</f>
        <v/>
      </c>
      <c r="B127" s="146" t="str">
        <f>IF(AND(Formulario!F139&lt;&gt;"", Formulario!F139&lt;&gt;"",A127&lt;&gt;""),Formulario!F139,"")</f>
        <v/>
      </c>
      <c r="C127" s="146" t="str">
        <f>IF(AND(Formulario!D139&lt;&gt;"", Formulario!E139&lt;&gt;"",A127&lt;&gt;""),Formulario!E139,"")</f>
        <v/>
      </c>
      <c r="D127" s="55" t="str">
        <f>IF('Cond SAP'!AA139="","",'Cond SAP'!AA139)</f>
        <v/>
      </c>
      <c r="E127" t="str">
        <f>IF(AND(Formulario!G139&lt;&gt;"",Formulario!Q139&lt;&gt;"",A127&lt;&gt;""),Formulario!Q139,"")</f>
        <v/>
      </c>
      <c r="F127" t="str" cm="1">
        <f t="array" aca="1" ref="F127" ca="1">IF(OR(A127="",B127=""),"",LEFT(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7" t="str">
        <f>IF(AND(Formulario!G139&lt;&gt;"",Formulario!G139&lt;&gt;"",A127&lt;&gt;""),Formulario!G139,"")</f>
        <v/>
      </c>
      <c r="I127" t="str">
        <f>IF(AND(Formulario!D139&lt;&gt;"",A127&lt;&gt;""),"UY10","")</f>
        <v/>
      </c>
      <c r="J127" t="str">
        <f>IF(AND(Formulario!D139&lt;&gt;"",A127&lt;&gt;""),"0001","")</f>
        <v/>
      </c>
      <c r="K127" t="str">
        <f>IF(AND(Formulario!D139&lt;&gt;"",A127&lt;&gt;""),"1","")</f>
        <v/>
      </c>
    </row>
    <row r="128" spans="1:11" x14ac:dyDescent="0.3">
      <c r="A128" t="str">
        <f>IF(AND(Formulario!D140&lt;&gt;"",ISNUMBER(Formulario!D140)),Formulario!D140,"")</f>
        <v/>
      </c>
      <c r="B128" s="146" t="str">
        <f>IF(AND(Formulario!F140&lt;&gt;"", Formulario!F140&lt;&gt;"",A128&lt;&gt;""),Formulario!F140,"")</f>
        <v/>
      </c>
      <c r="C128" s="146" t="str">
        <f>IF(AND(Formulario!D140&lt;&gt;"", Formulario!E140&lt;&gt;"",A128&lt;&gt;""),Formulario!E140,"")</f>
        <v/>
      </c>
      <c r="D128" s="55" t="str">
        <f>IF('Cond SAP'!AA140="","",'Cond SAP'!AA140)</f>
        <v/>
      </c>
      <c r="E128" t="str">
        <f>IF(AND(Formulario!G140&lt;&gt;"",Formulario!Q140&lt;&gt;"",A128&lt;&gt;""),Formulario!Q140,"")</f>
        <v/>
      </c>
      <c r="F128" t="str" cm="1">
        <f t="array" aca="1" ref="F128" ca="1">IF(OR(A128="",B128=""),"",LEFT(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8" t="str">
        <f>IF(AND(Formulario!G140&lt;&gt;"",Formulario!G140&lt;&gt;"",A128&lt;&gt;""),Formulario!G140,"")</f>
        <v/>
      </c>
      <c r="I128" t="str">
        <f>IF(AND(Formulario!D140&lt;&gt;"",A128&lt;&gt;""),"UY10","")</f>
        <v/>
      </c>
      <c r="J128" t="str">
        <f>IF(AND(Formulario!D140&lt;&gt;"",A128&lt;&gt;""),"0001","")</f>
        <v/>
      </c>
      <c r="K128" t="str">
        <f>IF(AND(Formulario!D140&lt;&gt;"",A128&lt;&gt;""),"1","")</f>
        <v/>
      </c>
    </row>
    <row r="129" spans="1:11" x14ac:dyDescent="0.3">
      <c r="A129" t="str">
        <f>IF(AND(Formulario!D141&lt;&gt;"",ISNUMBER(Formulario!D141)),Formulario!D141,"")</f>
        <v/>
      </c>
      <c r="B129" s="146" t="str">
        <f>IF(AND(Formulario!F141&lt;&gt;"", Formulario!F141&lt;&gt;"",A129&lt;&gt;""),Formulario!F141,"")</f>
        <v/>
      </c>
      <c r="C129" s="146" t="str">
        <f>IF(AND(Formulario!D141&lt;&gt;"", Formulario!E141&lt;&gt;"",A129&lt;&gt;""),Formulario!E141,"")</f>
        <v/>
      </c>
      <c r="D129" s="55" t="str">
        <f>IF('Cond SAP'!AA141="","",'Cond SAP'!AA141)</f>
        <v/>
      </c>
      <c r="E129" t="str">
        <f>IF(AND(Formulario!G141&lt;&gt;"",Formulario!Q141&lt;&gt;"",A129&lt;&gt;""),Formulario!Q141,"")</f>
        <v/>
      </c>
      <c r="F129" t="str" cm="1">
        <f t="array" aca="1" ref="F129" ca="1">IF(OR(A129="",B129=""),"",LEFT(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29" t="str">
        <f>IF(AND(Formulario!G141&lt;&gt;"",Formulario!G141&lt;&gt;"",A129&lt;&gt;""),Formulario!G141,"")</f>
        <v/>
      </c>
      <c r="I129" t="str">
        <f>IF(AND(Formulario!D141&lt;&gt;"",A129&lt;&gt;""),"UY10","")</f>
        <v/>
      </c>
      <c r="J129" t="str">
        <f>IF(AND(Formulario!D141&lt;&gt;"",A129&lt;&gt;""),"0001","")</f>
        <v/>
      </c>
      <c r="K129" t="str">
        <f>IF(AND(Formulario!D141&lt;&gt;"",A129&lt;&gt;""),"1","")</f>
        <v/>
      </c>
    </row>
    <row r="130" spans="1:11" x14ac:dyDescent="0.3">
      <c r="A130" t="str">
        <f>IF(AND(Formulario!D142&lt;&gt;"",ISNUMBER(Formulario!D142)),Formulario!D142,"")</f>
        <v/>
      </c>
      <c r="B130" s="146" t="str">
        <f>IF(AND(Formulario!F142&lt;&gt;"", Formulario!F142&lt;&gt;"",A130&lt;&gt;""),Formulario!F142,"")</f>
        <v/>
      </c>
      <c r="C130" s="146" t="str">
        <f>IF(AND(Formulario!D142&lt;&gt;"", Formulario!E142&lt;&gt;"",A130&lt;&gt;""),Formulario!E142,"")</f>
        <v/>
      </c>
      <c r="D130" s="55" t="str">
        <f>IF('Cond SAP'!AA142="","",'Cond SAP'!AA142)</f>
        <v/>
      </c>
      <c r="E130" t="str">
        <f>IF(AND(Formulario!G142&lt;&gt;"",Formulario!Q142&lt;&gt;"",A130&lt;&gt;""),Formulario!Q142,"")</f>
        <v/>
      </c>
      <c r="F130" t="str" cm="1">
        <f t="array" aca="1" ref="F130" ca="1">IF(OR(A130="",B130=""),"",LEFT(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0" t="str">
        <f>IF(AND(Formulario!G142&lt;&gt;"",Formulario!G142&lt;&gt;"",A130&lt;&gt;""),Formulario!G142,"")</f>
        <v/>
      </c>
      <c r="I130" t="str">
        <f>IF(AND(Formulario!D142&lt;&gt;"",A130&lt;&gt;""),"UY10","")</f>
        <v/>
      </c>
      <c r="J130" t="str">
        <f>IF(AND(Formulario!D142&lt;&gt;"",A130&lt;&gt;""),"0001","")</f>
        <v/>
      </c>
      <c r="K130" t="str">
        <f>IF(AND(Formulario!D142&lt;&gt;"",A130&lt;&gt;""),"1","")</f>
        <v/>
      </c>
    </row>
    <row r="131" spans="1:11" x14ac:dyDescent="0.3">
      <c r="A131" t="str">
        <f>IF(AND(Formulario!D143&lt;&gt;"",ISNUMBER(Formulario!D143)),Formulario!D143,"")</f>
        <v/>
      </c>
      <c r="B131" s="146" t="str">
        <f>IF(AND(Formulario!F143&lt;&gt;"", Formulario!F143&lt;&gt;"",A131&lt;&gt;""),Formulario!F143,"")</f>
        <v/>
      </c>
      <c r="C131" s="146" t="str">
        <f>IF(AND(Formulario!D143&lt;&gt;"", Formulario!E143&lt;&gt;"",A131&lt;&gt;""),Formulario!E143,"")</f>
        <v/>
      </c>
      <c r="D131" s="55" t="str">
        <f>IF('Cond SAP'!AA143="","",'Cond SAP'!AA143)</f>
        <v/>
      </c>
      <c r="E131" t="str">
        <f>IF(AND(Formulario!G143&lt;&gt;"",Formulario!Q143&lt;&gt;"",A131&lt;&gt;""),Formulario!Q143,"")</f>
        <v/>
      </c>
      <c r="F131" t="str" cm="1">
        <f t="array" aca="1" ref="F131" ca="1">IF(OR(A131="",B131=""),"",LEFT(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1" t="str">
        <f>IF(AND(Formulario!G143&lt;&gt;"",Formulario!G143&lt;&gt;"",A131&lt;&gt;""),Formulario!G143,"")</f>
        <v/>
      </c>
      <c r="I131" t="str">
        <f>IF(AND(Formulario!D143&lt;&gt;"",A131&lt;&gt;""),"UY10","")</f>
        <v/>
      </c>
      <c r="J131" t="str">
        <f>IF(AND(Formulario!D143&lt;&gt;"",A131&lt;&gt;""),"0001","")</f>
        <v/>
      </c>
      <c r="K131" t="str">
        <f>IF(AND(Formulario!D143&lt;&gt;"",A131&lt;&gt;""),"1","")</f>
        <v/>
      </c>
    </row>
    <row r="132" spans="1:11" x14ac:dyDescent="0.3">
      <c r="A132" t="str">
        <f>IF(AND(Formulario!D144&lt;&gt;"",ISNUMBER(Formulario!D144)),Formulario!D144,"")</f>
        <v/>
      </c>
      <c r="B132" s="146" t="str">
        <f>IF(AND(Formulario!F144&lt;&gt;"", Formulario!F144&lt;&gt;"",A132&lt;&gt;""),Formulario!F144,"")</f>
        <v/>
      </c>
      <c r="C132" s="146" t="str">
        <f>IF(AND(Formulario!D144&lt;&gt;"", Formulario!E144&lt;&gt;"",A132&lt;&gt;""),Formulario!E144,"")</f>
        <v/>
      </c>
      <c r="D132" s="55" t="str">
        <f>IF('Cond SAP'!AA144="","",'Cond SAP'!AA144)</f>
        <v/>
      </c>
      <c r="E132" t="str">
        <f>IF(AND(Formulario!G144&lt;&gt;"",Formulario!Q144&lt;&gt;"",A132&lt;&gt;""),Formulario!Q144,"")</f>
        <v/>
      </c>
      <c r="F132" t="str" cm="1">
        <f t="array" aca="1" ref="F132" ca="1">IF(OR(A132="",B132=""),"",LEFT(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2" t="str">
        <f>IF(AND(Formulario!G144&lt;&gt;"",Formulario!G144&lt;&gt;"",A132&lt;&gt;""),Formulario!G144,"")</f>
        <v/>
      </c>
      <c r="I132" t="str">
        <f>IF(AND(Formulario!D144&lt;&gt;"",A132&lt;&gt;""),"UY10","")</f>
        <v/>
      </c>
      <c r="J132" t="str">
        <f>IF(AND(Formulario!D144&lt;&gt;"",A132&lt;&gt;""),"0001","")</f>
        <v/>
      </c>
      <c r="K132" t="str">
        <f>IF(AND(Formulario!D144&lt;&gt;"",A132&lt;&gt;""),"1","")</f>
        <v/>
      </c>
    </row>
    <row r="133" spans="1:11" x14ac:dyDescent="0.3">
      <c r="A133" t="str">
        <f>IF(AND(Formulario!D145&lt;&gt;"",ISNUMBER(Formulario!D145)),Formulario!D145,"")</f>
        <v/>
      </c>
      <c r="B133" s="146" t="str">
        <f>IF(AND(Formulario!F145&lt;&gt;"", Formulario!F145&lt;&gt;"",A133&lt;&gt;""),Formulario!F145,"")</f>
        <v/>
      </c>
      <c r="C133" s="146" t="str">
        <f>IF(AND(Formulario!D145&lt;&gt;"", Formulario!E145&lt;&gt;"",A133&lt;&gt;""),Formulario!E145,"")</f>
        <v/>
      </c>
      <c r="D133" s="55" t="str">
        <f>IF('Cond SAP'!AA145="","",'Cond SAP'!AA145)</f>
        <v/>
      </c>
      <c r="E133" t="str">
        <f>IF(AND(Formulario!G145&lt;&gt;"",Formulario!Q145&lt;&gt;"",A133&lt;&gt;""),Formulario!Q145,"")</f>
        <v/>
      </c>
      <c r="F133" t="str" cm="1">
        <f t="array" aca="1" ref="F133" ca="1">IF(OR(A133="",B133=""),"",LEFT(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3" t="str">
        <f>IF(AND(Formulario!G145&lt;&gt;"",Formulario!G145&lt;&gt;"",A133&lt;&gt;""),Formulario!G145,"")</f>
        <v/>
      </c>
      <c r="I133" t="str">
        <f>IF(AND(Formulario!D145&lt;&gt;"",A133&lt;&gt;""),"UY10","")</f>
        <v/>
      </c>
      <c r="J133" t="str">
        <f>IF(AND(Formulario!D145&lt;&gt;"",A133&lt;&gt;""),"0001","")</f>
        <v/>
      </c>
      <c r="K133" t="str">
        <f>IF(AND(Formulario!D145&lt;&gt;"",A133&lt;&gt;""),"1","")</f>
        <v/>
      </c>
    </row>
    <row r="134" spans="1:11" x14ac:dyDescent="0.3">
      <c r="A134" t="str">
        <f>IF(AND(Formulario!D146&lt;&gt;"",ISNUMBER(Formulario!D146)),Formulario!D146,"")</f>
        <v/>
      </c>
      <c r="B134" s="146" t="str">
        <f>IF(AND(Formulario!F146&lt;&gt;"", Formulario!F146&lt;&gt;"",A134&lt;&gt;""),Formulario!F146,"")</f>
        <v/>
      </c>
      <c r="C134" s="146" t="str">
        <f>IF(AND(Formulario!D146&lt;&gt;"", Formulario!E146&lt;&gt;"",A134&lt;&gt;""),Formulario!E146,"")</f>
        <v/>
      </c>
      <c r="D134" s="55" t="str">
        <f>IF('Cond SAP'!AA146="","",'Cond SAP'!AA146)</f>
        <v/>
      </c>
      <c r="E134" t="str">
        <f>IF(AND(Formulario!G146&lt;&gt;"",Formulario!Q146&lt;&gt;"",A134&lt;&gt;""),Formulario!Q146,"")</f>
        <v/>
      </c>
      <c r="F134" t="str" cm="1">
        <f t="array" aca="1" ref="F134" ca="1">IF(OR(A134="",B134=""),"",LEFT(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4" t="str">
        <f>IF(AND(Formulario!G146&lt;&gt;"",Formulario!G146&lt;&gt;"",A134&lt;&gt;""),Formulario!G146,"")</f>
        <v/>
      </c>
      <c r="I134" t="str">
        <f>IF(AND(Formulario!D146&lt;&gt;"",A134&lt;&gt;""),"UY10","")</f>
        <v/>
      </c>
      <c r="J134" t="str">
        <f>IF(AND(Formulario!D146&lt;&gt;"",A134&lt;&gt;""),"0001","")</f>
        <v/>
      </c>
      <c r="K134" t="str">
        <f>IF(AND(Formulario!D146&lt;&gt;"",A134&lt;&gt;""),"1","")</f>
        <v/>
      </c>
    </row>
    <row r="135" spans="1:11" x14ac:dyDescent="0.3">
      <c r="A135" t="str">
        <f>IF(AND(Formulario!D147&lt;&gt;"",ISNUMBER(Formulario!D147)),Formulario!D147,"")</f>
        <v/>
      </c>
      <c r="B135" s="146" t="str">
        <f>IF(AND(Formulario!F147&lt;&gt;"", Formulario!F147&lt;&gt;"",A135&lt;&gt;""),Formulario!F147,"")</f>
        <v/>
      </c>
      <c r="C135" s="146" t="str">
        <f>IF(AND(Formulario!D147&lt;&gt;"", Formulario!E147&lt;&gt;"",A135&lt;&gt;""),Formulario!E147,"")</f>
        <v/>
      </c>
      <c r="D135" s="55" t="str">
        <f>IF('Cond SAP'!AA147="","",'Cond SAP'!AA147)</f>
        <v/>
      </c>
      <c r="E135" t="str">
        <f>IF(AND(Formulario!G147&lt;&gt;"",Formulario!Q147&lt;&gt;"",A135&lt;&gt;""),Formulario!Q147,"")</f>
        <v/>
      </c>
      <c r="F135" t="str" cm="1">
        <f t="array" aca="1" ref="F135" ca="1">IF(OR(A135="",B135=""),"",LEFT(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5" t="str">
        <f>IF(AND(Formulario!G147&lt;&gt;"",Formulario!G147&lt;&gt;"",A135&lt;&gt;""),Formulario!G147,"")</f>
        <v/>
      </c>
      <c r="I135" t="str">
        <f>IF(AND(Formulario!D147&lt;&gt;"",A135&lt;&gt;""),"UY10","")</f>
        <v/>
      </c>
      <c r="J135" t="str">
        <f>IF(AND(Formulario!D147&lt;&gt;"",A135&lt;&gt;""),"0001","")</f>
        <v/>
      </c>
      <c r="K135" t="str">
        <f>IF(AND(Formulario!D147&lt;&gt;"",A135&lt;&gt;""),"1","")</f>
        <v/>
      </c>
    </row>
    <row r="136" spans="1:11" x14ac:dyDescent="0.3">
      <c r="A136" t="str">
        <f>IF(AND(Formulario!D148&lt;&gt;"",ISNUMBER(Formulario!D148)),Formulario!D148,"")</f>
        <v/>
      </c>
      <c r="B136" s="146" t="str">
        <f>IF(AND(Formulario!F148&lt;&gt;"", Formulario!F148&lt;&gt;"",A136&lt;&gt;""),Formulario!F148,"")</f>
        <v/>
      </c>
      <c r="C136" s="146" t="str">
        <f>IF(AND(Formulario!D148&lt;&gt;"", Formulario!E148&lt;&gt;"",A136&lt;&gt;""),Formulario!E148,"")</f>
        <v/>
      </c>
      <c r="D136" s="55" t="str">
        <f>IF('Cond SAP'!AA148="","",'Cond SAP'!AA148)</f>
        <v/>
      </c>
      <c r="E136" t="str">
        <f>IF(AND(Formulario!G148&lt;&gt;"",Formulario!Q148&lt;&gt;"",A136&lt;&gt;""),Formulario!Q148,"")</f>
        <v/>
      </c>
      <c r="F136" t="str" cm="1">
        <f t="array" aca="1" ref="F136" ca="1">IF(OR(A136="",B136=""),"",LEFT(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6" t="str">
        <f>IF(AND(Formulario!G148&lt;&gt;"",Formulario!G148&lt;&gt;"",A136&lt;&gt;""),Formulario!G148,"")</f>
        <v/>
      </c>
      <c r="I136" t="str">
        <f>IF(AND(Formulario!D148&lt;&gt;"",A136&lt;&gt;""),"UY10","")</f>
        <v/>
      </c>
      <c r="J136" t="str">
        <f>IF(AND(Formulario!D148&lt;&gt;"",A136&lt;&gt;""),"0001","")</f>
        <v/>
      </c>
      <c r="K136" t="str">
        <f>IF(AND(Formulario!D148&lt;&gt;"",A136&lt;&gt;""),"1","")</f>
        <v/>
      </c>
    </row>
    <row r="137" spans="1:11" x14ac:dyDescent="0.3">
      <c r="A137" t="str">
        <f>IF(AND(Formulario!D149&lt;&gt;"",ISNUMBER(Formulario!D149)),Formulario!D149,"")</f>
        <v/>
      </c>
      <c r="B137" s="146" t="str">
        <f>IF(AND(Formulario!F149&lt;&gt;"", Formulario!F149&lt;&gt;"",A137&lt;&gt;""),Formulario!F149,"")</f>
        <v/>
      </c>
      <c r="C137" s="146" t="str">
        <f>IF(AND(Formulario!D149&lt;&gt;"", Formulario!E149&lt;&gt;"",A137&lt;&gt;""),Formulario!E149,"")</f>
        <v/>
      </c>
      <c r="D137" s="55" t="str">
        <f>IF('Cond SAP'!AA149="","",'Cond SAP'!AA149)</f>
        <v/>
      </c>
      <c r="E137" t="str">
        <f>IF(AND(Formulario!G149&lt;&gt;"",Formulario!Q149&lt;&gt;"",A137&lt;&gt;""),Formulario!Q149,"")</f>
        <v/>
      </c>
      <c r="F137" t="str" cm="1">
        <f t="array" aca="1" ref="F137" ca="1">IF(OR(A137="",B137=""),"",LEFT(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7" t="str">
        <f>IF(AND(Formulario!G149&lt;&gt;"",Formulario!G149&lt;&gt;"",A137&lt;&gt;""),Formulario!G149,"")</f>
        <v/>
      </c>
      <c r="I137" t="str">
        <f>IF(AND(Formulario!D149&lt;&gt;"",A137&lt;&gt;""),"UY10","")</f>
        <v/>
      </c>
      <c r="J137" t="str">
        <f>IF(AND(Formulario!D149&lt;&gt;"",A137&lt;&gt;""),"0001","")</f>
        <v/>
      </c>
      <c r="K137" t="str">
        <f>IF(AND(Formulario!D149&lt;&gt;"",A137&lt;&gt;""),"1","")</f>
        <v/>
      </c>
    </row>
    <row r="138" spans="1:11" x14ac:dyDescent="0.3">
      <c r="A138" t="str">
        <f>IF(AND(Formulario!D150&lt;&gt;"",ISNUMBER(Formulario!D150)),Formulario!D150,"")</f>
        <v/>
      </c>
      <c r="B138" s="146" t="str">
        <f>IF(AND(Formulario!F150&lt;&gt;"", Formulario!F150&lt;&gt;"",A138&lt;&gt;""),Formulario!F150,"")</f>
        <v/>
      </c>
      <c r="C138" s="146" t="str">
        <f>IF(AND(Formulario!D150&lt;&gt;"", Formulario!E150&lt;&gt;"",A138&lt;&gt;""),Formulario!E150,"")</f>
        <v/>
      </c>
      <c r="D138" s="55" t="str">
        <f>IF('Cond SAP'!AA150="","",'Cond SAP'!AA150)</f>
        <v/>
      </c>
      <c r="E138" t="str">
        <f>IF(AND(Formulario!G150&lt;&gt;"",Formulario!Q150&lt;&gt;"",A138&lt;&gt;""),Formulario!Q150,"")</f>
        <v/>
      </c>
      <c r="F138" t="str" cm="1">
        <f t="array" aca="1" ref="F138" ca="1">IF(OR(A138="",B138=""),"",LEFT(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8" t="str">
        <f>IF(AND(Formulario!G150&lt;&gt;"",Formulario!G150&lt;&gt;"",A138&lt;&gt;""),Formulario!G150,"")</f>
        <v/>
      </c>
      <c r="I138" t="str">
        <f>IF(AND(Formulario!D150&lt;&gt;"",A138&lt;&gt;""),"UY10","")</f>
        <v/>
      </c>
      <c r="J138" t="str">
        <f>IF(AND(Formulario!D150&lt;&gt;"",A138&lt;&gt;""),"0001","")</f>
        <v/>
      </c>
      <c r="K138" t="str">
        <f>IF(AND(Formulario!D150&lt;&gt;"",A138&lt;&gt;""),"1","")</f>
        <v/>
      </c>
    </row>
    <row r="139" spans="1:11" x14ac:dyDescent="0.3">
      <c r="A139" t="str">
        <f>IF(AND(Formulario!D151&lt;&gt;"",ISNUMBER(Formulario!D151)),Formulario!D151,"")</f>
        <v/>
      </c>
      <c r="B139" s="146" t="str">
        <f>IF(AND(Formulario!F151&lt;&gt;"", Formulario!F151&lt;&gt;"",A139&lt;&gt;""),Formulario!F151,"")</f>
        <v/>
      </c>
      <c r="C139" s="146" t="str">
        <f>IF(AND(Formulario!D151&lt;&gt;"", Formulario!E151&lt;&gt;"",A139&lt;&gt;""),Formulario!E151,"")</f>
        <v/>
      </c>
      <c r="D139" s="55" t="str">
        <f>IF('Cond SAP'!AA151="","",'Cond SAP'!AA151)</f>
        <v/>
      </c>
      <c r="E139" t="str">
        <f>IF(AND(Formulario!G151&lt;&gt;"",Formulario!Q151&lt;&gt;"",A139&lt;&gt;""),Formulario!Q151,"")</f>
        <v/>
      </c>
      <c r="F139" t="str" cm="1">
        <f t="array" aca="1" ref="F139" ca="1">IF(OR(A139="",B139=""),"",LEFT(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39" t="str">
        <f>IF(AND(Formulario!G151&lt;&gt;"",Formulario!G151&lt;&gt;"",A139&lt;&gt;""),Formulario!G151,"")</f>
        <v/>
      </c>
      <c r="I139" t="str">
        <f>IF(AND(Formulario!D151&lt;&gt;"",A139&lt;&gt;""),"UY10","")</f>
        <v/>
      </c>
      <c r="J139" t="str">
        <f>IF(AND(Formulario!D151&lt;&gt;"",A139&lt;&gt;""),"0001","")</f>
        <v/>
      </c>
      <c r="K139" t="str">
        <f>IF(AND(Formulario!D151&lt;&gt;"",A139&lt;&gt;""),"1","")</f>
        <v/>
      </c>
    </row>
    <row r="140" spans="1:11" x14ac:dyDescent="0.3">
      <c r="A140" t="str">
        <f>IF(AND(Formulario!D152&lt;&gt;"",ISNUMBER(Formulario!D152)),Formulario!D152,"")</f>
        <v/>
      </c>
      <c r="B140" s="146" t="str">
        <f>IF(AND(Formulario!F152&lt;&gt;"", Formulario!F152&lt;&gt;"",A140&lt;&gt;""),Formulario!F152,"")</f>
        <v/>
      </c>
      <c r="C140" s="146" t="str">
        <f>IF(AND(Formulario!D152&lt;&gt;"", Formulario!E152&lt;&gt;"",A140&lt;&gt;""),Formulario!E152,"")</f>
        <v/>
      </c>
      <c r="D140" s="55" t="str">
        <f>IF('Cond SAP'!AA152="","",'Cond SAP'!AA152)</f>
        <v/>
      </c>
      <c r="E140" t="str">
        <f>IF(AND(Formulario!G152&lt;&gt;"",Formulario!Q152&lt;&gt;"",A140&lt;&gt;""),Formulario!Q152,"")</f>
        <v/>
      </c>
      <c r="F140" t="str" cm="1">
        <f t="array" aca="1" ref="F140" ca="1">IF(OR(A140="",B140=""),"",LEFT(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0" t="str">
        <f>IF(AND(Formulario!G152&lt;&gt;"",Formulario!G152&lt;&gt;"",A140&lt;&gt;""),Formulario!G152,"")</f>
        <v/>
      </c>
      <c r="I140" t="str">
        <f>IF(AND(Formulario!D152&lt;&gt;"",A140&lt;&gt;""),"UY10","")</f>
        <v/>
      </c>
      <c r="J140" t="str">
        <f>IF(AND(Formulario!D152&lt;&gt;"",A140&lt;&gt;""),"0001","")</f>
        <v/>
      </c>
      <c r="K140" t="str">
        <f>IF(AND(Formulario!D152&lt;&gt;"",A140&lt;&gt;""),"1","")</f>
        <v/>
      </c>
    </row>
    <row r="141" spans="1:11" x14ac:dyDescent="0.3">
      <c r="A141" t="str">
        <f>IF(AND(Formulario!D153&lt;&gt;"",ISNUMBER(Formulario!D153)),Formulario!D153,"")</f>
        <v/>
      </c>
      <c r="B141" s="146" t="str">
        <f>IF(AND(Formulario!F153&lt;&gt;"", Formulario!F153&lt;&gt;"",A141&lt;&gt;""),Formulario!F153,"")</f>
        <v/>
      </c>
      <c r="C141" s="146" t="str">
        <f>IF(AND(Formulario!D153&lt;&gt;"", Formulario!E153&lt;&gt;"",A141&lt;&gt;""),Formulario!E153,"")</f>
        <v/>
      </c>
      <c r="D141" s="55" t="str">
        <f>IF('Cond SAP'!AA153="","",'Cond SAP'!AA153)</f>
        <v/>
      </c>
      <c r="E141" t="str">
        <f>IF(AND(Formulario!G153&lt;&gt;"",Formulario!Q153&lt;&gt;"",A141&lt;&gt;""),Formulario!Q153,"")</f>
        <v/>
      </c>
      <c r="F141" t="str" cm="1">
        <f t="array" aca="1" ref="F141" ca="1">IF(OR(A141="",B141=""),"",LEFT(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1" t="str">
        <f>IF(AND(Formulario!G153&lt;&gt;"",Formulario!G153&lt;&gt;"",A141&lt;&gt;""),Formulario!G153,"")</f>
        <v/>
      </c>
      <c r="I141" t="str">
        <f>IF(AND(Formulario!D153&lt;&gt;"",A141&lt;&gt;""),"UY10","")</f>
        <v/>
      </c>
      <c r="J141" t="str">
        <f>IF(AND(Formulario!D153&lt;&gt;"",A141&lt;&gt;""),"0001","")</f>
        <v/>
      </c>
      <c r="K141" t="str">
        <f>IF(AND(Formulario!D153&lt;&gt;"",A141&lt;&gt;""),"1","")</f>
        <v/>
      </c>
    </row>
    <row r="142" spans="1:11" x14ac:dyDescent="0.3">
      <c r="A142" t="str">
        <f>IF(AND(Formulario!D154&lt;&gt;"",ISNUMBER(Formulario!D154)),Formulario!D154,"")</f>
        <v/>
      </c>
      <c r="B142" s="146" t="str">
        <f>IF(AND(Formulario!F154&lt;&gt;"", Formulario!F154&lt;&gt;"",A142&lt;&gt;""),Formulario!F154,"")</f>
        <v/>
      </c>
      <c r="C142" s="146" t="str">
        <f>IF(AND(Formulario!D154&lt;&gt;"", Formulario!E154&lt;&gt;"",A142&lt;&gt;""),Formulario!E154,"")</f>
        <v/>
      </c>
      <c r="D142" s="55" t="str">
        <f>IF('Cond SAP'!AA154="","",'Cond SAP'!AA154)</f>
        <v/>
      </c>
      <c r="E142" t="str">
        <f>IF(AND(Formulario!G154&lt;&gt;"",Formulario!Q154&lt;&gt;"",A142&lt;&gt;""),Formulario!Q154,"")</f>
        <v/>
      </c>
      <c r="F142" t="str" cm="1">
        <f t="array" aca="1" ref="F142" ca="1">IF(OR(A142="",B142=""),"",LEFT(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2" t="str">
        <f>IF(AND(Formulario!G154&lt;&gt;"",Formulario!G154&lt;&gt;"",A142&lt;&gt;""),Formulario!G154,"")</f>
        <v/>
      </c>
      <c r="I142" t="str">
        <f>IF(AND(Formulario!D154&lt;&gt;"",A142&lt;&gt;""),"UY10","")</f>
        <v/>
      </c>
      <c r="J142" t="str">
        <f>IF(AND(Formulario!D154&lt;&gt;"",A142&lt;&gt;""),"0001","")</f>
        <v/>
      </c>
      <c r="K142" t="str">
        <f>IF(AND(Formulario!D154&lt;&gt;"",A142&lt;&gt;""),"1","")</f>
        <v/>
      </c>
    </row>
    <row r="143" spans="1:11" x14ac:dyDescent="0.3">
      <c r="A143" t="str">
        <f>IF(AND(Formulario!D155&lt;&gt;"",ISNUMBER(Formulario!D155)),Formulario!D155,"")</f>
        <v/>
      </c>
      <c r="B143" s="146" t="str">
        <f>IF(AND(Formulario!F155&lt;&gt;"", Formulario!F155&lt;&gt;"",A143&lt;&gt;""),Formulario!F155,"")</f>
        <v/>
      </c>
      <c r="C143" s="146" t="str">
        <f>IF(AND(Formulario!D155&lt;&gt;"", Formulario!E155&lt;&gt;"",A143&lt;&gt;""),Formulario!E155,"")</f>
        <v/>
      </c>
      <c r="D143" s="55" t="str">
        <f>IF('Cond SAP'!AA155="","",'Cond SAP'!AA155)</f>
        <v/>
      </c>
      <c r="E143" t="str">
        <f>IF(AND(Formulario!G155&lt;&gt;"",Formulario!Q155&lt;&gt;"",A143&lt;&gt;""),Formulario!Q155,"")</f>
        <v/>
      </c>
      <c r="F143" t="str" cm="1">
        <f t="array" aca="1" ref="F143" ca="1">IF(OR(A143="",B143=""),"",LEFT(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3" t="str">
        <f>IF(AND(Formulario!G155&lt;&gt;"",Formulario!G155&lt;&gt;"",A143&lt;&gt;""),Formulario!G155,"")</f>
        <v/>
      </c>
      <c r="I143" t="str">
        <f>IF(AND(Formulario!D155&lt;&gt;"",A143&lt;&gt;""),"UY10","")</f>
        <v/>
      </c>
      <c r="J143" t="str">
        <f>IF(AND(Formulario!D155&lt;&gt;"",A143&lt;&gt;""),"0001","")</f>
        <v/>
      </c>
      <c r="K143" t="str">
        <f>IF(AND(Formulario!D155&lt;&gt;"",A143&lt;&gt;""),"1","")</f>
        <v/>
      </c>
    </row>
    <row r="144" spans="1:11" x14ac:dyDescent="0.3">
      <c r="A144" t="str">
        <f>IF(AND(Formulario!D156&lt;&gt;"",ISNUMBER(Formulario!D156)),Formulario!D156,"")</f>
        <v/>
      </c>
      <c r="B144" s="146" t="str">
        <f>IF(AND(Formulario!F156&lt;&gt;"", Formulario!F156&lt;&gt;"",A144&lt;&gt;""),Formulario!F156,"")</f>
        <v/>
      </c>
      <c r="C144" s="146" t="str">
        <f>IF(AND(Formulario!D156&lt;&gt;"", Formulario!E156&lt;&gt;"",A144&lt;&gt;""),Formulario!E156,"")</f>
        <v/>
      </c>
      <c r="D144" s="55" t="str">
        <f>IF('Cond SAP'!AA156="","",'Cond SAP'!AA156)</f>
        <v/>
      </c>
      <c r="E144" t="str">
        <f>IF(AND(Formulario!G156&lt;&gt;"",Formulario!Q156&lt;&gt;"",A144&lt;&gt;""),Formulario!Q156,"")</f>
        <v/>
      </c>
      <c r="F144" t="str" cm="1">
        <f t="array" aca="1" ref="F144" ca="1">IF(OR(A144="",B144=""),"",LEFT(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4" t="str">
        <f>IF(AND(Formulario!G156&lt;&gt;"",Formulario!G156&lt;&gt;"",A144&lt;&gt;""),Formulario!G156,"")</f>
        <v/>
      </c>
      <c r="I144" t="str">
        <f>IF(AND(Formulario!D156&lt;&gt;"",A144&lt;&gt;""),"UY10","")</f>
        <v/>
      </c>
      <c r="J144" t="str">
        <f>IF(AND(Formulario!D156&lt;&gt;"",A144&lt;&gt;""),"0001","")</f>
        <v/>
      </c>
      <c r="K144" t="str">
        <f>IF(AND(Formulario!D156&lt;&gt;"",A144&lt;&gt;""),"1","")</f>
        <v/>
      </c>
    </row>
    <row r="145" spans="1:11" x14ac:dyDescent="0.3">
      <c r="A145" t="str">
        <f>IF(AND(Formulario!D157&lt;&gt;"",ISNUMBER(Formulario!D157)),Formulario!D157,"")</f>
        <v/>
      </c>
      <c r="B145" s="146" t="str">
        <f>IF(AND(Formulario!F157&lt;&gt;"", Formulario!F157&lt;&gt;"",A145&lt;&gt;""),Formulario!F157,"")</f>
        <v/>
      </c>
      <c r="C145" s="146" t="str">
        <f>IF(AND(Formulario!D157&lt;&gt;"", Formulario!E157&lt;&gt;"",A145&lt;&gt;""),Formulario!E157,"")</f>
        <v/>
      </c>
      <c r="D145" s="55" t="str">
        <f>IF('Cond SAP'!AA157="","",'Cond SAP'!AA157)</f>
        <v/>
      </c>
      <c r="E145" t="str">
        <f>IF(AND(Formulario!G157&lt;&gt;"",Formulario!Q157&lt;&gt;"",A145&lt;&gt;""),Formulario!Q157,"")</f>
        <v/>
      </c>
      <c r="F145" t="str" cm="1">
        <f t="array" aca="1" ref="F145" ca="1">IF(OR(A145="",B145=""),"",LEFT(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5" t="str">
        <f>IF(AND(Formulario!G157&lt;&gt;"",Formulario!G157&lt;&gt;"",A145&lt;&gt;""),Formulario!G157,"")</f>
        <v/>
      </c>
      <c r="I145" t="str">
        <f>IF(AND(Formulario!D157&lt;&gt;"",A145&lt;&gt;""),"UY10","")</f>
        <v/>
      </c>
      <c r="J145" t="str">
        <f>IF(AND(Formulario!D157&lt;&gt;"",A145&lt;&gt;""),"0001","")</f>
        <v/>
      </c>
      <c r="K145" t="str">
        <f>IF(AND(Formulario!D157&lt;&gt;"",A145&lt;&gt;""),"1","")</f>
        <v/>
      </c>
    </row>
    <row r="146" spans="1:11" x14ac:dyDescent="0.3">
      <c r="A146" t="str">
        <f>IF(AND(Formulario!D158&lt;&gt;"",ISNUMBER(Formulario!D158)),Formulario!D158,"")</f>
        <v/>
      </c>
      <c r="B146" s="146" t="str">
        <f>IF(AND(Formulario!F158&lt;&gt;"", Formulario!F158&lt;&gt;"",A146&lt;&gt;""),Formulario!F158,"")</f>
        <v/>
      </c>
      <c r="C146" s="146" t="str">
        <f>IF(AND(Formulario!D158&lt;&gt;"", Formulario!E158&lt;&gt;"",A146&lt;&gt;""),Formulario!E158,"")</f>
        <v/>
      </c>
      <c r="D146" s="55" t="str">
        <f>IF('Cond SAP'!AA158="","",'Cond SAP'!AA158)</f>
        <v/>
      </c>
      <c r="E146" t="str">
        <f>IF(AND(Formulario!G158&lt;&gt;"",Formulario!Q158&lt;&gt;"",A146&lt;&gt;""),Formulario!Q158,"")</f>
        <v/>
      </c>
      <c r="F146" t="str" cm="1">
        <f t="array" aca="1" ref="F146" ca="1">IF(OR(A146="",B146=""),"",LEFT(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6" t="str">
        <f>IF(AND(Formulario!G158&lt;&gt;"",Formulario!G158&lt;&gt;"",A146&lt;&gt;""),Formulario!G158,"")</f>
        <v/>
      </c>
      <c r="I146" t="str">
        <f>IF(AND(Formulario!D158&lt;&gt;"",A146&lt;&gt;""),"UY10","")</f>
        <v/>
      </c>
      <c r="J146" t="str">
        <f>IF(AND(Formulario!D158&lt;&gt;"",A146&lt;&gt;""),"0001","")</f>
        <v/>
      </c>
      <c r="K146" t="str">
        <f>IF(AND(Formulario!D158&lt;&gt;"",A146&lt;&gt;""),"1","")</f>
        <v/>
      </c>
    </row>
    <row r="147" spans="1:11" x14ac:dyDescent="0.3">
      <c r="A147" t="str">
        <f>IF(AND(Formulario!D159&lt;&gt;"",ISNUMBER(Formulario!D159)),Formulario!D159,"")</f>
        <v/>
      </c>
      <c r="B147" s="146" t="str">
        <f>IF(AND(Formulario!F159&lt;&gt;"", Formulario!F159&lt;&gt;"",A147&lt;&gt;""),Formulario!F159,"")</f>
        <v/>
      </c>
      <c r="C147" s="146" t="str">
        <f>IF(AND(Formulario!D159&lt;&gt;"", Formulario!E159&lt;&gt;"",A147&lt;&gt;""),Formulario!E159,"")</f>
        <v/>
      </c>
      <c r="D147" s="55" t="str">
        <f>IF('Cond SAP'!AA159="","",'Cond SAP'!AA159)</f>
        <v/>
      </c>
      <c r="E147" t="str">
        <f>IF(AND(Formulario!G159&lt;&gt;"",Formulario!Q159&lt;&gt;"",A147&lt;&gt;""),Formulario!Q159,"")</f>
        <v/>
      </c>
      <c r="F147" t="str" cm="1">
        <f t="array" aca="1" ref="F147" ca="1">IF(OR(A147="",B147=""),"",LEFT(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7" t="str">
        <f>IF(AND(Formulario!G159&lt;&gt;"",Formulario!G159&lt;&gt;"",A147&lt;&gt;""),Formulario!G159,"")</f>
        <v/>
      </c>
      <c r="I147" t="str">
        <f>IF(AND(Formulario!D159&lt;&gt;"",A147&lt;&gt;""),"UY10","")</f>
        <v/>
      </c>
      <c r="J147" t="str">
        <f>IF(AND(Formulario!D159&lt;&gt;"",A147&lt;&gt;""),"0001","")</f>
        <v/>
      </c>
      <c r="K147" t="str">
        <f>IF(AND(Formulario!D159&lt;&gt;"",A147&lt;&gt;""),"1","")</f>
        <v/>
      </c>
    </row>
    <row r="148" spans="1:11" x14ac:dyDescent="0.3">
      <c r="A148" t="str">
        <f>IF(AND(Formulario!D160&lt;&gt;"",ISNUMBER(Formulario!D160)),Formulario!D160,"")</f>
        <v/>
      </c>
      <c r="B148" s="146" t="str">
        <f>IF(AND(Formulario!F160&lt;&gt;"", Formulario!F160&lt;&gt;"",A148&lt;&gt;""),Formulario!F160,"")</f>
        <v/>
      </c>
      <c r="C148" s="146" t="str">
        <f>IF(AND(Formulario!D160&lt;&gt;"", Formulario!E160&lt;&gt;"",A148&lt;&gt;""),Formulario!E160,"")</f>
        <v/>
      </c>
      <c r="D148" s="55" t="str">
        <f>IF('Cond SAP'!AA160="","",'Cond SAP'!AA160)</f>
        <v/>
      </c>
      <c r="E148" t="str">
        <f>IF(AND(Formulario!G160&lt;&gt;"",Formulario!Q160&lt;&gt;"",A148&lt;&gt;""),Formulario!Q160,"")</f>
        <v/>
      </c>
      <c r="F148" t="str" cm="1">
        <f t="array" aca="1" ref="F148" ca="1">IF(OR(A148="",B148=""),"",LEFT(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8" t="str">
        <f>IF(AND(Formulario!G160&lt;&gt;"",Formulario!G160&lt;&gt;"",A148&lt;&gt;""),Formulario!G160,"")</f>
        <v/>
      </c>
      <c r="I148" t="str">
        <f>IF(AND(Formulario!D160&lt;&gt;"",A148&lt;&gt;""),"UY10","")</f>
        <v/>
      </c>
      <c r="J148" t="str">
        <f>IF(AND(Formulario!D160&lt;&gt;"",A148&lt;&gt;""),"0001","")</f>
        <v/>
      </c>
      <c r="K148" t="str">
        <f>IF(AND(Formulario!D160&lt;&gt;"",A148&lt;&gt;""),"1","")</f>
        <v/>
      </c>
    </row>
    <row r="149" spans="1:11" x14ac:dyDescent="0.3">
      <c r="A149" t="str">
        <f>IF(AND(Formulario!D161&lt;&gt;"",ISNUMBER(Formulario!D161)),Formulario!D161,"")</f>
        <v/>
      </c>
      <c r="B149" s="146" t="str">
        <f>IF(AND(Formulario!F161&lt;&gt;"", Formulario!F161&lt;&gt;"",A149&lt;&gt;""),Formulario!F161,"")</f>
        <v/>
      </c>
      <c r="C149" s="146" t="str">
        <f>IF(AND(Formulario!D161&lt;&gt;"", Formulario!E161&lt;&gt;"",A149&lt;&gt;""),Formulario!E161,"")</f>
        <v/>
      </c>
      <c r="D149" s="55" t="str">
        <f>IF('Cond SAP'!AA161="","",'Cond SAP'!AA161)</f>
        <v/>
      </c>
      <c r="E149" t="str">
        <f>IF(AND(Formulario!G161&lt;&gt;"",Formulario!Q161&lt;&gt;"",A149&lt;&gt;""),Formulario!Q161,"")</f>
        <v/>
      </c>
      <c r="F149" t="str" cm="1">
        <f t="array" aca="1" ref="F149" ca="1">IF(OR(A149="",B149=""),"",LEFT(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49" t="str">
        <f>IF(AND(Formulario!G161&lt;&gt;"",Formulario!G161&lt;&gt;"",A149&lt;&gt;""),Formulario!G161,"")</f>
        <v/>
      </c>
      <c r="I149" t="str">
        <f>IF(AND(Formulario!D161&lt;&gt;"",A149&lt;&gt;""),"UY10","")</f>
        <v/>
      </c>
      <c r="J149" t="str">
        <f>IF(AND(Formulario!D161&lt;&gt;"",A149&lt;&gt;""),"0001","")</f>
        <v/>
      </c>
      <c r="K149" t="str">
        <f>IF(AND(Formulario!D161&lt;&gt;"",A149&lt;&gt;""),"1","")</f>
        <v/>
      </c>
    </row>
    <row r="150" spans="1:11" x14ac:dyDescent="0.3">
      <c r="A150" t="str">
        <f>IF(AND(Formulario!D162&lt;&gt;"",ISNUMBER(Formulario!D162)),Formulario!D162,"")</f>
        <v/>
      </c>
      <c r="B150" s="146" t="str">
        <f>IF(AND(Formulario!F162&lt;&gt;"", Formulario!F162&lt;&gt;"",A150&lt;&gt;""),Formulario!F162,"")</f>
        <v/>
      </c>
      <c r="C150" s="146" t="str">
        <f>IF(AND(Formulario!D162&lt;&gt;"", Formulario!E162&lt;&gt;"",A150&lt;&gt;""),Formulario!E162,"")</f>
        <v/>
      </c>
      <c r="D150" s="55" t="str">
        <f>IF('Cond SAP'!AA162="","",'Cond SAP'!AA162)</f>
        <v/>
      </c>
      <c r="E150" t="str">
        <f>IF(AND(Formulario!G162&lt;&gt;"",Formulario!Q162&lt;&gt;"",A150&lt;&gt;""),Formulario!Q162,"")</f>
        <v/>
      </c>
      <c r="F150" t="str" cm="1">
        <f t="array" aca="1" ref="F150" ca="1">IF(OR(A150="",B150=""),"",LEFT(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0" t="str">
        <f>IF(AND(Formulario!G162&lt;&gt;"",Formulario!G162&lt;&gt;"",A150&lt;&gt;""),Formulario!G162,"")</f>
        <v/>
      </c>
      <c r="I150" t="str">
        <f>IF(AND(Formulario!D162&lt;&gt;"",A150&lt;&gt;""),"UY10","")</f>
        <v/>
      </c>
      <c r="J150" t="str">
        <f>IF(AND(Formulario!D162&lt;&gt;"",A150&lt;&gt;""),"0001","")</f>
        <v/>
      </c>
      <c r="K150" t="str">
        <f>IF(AND(Formulario!D162&lt;&gt;"",A150&lt;&gt;""),"1","")</f>
        <v/>
      </c>
    </row>
    <row r="151" spans="1:11" x14ac:dyDescent="0.3">
      <c r="A151" t="str">
        <f>IF(AND(Formulario!D163&lt;&gt;"",ISNUMBER(Formulario!D163)),Formulario!D163,"")</f>
        <v/>
      </c>
      <c r="B151" s="146" t="str">
        <f>IF(AND(Formulario!F163&lt;&gt;"", Formulario!F163&lt;&gt;"",A151&lt;&gt;""),Formulario!F163,"")</f>
        <v/>
      </c>
      <c r="C151" s="146" t="str">
        <f>IF(AND(Formulario!D163&lt;&gt;"", Formulario!E163&lt;&gt;"",A151&lt;&gt;""),Formulario!E163,"")</f>
        <v/>
      </c>
      <c r="D151" s="55" t="str">
        <f>IF('Cond SAP'!AA163="","",'Cond SAP'!AA163)</f>
        <v/>
      </c>
      <c r="E151" t="str">
        <f>IF(AND(Formulario!G163&lt;&gt;"",Formulario!Q163&lt;&gt;"",A151&lt;&gt;""),Formulario!Q163,"")</f>
        <v/>
      </c>
      <c r="F151" t="str" cm="1">
        <f t="array" aca="1" ref="F151" ca="1">IF(OR(A151="",B151=""),"",LEFT(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1" t="str">
        <f>IF(AND(Formulario!G163&lt;&gt;"",Formulario!G163&lt;&gt;"",A151&lt;&gt;""),Formulario!G163,"")</f>
        <v/>
      </c>
      <c r="I151" t="str">
        <f>IF(AND(Formulario!D163&lt;&gt;"",A151&lt;&gt;""),"UY10","")</f>
        <v/>
      </c>
      <c r="J151" t="str">
        <f>IF(AND(Formulario!D163&lt;&gt;"",A151&lt;&gt;""),"0001","")</f>
        <v/>
      </c>
      <c r="K151" t="str">
        <f>IF(AND(Formulario!D163&lt;&gt;"",A151&lt;&gt;""),"1","")</f>
        <v/>
      </c>
    </row>
    <row r="152" spans="1:11" x14ac:dyDescent="0.3">
      <c r="A152" t="str">
        <f>IF(AND(Formulario!D164&lt;&gt;"",ISNUMBER(Formulario!D164)),Formulario!D164,"")</f>
        <v/>
      </c>
      <c r="B152" s="146" t="str">
        <f>IF(AND(Formulario!F164&lt;&gt;"", Formulario!F164&lt;&gt;"",A152&lt;&gt;""),Formulario!F164,"")</f>
        <v/>
      </c>
      <c r="C152" s="146" t="str">
        <f>IF(AND(Formulario!D164&lt;&gt;"", Formulario!E164&lt;&gt;"",A152&lt;&gt;""),Formulario!E164,"")</f>
        <v/>
      </c>
      <c r="D152" s="55" t="str">
        <f>IF('Cond SAP'!AA164="","",'Cond SAP'!AA164)</f>
        <v/>
      </c>
      <c r="E152" t="str">
        <f>IF(AND(Formulario!G164&lt;&gt;"",Formulario!Q164&lt;&gt;"",A152&lt;&gt;""),Formulario!Q164,"")</f>
        <v/>
      </c>
      <c r="F152" t="str" cm="1">
        <f t="array" aca="1" ref="F152" ca="1">IF(OR(A152="",B152=""),"",LEFT(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2" t="str">
        <f>IF(AND(Formulario!G164&lt;&gt;"",Formulario!G164&lt;&gt;"",A152&lt;&gt;""),Formulario!G164,"")</f>
        <v/>
      </c>
      <c r="I152" t="str">
        <f>IF(AND(Formulario!D164&lt;&gt;"",A152&lt;&gt;""),"UY10","")</f>
        <v/>
      </c>
      <c r="J152" t="str">
        <f>IF(AND(Formulario!D164&lt;&gt;"",A152&lt;&gt;""),"0001","")</f>
        <v/>
      </c>
      <c r="K152" t="str">
        <f>IF(AND(Formulario!D164&lt;&gt;"",A152&lt;&gt;""),"1","")</f>
        <v/>
      </c>
    </row>
    <row r="153" spans="1:11" x14ac:dyDescent="0.3">
      <c r="A153" t="str">
        <f>IF(AND(Formulario!D165&lt;&gt;"",ISNUMBER(Formulario!D165)),Formulario!D165,"")</f>
        <v/>
      </c>
      <c r="B153" s="146" t="str">
        <f>IF(AND(Formulario!F165&lt;&gt;"", Formulario!F165&lt;&gt;"",A153&lt;&gt;""),Formulario!F165,"")</f>
        <v/>
      </c>
      <c r="C153" s="146" t="str">
        <f>IF(AND(Formulario!D165&lt;&gt;"", Formulario!E165&lt;&gt;"",A153&lt;&gt;""),Formulario!E165,"")</f>
        <v/>
      </c>
      <c r="D153" s="55" t="str">
        <f>IF('Cond SAP'!AA165="","",'Cond SAP'!AA165)</f>
        <v/>
      </c>
      <c r="E153" t="str">
        <f>IF(AND(Formulario!G165&lt;&gt;"",Formulario!Q165&lt;&gt;"",A153&lt;&gt;""),Formulario!Q165,"")</f>
        <v/>
      </c>
      <c r="F153" t="str" cm="1">
        <f t="array" aca="1" ref="F153" ca="1">IF(OR(A153="",B153=""),"",LEFT(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3" t="str">
        <f>IF(AND(Formulario!G165&lt;&gt;"",Formulario!G165&lt;&gt;"",A153&lt;&gt;""),Formulario!G165,"")</f>
        <v/>
      </c>
      <c r="I153" t="str">
        <f>IF(AND(Formulario!D165&lt;&gt;"",A153&lt;&gt;""),"UY10","")</f>
        <v/>
      </c>
      <c r="J153" t="str">
        <f>IF(AND(Formulario!D165&lt;&gt;"",A153&lt;&gt;""),"0001","")</f>
        <v/>
      </c>
      <c r="K153" t="str">
        <f>IF(AND(Formulario!D165&lt;&gt;"",A153&lt;&gt;""),"1","")</f>
        <v/>
      </c>
    </row>
    <row r="154" spans="1:11" x14ac:dyDescent="0.3">
      <c r="A154" t="str">
        <f>IF(AND(Formulario!D166&lt;&gt;"",ISNUMBER(Formulario!D166)),Formulario!D166,"")</f>
        <v/>
      </c>
      <c r="B154" s="146" t="str">
        <f>IF(AND(Formulario!F166&lt;&gt;"", Formulario!F166&lt;&gt;"",A154&lt;&gt;""),Formulario!F166,"")</f>
        <v/>
      </c>
      <c r="C154" s="146" t="str">
        <f>IF(AND(Formulario!D166&lt;&gt;"", Formulario!E166&lt;&gt;"",A154&lt;&gt;""),Formulario!E166,"")</f>
        <v/>
      </c>
      <c r="D154" s="55" t="str">
        <f>IF('Cond SAP'!AA166="","",'Cond SAP'!AA166)</f>
        <v/>
      </c>
      <c r="E154" t="str">
        <f>IF(AND(Formulario!G166&lt;&gt;"",Formulario!Q166&lt;&gt;"",A154&lt;&gt;""),Formulario!Q166,"")</f>
        <v/>
      </c>
      <c r="F154" t="str" cm="1">
        <f t="array" aca="1" ref="F154" ca="1">IF(OR(A154="",B154=""),"",LEFT(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4" t="str">
        <f>IF(AND(Formulario!G166&lt;&gt;"",Formulario!G166&lt;&gt;"",A154&lt;&gt;""),Formulario!G166,"")</f>
        <v/>
      </c>
      <c r="I154" t="str">
        <f>IF(AND(Formulario!D166&lt;&gt;"",A154&lt;&gt;""),"UY10","")</f>
        <v/>
      </c>
      <c r="J154" t="str">
        <f>IF(AND(Formulario!D166&lt;&gt;"",A154&lt;&gt;""),"0001","")</f>
        <v/>
      </c>
      <c r="K154" t="str">
        <f>IF(AND(Formulario!D166&lt;&gt;"",A154&lt;&gt;""),"1","")</f>
        <v/>
      </c>
    </row>
    <row r="155" spans="1:11" x14ac:dyDescent="0.3">
      <c r="A155" t="str">
        <f>IF(AND(Formulario!D167&lt;&gt;"",ISNUMBER(Formulario!D167)),Formulario!D167,"")</f>
        <v/>
      </c>
      <c r="B155" s="146" t="str">
        <f>IF(AND(Formulario!F167&lt;&gt;"", Formulario!F167&lt;&gt;"",A155&lt;&gt;""),Formulario!F167,"")</f>
        <v/>
      </c>
      <c r="C155" s="146" t="str">
        <f>IF(AND(Formulario!D167&lt;&gt;"", Formulario!E167&lt;&gt;"",A155&lt;&gt;""),Formulario!E167,"")</f>
        <v/>
      </c>
      <c r="D155" s="55" t="str">
        <f>IF('Cond SAP'!AA167="","",'Cond SAP'!AA167)</f>
        <v/>
      </c>
      <c r="E155" t="str">
        <f>IF(AND(Formulario!G167&lt;&gt;"",Formulario!Q167&lt;&gt;"",A155&lt;&gt;""),Formulario!Q167,"")</f>
        <v/>
      </c>
      <c r="F155" t="str" cm="1">
        <f t="array" aca="1" ref="F155" ca="1">IF(OR(A155="",B155=""),"",LEFT(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5" t="str">
        <f>IF(AND(Formulario!G167&lt;&gt;"",Formulario!G167&lt;&gt;"",A155&lt;&gt;""),Formulario!G167,"")</f>
        <v/>
      </c>
      <c r="I155" t="str">
        <f>IF(AND(Formulario!D167&lt;&gt;"",A155&lt;&gt;""),"UY10","")</f>
        <v/>
      </c>
      <c r="J155" t="str">
        <f>IF(AND(Formulario!D167&lt;&gt;"",A155&lt;&gt;""),"0001","")</f>
        <v/>
      </c>
      <c r="K155" t="str">
        <f>IF(AND(Formulario!D167&lt;&gt;"",A155&lt;&gt;""),"1","")</f>
        <v/>
      </c>
    </row>
    <row r="156" spans="1:11" x14ac:dyDescent="0.3">
      <c r="A156" t="str">
        <f>IF(AND(Formulario!D168&lt;&gt;"",ISNUMBER(Formulario!D168)),Formulario!D168,"")</f>
        <v/>
      </c>
      <c r="B156" s="146" t="str">
        <f>IF(AND(Formulario!F168&lt;&gt;"", Formulario!F168&lt;&gt;"",A156&lt;&gt;""),Formulario!F168,"")</f>
        <v/>
      </c>
      <c r="C156" s="146" t="str">
        <f>IF(AND(Formulario!D168&lt;&gt;"", Formulario!E168&lt;&gt;"",A156&lt;&gt;""),Formulario!E168,"")</f>
        <v/>
      </c>
      <c r="D156" s="55" t="str">
        <f>IF('Cond SAP'!AA168="","",'Cond SAP'!AA168)</f>
        <v/>
      </c>
      <c r="E156" t="str">
        <f>IF(AND(Formulario!G168&lt;&gt;"",Formulario!Q168&lt;&gt;"",A156&lt;&gt;""),Formulario!Q168,"")</f>
        <v/>
      </c>
      <c r="F156" t="str" cm="1">
        <f t="array" aca="1" ref="F156" ca="1">IF(OR(A156="",B156=""),"",LEFT(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6" t="str">
        <f>IF(AND(Formulario!G168&lt;&gt;"",Formulario!G168&lt;&gt;"",A156&lt;&gt;""),Formulario!G168,"")</f>
        <v/>
      </c>
      <c r="I156" t="str">
        <f>IF(AND(Formulario!D168&lt;&gt;"",A156&lt;&gt;""),"UY10","")</f>
        <v/>
      </c>
      <c r="J156" t="str">
        <f>IF(AND(Formulario!D168&lt;&gt;"",A156&lt;&gt;""),"0001","")</f>
        <v/>
      </c>
      <c r="K156" t="str">
        <f>IF(AND(Formulario!D168&lt;&gt;"",A156&lt;&gt;""),"1","")</f>
        <v/>
      </c>
    </row>
    <row r="157" spans="1:11" x14ac:dyDescent="0.3">
      <c r="A157" t="str">
        <f>IF(AND(Formulario!D169&lt;&gt;"",ISNUMBER(Formulario!D169)),Formulario!D169,"")</f>
        <v/>
      </c>
      <c r="B157" s="146" t="str">
        <f>IF(AND(Formulario!F169&lt;&gt;"", Formulario!F169&lt;&gt;"",A157&lt;&gt;""),Formulario!F169,"")</f>
        <v/>
      </c>
      <c r="C157" s="146" t="str">
        <f>IF(AND(Formulario!D169&lt;&gt;"", Formulario!E169&lt;&gt;"",A157&lt;&gt;""),Formulario!E169,"")</f>
        <v/>
      </c>
      <c r="D157" s="55" t="str">
        <f>IF('Cond SAP'!AA169="","",'Cond SAP'!AA169)</f>
        <v/>
      </c>
      <c r="E157" t="str">
        <f>IF(AND(Formulario!G169&lt;&gt;"",Formulario!Q169&lt;&gt;"",A157&lt;&gt;""),Formulario!Q169,"")</f>
        <v/>
      </c>
      <c r="F157" t="str" cm="1">
        <f t="array" aca="1" ref="F157" ca="1">IF(OR(A157="",B157=""),"",LEFT(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7" t="str">
        <f>IF(AND(Formulario!G169&lt;&gt;"",Formulario!G169&lt;&gt;"",A157&lt;&gt;""),Formulario!G169,"")</f>
        <v/>
      </c>
      <c r="I157" t="str">
        <f>IF(AND(Formulario!D169&lt;&gt;"",A157&lt;&gt;""),"UY10","")</f>
        <v/>
      </c>
      <c r="J157" t="str">
        <f>IF(AND(Formulario!D169&lt;&gt;"",A157&lt;&gt;""),"0001","")</f>
        <v/>
      </c>
      <c r="K157" t="str">
        <f>IF(AND(Formulario!D169&lt;&gt;"",A157&lt;&gt;""),"1","")</f>
        <v/>
      </c>
    </row>
    <row r="158" spans="1:11" x14ac:dyDescent="0.3">
      <c r="A158" t="str">
        <f>IF(AND(Formulario!D170&lt;&gt;"",ISNUMBER(Formulario!D170)),Formulario!D170,"")</f>
        <v/>
      </c>
      <c r="B158" s="146" t="str">
        <f>IF(AND(Formulario!F170&lt;&gt;"", Formulario!F170&lt;&gt;"",A158&lt;&gt;""),Formulario!F170,"")</f>
        <v/>
      </c>
      <c r="C158" s="146" t="str">
        <f>IF(AND(Formulario!D170&lt;&gt;"", Formulario!E170&lt;&gt;"",A158&lt;&gt;""),Formulario!E170,"")</f>
        <v/>
      </c>
      <c r="D158" s="55" t="str">
        <f>IF('Cond SAP'!AA170="","",'Cond SAP'!AA170)</f>
        <v/>
      </c>
      <c r="E158" t="str">
        <f>IF(AND(Formulario!G170&lt;&gt;"",Formulario!Q170&lt;&gt;"",A158&lt;&gt;""),Formulario!Q170,"")</f>
        <v/>
      </c>
      <c r="F158" t="str" cm="1">
        <f t="array" aca="1" ref="F158" ca="1">IF(OR(A158="",B158=""),"",LEFT(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8" t="str">
        <f>IF(AND(Formulario!G170&lt;&gt;"",Formulario!G170&lt;&gt;"",A158&lt;&gt;""),Formulario!G170,"")</f>
        <v/>
      </c>
      <c r="I158" t="str">
        <f>IF(AND(Formulario!D170&lt;&gt;"",A158&lt;&gt;""),"UY10","")</f>
        <v/>
      </c>
      <c r="J158" t="str">
        <f>IF(AND(Formulario!D170&lt;&gt;"",A158&lt;&gt;""),"0001","")</f>
        <v/>
      </c>
      <c r="K158" t="str">
        <f>IF(AND(Formulario!D170&lt;&gt;"",A158&lt;&gt;""),"1","")</f>
        <v/>
      </c>
    </row>
    <row r="159" spans="1:11" x14ac:dyDescent="0.3">
      <c r="A159" t="str">
        <f>IF(AND(Formulario!D171&lt;&gt;"",ISNUMBER(Formulario!D171)),Formulario!D171,"")</f>
        <v/>
      </c>
      <c r="B159" s="146" t="str">
        <f>IF(AND(Formulario!F171&lt;&gt;"", Formulario!F171&lt;&gt;"",A159&lt;&gt;""),Formulario!F171,"")</f>
        <v/>
      </c>
      <c r="C159" s="146" t="str">
        <f>IF(AND(Formulario!D171&lt;&gt;"", Formulario!E171&lt;&gt;"",A159&lt;&gt;""),Formulario!E171,"")</f>
        <v/>
      </c>
      <c r="D159" s="55" t="str">
        <f>IF('Cond SAP'!AA171="","",'Cond SAP'!AA171)</f>
        <v/>
      </c>
      <c r="E159" t="str">
        <f>IF(AND(Formulario!G171&lt;&gt;"",Formulario!Q171&lt;&gt;"",A159&lt;&gt;""),Formulario!Q171,"")</f>
        <v/>
      </c>
      <c r="F159" t="str" cm="1">
        <f t="array" aca="1" ref="F159" ca="1">IF(OR(A159="",B159=""),"",LEFT(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59" t="str">
        <f>IF(AND(Formulario!G171&lt;&gt;"",Formulario!G171&lt;&gt;"",A159&lt;&gt;""),Formulario!G171,"")</f>
        <v/>
      </c>
      <c r="I159" t="str">
        <f>IF(AND(Formulario!D171&lt;&gt;"",A159&lt;&gt;""),"UY10","")</f>
        <v/>
      </c>
      <c r="J159" t="str">
        <f>IF(AND(Formulario!D171&lt;&gt;"",A159&lt;&gt;""),"0001","")</f>
        <v/>
      </c>
      <c r="K159" t="str">
        <f>IF(AND(Formulario!D171&lt;&gt;"",A159&lt;&gt;""),"1","")</f>
        <v/>
      </c>
    </row>
    <row r="160" spans="1:11" x14ac:dyDescent="0.3">
      <c r="A160" t="str">
        <f>IF(AND(Formulario!D172&lt;&gt;"",ISNUMBER(Formulario!D172)),Formulario!D172,"")</f>
        <v/>
      </c>
      <c r="B160" s="146" t="str">
        <f>IF(AND(Formulario!F172&lt;&gt;"", Formulario!F172&lt;&gt;"",A160&lt;&gt;""),Formulario!F172,"")</f>
        <v/>
      </c>
      <c r="C160" s="146" t="str">
        <f>IF(AND(Formulario!D172&lt;&gt;"", Formulario!E172&lt;&gt;"",A160&lt;&gt;""),Formulario!E172,"")</f>
        <v/>
      </c>
      <c r="D160" s="55" t="str">
        <f>IF('Cond SAP'!AA172="","",'Cond SAP'!AA172)</f>
        <v/>
      </c>
      <c r="E160" t="str">
        <f>IF(AND(Formulario!G172&lt;&gt;"",Formulario!Q172&lt;&gt;"",A160&lt;&gt;""),Formulario!Q172,"")</f>
        <v/>
      </c>
      <c r="F160" t="str" cm="1">
        <f t="array" aca="1" ref="F160" ca="1">IF(OR(A160="",B160=""),"",LEFT(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0" t="str">
        <f>IF(AND(Formulario!G172&lt;&gt;"",Formulario!G172&lt;&gt;"",A160&lt;&gt;""),Formulario!G172,"")</f>
        <v/>
      </c>
      <c r="I160" t="str">
        <f>IF(AND(Formulario!D172&lt;&gt;"",A160&lt;&gt;""),"UY10","")</f>
        <v/>
      </c>
      <c r="J160" t="str">
        <f>IF(AND(Formulario!D172&lt;&gt;"",A160&lt;&gt;""),"0001","")</f>
        <v/>
      </c>
      <c r="K160" t="str">
        <f>IF(AND(Formulario!D172&lt;&gt;"",A160&lt;&gt;""),"1","")</f>
        <v/>
      </c>
    </row>
    <row r="161" spans="1:11" x14ac:dyDescent="0.3">
      <c r="A161" t="str">
        <f>IF(AND(Formulario!D173&lt;&gt;"",ISNUMBER(Formulario!D173)),Formulario!D173,"")</f>
        <v/>
      </c>
      <c r="B161" s="146" t="str">
        <f>IF(AND(Formulario!F173&lt;&gt;"", Formulario!F173&lt;&gt;"",A161&lt;&gt;""),Formulario!F173,"")</f>
        <v/>
      </c>
      <c r="C161" s="146" t="str">
        <f>IF(AND(Formulario!D173&lt;&gt;"", Formulario!E173&lt;&gt;"",A161&lt;&gt;""),Formulario!E173,"")</f>
        <v/>
      </c>
      <c r="D161" s="55" t="str">
        <f>IF('Cond SAP'!AA173="","",'Cond SAP'!AA173)</f>
        <v/>
      </c>
      <c r="E161" t="str">
        <f>IF(AND(Formulario!G173&lt;&gt;"",Formulario!Q173&lt;&gt;"",A161&lt;&gt;""),Formulario!Q173,"")</f>
        <v/>
      </c>
      <c r="F161" t="str" cm="1">
        <f t="array" aca="1" ref="F161" ca="1">IF(OR(A161="",B161=""),"",LEFT(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1" t="str">
        <f>IF(AND(Formulario!G173&lt;&gt;"",Formulario!G173&lt;&gt;"",A161&lt;&gt;""),Formulario!G173,"")</f>
        <v/>
      </c>
      <c r="I161" t="str">
        <f>IF(AND(Formulario!D173&lt;&gt;"",A161&lt;&gt;""),"UY10","")</f>
        <v/>
      </c>
      <c r="J161" t="str">
        <f>IF(AND(Formulario!D173&lt;&gt;"",A161&lt;&gt;""),"0001","")</f>
        <v/>
      </c>
      <c r="K161" t="str">
        <f>IF(AND(Formulario!D173&lt;&gt;"",A161&lt;&gt;""),"1","")</f>
        <v/>
      </c>
    </row>
    <row r="162" spans="1:11" x14ac:dyDescent="0.3">
      <c r="A162" t="str">
        <f>IF(AND(Formulario!D174&lt;&gt;"",ISNUMBER(Formulario!D174)),Formulario!D174,"")</f>
        <v/>
      </c>
      <c r="B162" s="146" t="str">
        <f>IF(AND(Formulario!F174&lt;&gt;"", Formulario!F174&lt;&gt;"",A162&lt;&gt;""),Formulario!F174,"")</f>
        <v/>
      </c>
      <c r="C162" s="146" t="str">
        <f>IF(AND(Formulario!D174&lt;&gt;"", Formulario!E174&lt;&gt;"",A162&lt;&gt;""),Formulario!E174,"")</f>
        <v/>
      </c>
      <c r="D162" s="55" t="str">
        <f>IF('Cond SAP'!AA174="","",'Cond SAP'!AA174)</f>
        <v/>
      </c>
      <c r="E162" t="str">
        <f>IF(AND(Formulario!G174&lt;&gt;"",Formulario!Q174&lt;&gt;"",A162&lt;&gt;""),Formulario!Q174,"")</f>
        <v/>
      </c>
      <c r="F162" t="str" cm="1">
        <f t="array" aca="1" ref="F162" ca="1">IF(OR(A162="",B162=""),"",LEFT(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2" t="str">
        <f>IF(AND(Formulario!G174&lt;&gt;"",Formulario!G174&lt;&gt;"",A162&lt;&gt;""),Formulario!G174,"")</f>
        <v/>
      </c>
      <c r="I162" t="str">
        <f>IF(AND(Formulario!D174&lt;&gt;"",A162&lt;&gt;""),"UY10","")</f>
        <v/>
      </c>
      <c r="J162" t="str">
        <f>IF(AND(Formulario!D174&lt;&gt;"",A162&lt;&gt;""),"0001","")</f>
        <v/>
      </c>
      <c r="K162" t="str">
        <f>IF(AND(Formulario!D174&lt;&gt;"",A162&lt;&gt;""),"1","")</f>
        <v/>
      </c>
    </row>
    <row r="163" spans="1:11" x14ac:dyDescent="0.3">
      <c r="A163" t="str">
        <f>IF(AND(Formulario!D175&lt;&gt;"",ISNUMBER(Formulario!D175)),Formulario!D175,"")</f>
        <v/>
      </c>
      <c r="B163" s="146" t="str">
        <f>IF(AND(Formulario!F175&lt;&gt;"", Formulario!F175&lt;&gt;"",A163&lt;&gt;""),Formulario!F175,"")</f>
        <v/>
      </c>
      <c r="C163" s="146" t="str">
        <f>IF(AND(Formulario!D175&lt;&gt;"", Formulario!E175&lt;&gt;"",A163&lt;&gt;""),Formulario!E175,"")</f>
        <v/>
      </c>
      <c r="D163" s="55" t="str">
        <f>IF('Cond SAP'!AA175="","",'Cond SAP'!AA175)</f>
        <v/>
      </c>
      <c r="E163" t="str">
        <f>IF(AND(Formulario!G175&lt;&gt;"",Formulario!Q175&lt;&gt;"",A163&lt;&gt;""),Formulario!Q175,"")</f>
        <v/>
      </c>
      <c r="F163" t="str" cm="1">
        <f t="array" aca="1" ref="F163" ca="1">IF(OR(A163="",B163=""),"",LEFT(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3" t="str">
        <f>IF(AND(Formulario!G175&lt;&gt;"",Formulario!G175&lt;&gt;"",A163&lt;&gt;""),Formulario!G175,"")</f>
        <v/>
      </c>
      <c r="I163" t="str">
        <f>IF(AND(Formulario!D175&lt;&gt;"",A163&lt;&gt;""),"UY10","")</f>
        <v/>
      </c>
      <c r="J163" t="str">
        <f>IF(AND(Formulario!D175&lt;&gt;"",A163&lt;&gt;""),"0001","")</f>
        <v/>
      </c>
      <c r="K163" t="str">
        <f>IF(AND(Formulario!D175&lt;&gt;"",A163&lt;&gt;""),"1","")</f>
        <v/>
      </c>
    </row>
    <row r="164" spans="1:11" x14ac:dyDescent="0.3">
      <c r="A164" t="str">
        <f>IF(AND(Formulario!D176&lt;&gt;"",ISNUMBER(Formulario!D176)),Formulario!D176,"")</f>
        <v/>
      </c>
      <c r="B164" s="146" t="str">
        <f>IF(AND(Formulario!F176&lt;&gt;"", Formulario!F176&lt;&gt;"",A164&lt;&gt;""),Formulario!F176,"")</f>
        <v/>
      </c>
      <c r="C164" s="146" t="str">
        <f>IF(AND(Formulario!D176&lt;&gt;"", Formulario!E176&lt;&gt;"",A164&lt;&gt;""),Formulario!E176,"")</f>
        <v/>
      </c>
      <c r="D164" s="55" t="str">
        <f>IF('Cond SAP'!AA176="","",'Cond SAP'!AA176)</f>
        <v/>
      </c>
      <c r="E164" t="str">
        <f>IF(AND(Formulario!G176&lt;&gt;"",Formulario!Q176&lt;&gt;"",A164&lt;&gt;""),Formulario!Q176,"")</f>
        <v/>
      </c>
      <c r="F164" t="str" cm="1">
        <f t="array" aca="1" ref="F164" ca="1">IF(OR(A164="",B164=""),"",LEFT(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4" t="str">
        <f>IF(AND(Formulario!G176&lt;&gt;"",Formulario!G176&lt;&gt;"",A164&lt;&gt;""),Formulario!G176,"")</f>
        <v/>
      </c>
      <c r="I164" t="str">
        <f>IF(AND(Formulario!D176&lt;&gt;"",A164&lt;&gt;""),"UY10","")</f>
        <v/>
      </c>
      <c r="J164" t="str">
        <f>IF(AND(Formulario!D176&lt;&gt;"",A164&lt;&gt;""),"0001","")</f>
        <v/>
      </c>
      <c r="K164" t="str">
        <f>IF(AND(Formulario!D176&lt;&gt;"",A164&lt;&gt;""),"1","")</f>
        <v/>
      </c>
    </row>
    <row r="165" spans="1:11" x14ac:dyDescent="0.3">
      <c r="A165" t="str">
        <f>IF(AND(Formulario!D177&lt;&gt;"",ISNUMBER(Formulario!D177)),Formulario!D177,"")</f>
        <v/>
      </c>
      <c r="B165" s="146" t="str">
        <f>IF(AND(Formulario!F177&lt;&gt;"", Formulario!F177&lt;&gt;"",A165&lt;&gt;""),Formulario!F177,"")</f>
        <v/>
      </c>
      <c r="C165" s="146" t="str">
        <f>IF(AND(Formulario!D177&lt;&gt;"", Formulario!E177&lt;&gt;"",A165&lt;&gt;""),Formulario!E177,"")</f>
        <v/>
      </c>
      <c r="D165" s="55" t="str">
        <f>IF('Cond SAP'!AA177="","",'Cond SAP'!AA177)</f>
        <v/>
      </c>
      <c r="E165" t="str">
        <f>IF(AND(Formulario!G177&lt;&gt;"",Formulario!Q177&lt;&gt;"",A165&lt;&gt;""),Formulario!Q177,"")</f>
        <v/>
      </c>
      <c r="F165" t="str" cm="1">
        <f t="array" aca="1" ref="F165" ca="1">IF(OR(A165="",B165=""),"",LEFT(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5" t="str">
        <f>IF(AND(Formulario!G177&lt;&gt;"",Formulario!G177&lt;&gt;"",A165&lt;&gt;""),Formulario!G177,"")</f>
        <v/>
      </c>
      <c r="I165" t="str">
        <f>IF(AND(Formulario!D177&lt;&gt;"",A165&lt;&gt;""),"UY10","")</f>
        <v/>
      </c>
      <c r="J165" t="str">
        <f>IF(AND(Formulario!D177&lt;&gt;"",A165&lt;&gt;""),"0001","")</f>
        <v/>
      </c>
      <c r="K165" t="str">
        <f>IF(AND(Formulario!D177&lt;&gt;"",A165&lt;&gt;""),"1","")</f>
        <v/>
      </c>
    </row>
    <row r="166" spans="1:11" x14ac:dyDescent="0.3">
      <c r="A166" t="str">
        <f>IF(AND(Formulario!D178&lt;&gt;"",ISNUMBER(Formulario!D178)),Formulario!D178,"")</f>
        <v/>
      </c>
      <c r="B166" s="146" t="str">
        <f>IF(AND(Formulario!F178&lt;&gt;"", Formulario!F178&lt;&gt;"",A166&lt;&gt;""),Formulario!F178,"")</f>
        <v/>
      </c>
      <c r="C166" s="146" t="str">
        <f>IF(AND(Formulario!D178&lt;&gt;"", Formulario!E178&lt;&gt;"",A166&lt;&gt;""),Formulario!E178,"")</f>
        <v/>
      </c>
      <c r="D166" s="55" t="str">
        <f>IF('Cond SAP'!AA178="","",'Cond SAP'!AA178)</f>
        <v/>
      </c>
      <c r="E166" t="str">
        <f>IF(AND(Formulario!G178&lt;&gt;"",Formulario!Q178&lt;&gt;"",A166&lt;&gt;""),Formulario!Q178,"")</f>
        <v/>
      </c>
      <c r="F166" t="str" cm="1">
        <f t="array" aca="1" ref="F166" ca="1">IF(OR(A166="",B166=""),"",LEFT(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6" t="str">
        <f>IF(AND(Formulario!G178&lt;&gt;"",Formulario!G178&lt;&gt;"",A166&lt;&gt;""),Formulario!G178,"")</f>
        <v/>
      </c>
      <c r="I166" t="str">
        <f>IF(AND(Formulario!D178&lt;&gt;"",A166&lt;&gt;""),"UY10","")</f>
        <v/>
      </c>
      <c r="J166" t="str">
        <f>IF(AND(Formulario!D178&lt;&gt;"",A166&lt;&gt;""),"0001","")</f>
        <v/>
      </c>
      <c r="K166" t="str">
        <f>IF(AND(Formulario!D178&lt;&gt;"",A166&lt;&gt;""),"1","")</f>
        <v/>
      </c>
    </row>
    <row r="167" spans="1:11" x14ac:dyDescent="0.3">
      <c r="A167" t="str">
        <f>IF(AND(Formulario!D179&lt;&gt;"",ISNUMBER(Formulario!D179)),Formulario!D179,"")</f>
        <v/>
      </c>
      <c r="B167" s="146" t="str">
        <f>IF(AND(Formulario!F179&lt;&gt;"", Formulario!F179&lt;&gt;"",A167&lt;&gt;""),Formulario!F179,"")</f>
        <v/>
      </c>
      <c r="C167" s="146" t="str">
        <f>IF(AND(Formulario!D179&lt;&gt;"", Formulario!E179&lt;&gt;"",A167&lt;&gt;""),Formulario!E179,"")</f>
        <v/>
      </c>
      <c r="D167" s="55" t="str">
        <f>IF('Cond SAP'!AA179="","",'Cond SAP'!AA179)</f>
        <v/>
      </c>
      <c r="E167" t="str">
        <f>IF(AND(Formulario!G179&lt;&gt;"",Formulario!Q179&lt;&gt;"",A167&lt;&gt;""),Formulario!Q179,"")</f>
        <v/>
      </c>
      <c r="F167" t="str" cm="1">
        <f t="array" aca="1" ref="F167" ca="1">IF(OR(A167="",B167=""),"",LEFT(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7" t="str">
        <f>IF(AND(Formulario!G179&lt;&gt;"",Formulario!G179&lt;&gt;"",A167&lt;&gt;""),Formulario!G179,"")</f>
        <v/>
      </c>
      <c r="I167" t="str">
        <f>IF(AND(Formulario!D179&lt;&gt;"",A167&lt;&gt;""),"UY10","")</f>
        <v/>
      </c>
      <c r="J167" t="str">
        <f>IF(AND(Formulario!D179&lt;&gt;"",A167&lt;&gt;""),"0001","")</f>
        <v/>
      </c>
      <c r="K167" t="str">
        <f>IF(AND(Formulario!D179&lt;&gt;"",A167&lt;&gt;""),"1","")</f>
        <v/>
      </c>
    </row>
    <row r="168" spans="1:11" x14ac:dyDescent="0.3">
      <c r="A168" t="str">
        <f>IF(AND(Formulario!D180&lt;&gt;"",ISNUMBER(Formulario!D180)),Formulario!D180,"")</f>
        <v/>
      </c>
      <c r="B168" s="146" t="str">
        <f>IF(AND(Formulario!F180&lt;&gt;"", Formulario!F180&lt;&gt;"",A168&lt;&gt;""),Formulario!F180,"")</f>
        <v/>
      </c>
      <c r="C168" s="146" t="str">
        <f>IF(AND(Formulario!D180&lt;&gt;"", Formulario!E180&lt;&gt;"",A168&lt;&gt;""),Formulario!E180,"")</f>
        <v/>
      </c>
      <c r="D168" s="55" t="str">
        <f>IF('Cond SAP'!AA180="","",'Cond SAP'!AA180)</f>
        <v/>
      </c>
      <c r="E168" t="str">
        <f>IF(AND(Formulario!G180&lt;&gt;"",Formulario!Q180&lt;&gt;"",A168&lt;&gt;""),Formulario!Q180,"")</f>
        <v/>
      </c>
      <c r="F168" t="str" cm="1">
        <f t="array" aca="1" ref="F168" ca="1">IF(OR(A168="",B168=""),"",LEFT(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8" t="str">
        <f>IF(AND(Formulario!G180&lt;&gt;"",Formulario!G180&lt;&gt;"",A168&lt;&gt;""),Formulario!G180,"")</f>
        <v/>
      </c>
      <c r="I168" t="str">
        <f>IF(AND(Formulario!D180&lt;&gt;"",A168&lt;&gt;""),"UY10","")</f>
        <v/>
      </c>
      <c r="J168" t="str">
        <f>IF(AND(Formulario!D180&lt;&gt;"",A168&lt;&gt;""),"0001","")</f>
        <v/>
      </c>
      <c r="K168" t="str">
        <f>IF(AND(Formulario!D180&lt;&gt;"",A168&lt;&gt;""),"1","")</f>
        <v/>
      </c>
    </row>
    <row r="169" spans="1:11" x14ac:dyDescent="0.3">
      <c r="A169" t="str">
        <f>IF(AND(Formulario!D181&lt;&gt;"",ISNUMBER(Formulario!D181)),Formulario!D181,"")</f>
        <v/>
      </c>
      <c r="B169" s="146" t="str">
        <f>IF(AND(Formulario!F181&lt;&gt;"", Formulario!F181&lt;&gt;"",A169&lt;&gt;""),Formulario!F181,"")</f>
        <v/>
      </c>
      <c r="C169" s="146" t="str">
        <f>IF(AND(Formulario!D181&lt;&gt;"", Formulario!E181&lt;&gt;"",A169&lt;&gt;""),Formulario!E181,"")</f>
        <v/>
      </c>
      <c r="D169" s="55" t="str">
        <f>IF('Cond SAP'!AA181="","",'Cond SAP'!AA181)</f>
        <v/>
      </c>
      <c r="E169" t="str">
        <f>IF(AND(Formulario!G181&lt;&gt;"",Formulario!Q181&lt;&gt;"",A169&lt;&gt;""),Formulario!Q181,"")</f>
        <v/>
      </c>
      <c r="F169" t="str" cm="1">
        <f t="array" aca="1" ref="F169" ca="1">IF(OR(A169="",B169=""),"",LEFT(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69" t="str">
        <f>IF(AND(Formulario!G181&lt;&gt;"",Formulario!G181&lt;&gt;"",A169&lt;&gt;""),Formulario!G181,"")</f>
        <v/>
      </c>
      <c r="I169" t="str">
        <f>IF(AND(Formulario!D181&lt;&gt;"",A169&lt;&gt;""),"UY10","")</f>
        <v/>
      </c>
      <c r="J169" t="str">
        <f>IF(AND(Formulario!D181&lt;&gt;"",A169&lt;&gt;""),"0001","")</f>
        <v/>
      </c>
      <c r="K169" t="str">
        <f>IF(AND(Formulario!D181&lt;&gt;"",A169&lt;&gt;""),"1","")</f>
        <v/>
      </c>
    </row>
    <row r="170" spans="1:11" x14ac:dyDescent="0.3">
      <c r="A170" t="str">
        <f>IF(AND(Formulario!D182&lt;&gt;"",ISNUMBER(Formulario!D182)),Formulario!D182,"")</f>
        <v/>
      </c>
      <c r="B170" s="146" t="str">
        <f>IF(AND(Formulario!F182&lt;&gt;"", Formulario!F182&lt;&gt;"",A170&lt;&gt;""),Formulario!F182,"")</f>
        <v/>
      </c>
      <c r="C170" s="146" t="str">
        <f>IF(AND(Formulario!D182&lt;&gt;"", Formulario!E182&lt;&gt;"",A170&lt;&gt;""),Formulario!E182,"")</f>
        <v/>
      </c>
      <c r="D170" s="55" t="str">
        <f>IF('Cond SAP'!AA182="","",'Cond SAP'!AA182)</f>
        <v/>
      </c>
      <c r="E170" t="str">
        <f>IF(AND(Formulario!G182&lt;&gt;"",Formulario!Q182&lt;&gt;"",A170&lt;&gt;""),Formulario!Q182,"")</f>
        <v/>
      </c>
      <c r="F170" t="str" cm="1">
        <f t="array" aca="1" ref="F170" ca="1">IF(OR(A170="",B170=""),"",LEFT(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0" t="str">
        <f>IF(AND(Formulario!G182&lt;&gt;"",Formulario!G182&lt;&gt;"",A170&lt;&gt;""),Formulario!G182,"")</f>
        <v/>
      </c>
      <c r="I170" t="str">
        <f>IF(AND(Formulario!D182&lt;&gt;"",A170&lt;&gt;""),"UY10","")</f>
        <v/>
      </c>
      <c r="J170" t="str">
        <f>IF(AND(Formulario!D182&lt;&gt;"",A170&lt;&gt;""),"0001","")</f>
        <v/>
      </c>
      <c r="K170" t="str">
        <f>IF(AND(Formulario!D182&lt;&gt;"",A170&lt;&gt;""),"1","")</f>
        <v/>
      </c>
    </row>
    <row r="171" spans="1:11" x14ac:dyDescent="0.3">
      <c r="A171" t="str">
        <f>IF(AND(Formulario!D183&lt;&gt;"",ISNUMBER(Formulario!D183)),Formulario!D183,"")</f>
        <v/>
      </c>
      <c r="B171" s="146" t="str">
        <f>IF(AND(Formulario!F183&lt;&gt;"", Formulario!F183&lt;&gt;"",A171&lt;&gt;""),Formulario!F183,"")</f>
        <v/>
      </c>
      <c r="C171" s="146" t="str">
        <f>IF(AND(Formulario!D183&lt;&gt;"", Formulario!E183&lt;&gt;"",A171&lt;&gt;""),Formulario!E183,"")</f>
        <v/>
      </c>
      <c r="D171" s="55" t="str">
        <f>IF('Cond SAP'!AA183="","",'Cond SAP'!AA183)</f>
        <v/>
      </c>
      <c r="E171" t="str">
        <f>IF(AND(Formulario!G183&lt;&gt;"",Formulario!Q183&lt;&gt;"",A171&lt;&gt;""),Formulario!Q183,"")</f>
        <v/>
      </c>
      <c r="F171" t="str" cm="1">
        <f t="array" aca="1" ref="F171" ca="1">IF(OR(A171="",B171=""),"",LEFT(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1" t="str">
        <f>IF(AND(Formulario!G183&lt;&gt;"",Formulario!G183&lt;&gt;"",A171&lt;&gt;""),Formulario!G183,"")</f>
        <v/>
      </c>
      <c r="I171" t="str">
        <f>IF(AND(Formulario!D183&lt;&gt;"",A171&lt;&gt;""),"UY10","")</f>
        <v/>
      </c>
      <c r="J171" t="str">
        <f>IF(AND(Formulario!D183&lt;&gt;"",A171&lt;&gt;""),"0001","")</f>
        <v/>
      </c>
      <c r="K171" t="str">
        <f>IF(AND(Formulario!D183&lt;&gt;"",A171&lt;&gt;""),"1","")</f>
        <v/>
      </c>
    </row>
    <row r="172" spans="1:11" x14ac:dyDescent="0.3">
      <c r="A172" t="str">
        <f>IF(AND(Formulario!D184&lt;&gt;"",ISNUMBER(Formulario!D184)),Formulario!D184,"")</f>
        <v/>
      </c>
      <c r="B172" s="146" t="str">
        <f>IF(AND(Formulario!F184&lt;&gt;"", Formulario!F184&lt;&gt;"",A172&lt;&gt;""),Formulario!F184,"")</f>
        <v/>
      </c>
      <c r="C172" s="146" t="str">
        <f>IF(AND(Formulario!D184&lt;&gt;"", Formulario!E184&lt;&gt;"",A172&lt;&gt;""),Formulario!E184,"")</f>
        <v/>
      </c>
      <c r="D172" s="55" t="str">
        <f>IF('Cond SAP'!AA184="","",'Cond SAP'!AA184)</f>
        <v/>
      </c>
      <c r="E172" t="str">
        <f>IF(AND(Formulario!G184&lt;&gt;"",Formulario!Q184&lt;&gt;"",A172&lt;&gt;""),Formulario!Q184,"")</f>
        <v/>
      </c>
      <c r="F172" t="str" cm="1">
        <f t="array" aca="1" ref="F172" ca="1">IF(OR(A172="",B172=""),"",LEFT(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2" t="str">
        <f>IF(AND(Formulario!G184&lt;&gt;"",Formulario!G184&lt;&gt;"",A172&lt;&gt;""),Formulario!G184,"")</f>
        <v/>
      </c>
      <c r="I172" t="str">
        <f>IF(AND(Formulario!D184&lt;&gt;"",A172&lt;&gt;""),"UY10","")</f>
        <v/>
      </c>
      <c r="J172" t="str">
        <f>IF(AND(Formulario!D184&lt;&gt;"",A172&lt;&gt;""),"0001","")</f>
        <v/>
      </c>
      <c r="K172" t="str">
        <f>IF(AND(Formulario!D184&lt;&gt;"",A172&lt;&gt;""),"1","")</f>
        <v/>
      </c>
    </row>
    <row r="173" spans="1:11" x14ac:dyDescent="0.3">
      <c r="A173" t="str">
        <f>IF(AND(Formulario!D185&lt;&gt;"",ISNUMBER(Formulario!D185)),Formulario!D185,"")</f>
        <v/>
      </c>
      <c r="B173" s="146" t="str">
        <f>IF(AND(Formulario!F185&lt;&gt;"", Formulario!F185&lt;&gt;"",A173&lt;&gt;""),Formulario!F185,"")</f>
        <v/>
      </c>
      <c r="C173" s="146" t="str">
        <f>IF(AND(Formulario!D185&lt;&gt;"", Formulario!E185&lt;&gt;"",A173&lt;&gt;""),Formulario!E185,"")</f>
        <v/>
      </c>
      <c r="D173" s="55" t="str">
        <f>IF('Cond SAP'!AA185="","",'Cond SAP'!AA185)</f>
        <v/>
      </c>
      <c r="E173" t="str">
        <f>IF(AND(Formulario!G185&lt;&gt;"",Formulario!Q185&lt;&gt;"",A173&lt;&gt;""),Formulario!Q185,"")</f>
        <v/>
      </c>
      <c r="F173" t="str" cm="1">
        <f t="array" aca="1" ref="F173" ca="1">IF(OR(A173="",B173=""),"",LEFT(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3" t="str">
        <f>IF(AND(Formulario!G185&lt;&gt;"",Formulario!G185&lt;&gt;"",A173&lt;&gt;""),Formulario!G185,"")</f>
        <v/>
      </c>
      <c r="I173" t="str">
        <f>IF(AND(Formulario!D185&lt;&gt;"",A173&lt;&gt;""),"UY10","")</f>
        <v/>
      </c>
      <c r="J173" t="str">
        <f>IF(AND(Formulario!D185&lt;&gt;"",A173&lt;&gt;""),"0001","")</f>
        <v/>
      </c>
      <c r="K173" t="str">
        <f>IF(AND(Formulario!D185&lt;&gt;"",A173&lt;&gt;""),"1","")</f>
        <v/>
      </c>
    </row>
    <row r="174" spans="1:11" x14ac:dyDescent="0.3">
      <c r="A174" t="str">
        <f>IF(AND(Formulario!D186&lt;&gt;"",ISNUMBER(Formulario!D186)),Formulario!D186,"")</f>
        <v/>
      </c>
      <c r="B174" s="146" t="str">
        <f>IF(AND(Formulario!F186&lt;&gt;"", Formulario!F186&lt;&gt;"",A174&lt;&gt;""),Formulario!F186,"")</f>
        <v/>
      </c>
      <c r="C174" s="146" t="str">
        <f>IF(AND(Formulario!D186&lt;&gt;"", Formulario!E186&lt;&gt;"",A174&lt;&gt;""),Formulario!E186,"")</f>
        <v/>
      </c>
      <c r="D174" s="55" t="str">
        <f>IF('Cond SAP'!AA186="","",'Cond SAP'!AA186)</f>
        <v/>
      </c>
      <c r="E174" t="str">
        <f>IF(AND(Formulario!G186&lt;&gt;"",Formulario!Q186&lt;&gt;"",A174&lt;&gt;""),Formulario!Q186,"")</f>
        <v/>
      </c>
      <c r="F174" t="str" cm="1">
        <f t="array" aca="1" ref="F174" ca="1">IF(OR(A174="",B174=""),"",LEFT(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4" t="str">
        <f>IF(AND(Formulario!G186&lt;&gt;"",Formulario!G186&lt;&gt;"",A174&lt;&gt;""),Formulario!G186,"")</f>
        <v/>
      </c>
      <c r="I174" t="str">
        <f>IF(AND(Formulario!D186&lt;&gt;"",A174&lt;&gt;""),"UY10","")</f>
        <v/>
      </c>
      <c r="J174" t="str">
        <f>IF(AND(Formulario!D186&lt;&gt;"",A174&lt;&gt;""),"0001","")</f>
        <v/>
      </c>
      <c r="K174" t="str">
        <f>IF(AND(Formulario!D186&lt;&gt;"",A174&lt;&gt;""),"1","")</f>
        <v/>
      </c>
    </row>
    <row r="175" spans="1:11" x14ac:dyDescent="0.3">
      <c r="A175" t="str">
        <f>IF(AND(Formulario!D187&lt;&gt;"",ISNUMBER(Formulario!D187)),Formulario!D187,"")</f>
        <v/>
      </c>
      <c r="B175" s="146" t="str">
        <f>IF(AND(Formulario!F187&lt;&gt;"", Formulario!F187&lt;&gt;"",A175&lt;&gt;""),Formulario!F187,"")</f>
        <v/>
      </c>
      <c r="C175" s="146" t="str">
        <f>IF(AND(Formulario!D187&lt;&gt;"", Formulario!E187&lt;&gt;"",A175&lt;&gt;""),Formulario!E187,"")</f>
        <v/>
      </c>
      <c r="D175" s="55" t="str">
        <f>IF('Cond SAP'!AA187="","",'Cond SAP'!AA187)</f>
        <v/>
      </c>
      <c r="E175" t="str">
        <f>IF(AND(Formulario!G187&lt;&gt;"",Formulario!Q187&lt;&gt;"",A175&lt;&gt;""),Formulario!Q187,"")</f>
        <v/>
      </c>
      <c r="F175" t="str" cm="1">
        <f t="array" aca="1" ref="F175" ca="1">IF(OR(A175="",B175=""),"",LEFT(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5" t="str">
        <f>IF(AND(Formulario!G187&lt;&gt;"",Formulario!G187&lt;&gt;"",A175&lt;&gt;""),Formulario!G187,"")</f>
        <v/>
      </c>
      <c r="I175" t="str">
        <f>IF(AND(Formulario!D187&lt;&gt;"",A175&lt;&gt;""),"UY10","")</f>
        <v/>
      </c>
      <c r="J175" t="str">
        <f>IF(AND(Formulario!D187&lt;&gt;"",A175&lt;&gt;""),"0001","")</f>
        <v/>
      </c>
      <c r="K175" t="str">
        <f>IF(AND(Formulario!D187&lt;&gt;"",A175&lt;&gt;""),"1","")</f>
        <v/>
      </c>
    </row>
    <row r="176" spans="1:11" x14ac:dyDescent="0.3">
      <c r="A176" t="str">
        <f>IF(AND(Formulario!D188&lt;&gt;"",ISNUMBER(Formulario!D188)),Formulario!D188,"")</f>
        <v/>
      </c>
      <c r="B176" s="146" t="str">
        <f>IF(AND(Formulario!F188&lt;&gt;"", Formulario!F188&lt;&gt;"",A176&lt;&gt;""),Formulario!F188,"")</f>
        <v/>
      </c>
      <c r="C176" s="146" t="str">
        <f>IF(AND(Formulario!D188&lt;&gt;"", Formulario!E188&lt;&gt;"",A176&lt;&gt;""),Formulario!E188,"")</f>
        <v/>
      </c>
      <c r="D176" s="55" t="str">
        <f>IF('Cond SAP'!AA188="","",'Cond SAP'!AA188)</f>
        <v/>
      </c>
      <c r="E176" t="str">
        <f>IF(AND(Formulario!G188&lt;&gt;"",Formulario!Q188&lt;&gt;"",A176&lt;&gt;""),Formulario!Q188,"")</f>
        <v/>
      </c>
      <c r="F176" t="str" cm="1">
        <f t="array" aca="1" ref="F176" ca="1">IF(OR(A176="",B176=""),"",LEFT(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6" t="str">
        <f>IF(AND(Formulario!G188&lt;&gt;"",Formulario!G188&lt;&gt;"",A176&lt;&gt;""),Formulario!G188,"")</f>
        <v/>
      </c>
      <c r="I176" t="str">
        <f>IF(AND(Formulario!D188&lt;&gt;"",A176&lt;&gt;""),"UY10","")</f>
        <v/>
      </c>
      <c r="J176" t="str">
        <f>IF(AND(Formulario!D188&lt;&gt;"",A176&lt;&gt;""),"0001","")</f>
        <v/>
      </c>
      <c r="K176" t="str">
        <f>IF(AND(Formulario!D188&lt;&gt;"",A176&lt;&gt;""),"1","")</f>
        <v/>
      </c>
    </row>
    <row r="177" spans="1:11" x14ac:dyDescent="0.3">
      <c r="A177" t="str">
        <f>IF(AND(Formulario!D189&lt;&gt;"",ISNUMBER(Formulario!D189)),Formulario!D189,"")</f>
        <v/>
      </c>
      <c r="B177" s="146" t="str">
        <f>IF(AND(Formulario!F189&lt;&gt;"", Formulario!F189&lt;&gt;"",A177&lt;&gt;""),Formulario!F189,"")</f>
        <v/>
      </c>
      <c r="C177" s="146" t="str">
        <f>IF(AND(Formulario!D189&lt;&gt;"", Formulario!E189&lt;&gt;"",A177&lt;&gt;""),Formulario!E189,"")</f>
        <v/>
      </c>
      <c r="D177" s="55" t="str">
        <f>IF('Cond SAP'!AA189="","",'Cond SAP'!AA189)</f>
        <v/>
      </c>
      <c r="E177" t="str">
        <f>IF(AND(Formulario!G189&lt;&gt;"",Formulario!Q189&lt;&gt;"",A177&lt;&gt;""),Formulario!Q189,"")</f>
        <v/>
      </c>
      <c r="F177" t="str" cm="1">
        <f t="array" aca="1" ref="F177" ca="1">IF(OR(A177="",B177=""),"",LEFT(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7" t="str">
        <f>IF(AND(Formulario!G189&lt;&gt;"",Formulario!G189&lt;&gt;"",A177&lt;&gt;""),Formulario!G189,"")</f>
        <v/>
      </c>
      <c r="I177" t="str">
        <f>IF(AND(Formulario!D189&lt;&gt;"",A177&lt;&gt;""),"UY10","")</f>
        <v/>
      </c>
      <c r="J177" t="str">
        <f>IF(AND(Formulario!D189&lt;&gt;"",A177&lt;&gt;""),"0001","")</f>
        <v/>
      </c>
      <c r="K177" t="str">
        <f>IF(AND(Formulario!D189&lt;&gt;"",A177&lt;&gt;""),"1","")</f>
        <v/>
      </c>
    </row>
    <row r="178" spans="1:11" x14ac:dyDescent="0.3">
      <c r="A178" t="str">
        <f>IF(AND(Formulario!D190&lt;&gt;"",ISNUMBER(Formulario!D190)),Formulario!D190,"")</f>
        <v/>
      </c>
      <c r="B178" s="146" t="str">
        <f>IF(AND(Formulario!F190&lt;&gt;"", Formulario!F190&lt;&gt;"",A178&lt;&gt;""),Formulario!F190,"")</f>
        <v/>
      </c>
      <c r="C178" s="146" t="str">
        <f>IF(AND(Formulario!D190&lt;&gt;"", Formulario!E190&lt;&gt;"",A178&lt;&gt;""),Formulario!E190,"")</f>
        <v/>
      </c>
      <c r="D178" s="55" t="str">
        <f>IF('Cond SAP'!AA190="","",'Cond SAP'!AA190)</f>
        <v/>
      </c>
      <c r="E178" t="str">
        <f>IF(AND(Formulario!G190&lt;&gt;"",Formulario!Q190&lt;&gt;"",A178&lt;&gt;""),Formulario!Q190,"")</f>
        <v/>
      </c>
      <c r="F178" t="str" cm="1">
        <f t="array" aca="1" ref="F178" ca="1">IF(OR(A178="",B178=""),"",LEFT(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8" t="str">
        <f>IF(AND(Formulario!G190&lt;&gt;"",Formulario!G190&lt;&gt;"",A178&lt;&gt;""),Formulario!G190,"")</f>
        <v/>
      </c>
      <c r="I178" t="str">
        <f>IF(AND(Formulario!D190&lt;&gt;"",A178&lt;&gt;""),"UY10","")</f>
        <v/>
      </c>
      <c r="J178" t="str">
        <f>IF(AND(Formulario!D190&lt;&gt;"",A178&lt;&gt;""),"0001","")</f>
        <v/>
      </c>
      <c r="K178" t="str">
        <f>IF(AND(Formulario!D190&lt;&gt;"",A178&lt;&gt;""),"1","")</f>
        <v/>
      </c>
    </row>
    <row r="179" spans="1:11" x14ac:dyDescent="0.3">
      <c r="A179" t="str">
        <f>IF(AND(Formulario!D191&lt;&gt;"",ISNUMBER(Formulario!D191)),Formulario!D191,"")</f>
        <v/>
      </c>
      <c r="B179" s="146" t="str">
        <f>IF(AND(Formulario!F191&lt;&gt;"", Formulario!F191&lt;&gt;"",A179&lt;&gt;""),Formulario!F191,"")</f>
        <v/>
      </c>
      <c r="C179" s="146" t="str">
        <f>IF(AND(Formulario!D191&lt;&gt;"", Formulario!E191&lt;&gt;"",A179&lt;&gt;""),Formulario!E191,"")</f>
        <v/>
      </c>
      <c r="D179" s="55" t="str">
        <f>IF('Cond SAP'!AA191="","",'Cond SAP'!AA191)</f>
        <v/>
      </c>
      <c r="E179" t="str">
        <f>IF(AND(Formulario!G191&lt;&gt;"",Formulario!Q191&lt;&gt;"",A179&lt;&gt;""),Formulario!Q191,"")</f>
        <v/>
      </c>
      <c r="F179" t="str" cm="1">
        <f t="array" aca="1" ref="F179" ca="1">IF(OR(A179="",B179=""),"",LEFT(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79" t="str">
        <f>IF(AND(Formulario!G191&lt;&gt;"",Formulario!G191&lt;&gt;"",A179&lt;&gt;""),Formulario!G191,"")</f>
        <v/>
      </c>
      <c r="I179" t="str">
        <f>IF(AND(Formulario!D191&lt;&gt;"",A179&lt;&gt;""),"UY10","")</f>
        <v/>
      </c>
      <c r="J179" t="str">
        <f>IF(AND(Formulario!D191&lt;&gt;"",A179&lt;&gt;""),"0001","")</f>
        <v/>
      </c>
      <c r="K179" t="str">
        <f>IF(AND(Formulario!D191&lt;&gt;"",A179&lt;&gt;""),"1","")</f>
        <v/>
      </c>
    </row>
    <row r="180" spans="1:11" x14ac:dyDescent="0.3">
      <c r="A180" t="str">
        <f>IF(AND(Formulario!D192&lt;&gt;"",ISNUMBER(Formulario!D192)),Formulario!D192,"")</f>
        <v/>
      </c>
      <c r="B180" s="146" t="str">
        <f>IF(AND(Formulario!F192&lt;&gt;"", Formulario!F192&lt;&gt;"",A180&lt;&gt;""),Formulario!F192,"")</f>
        <v/>
      </c>
      <c r="C180" s="146" t="str">
        <f>IF(AND(Formulario!D192&lt;&gt;"", Formulario!E192&lt;&gt;"",A180&lt;&gt;""),Formulario!E192,"")</f>
        <v/>
      </c>
      <c r="D180" s="55" t="str">
        <f>IF('Cond SAP'!AA192="","",'Cond SAP'!AA192)</f>
        <v/>
      </c>
      <c r="E180" t="str">
        <f>IF(AND(Formulario!G192&lt;&gt;"",Formulario!Q192&lt;&gt;"",A180&lt;&gt;""),Formulario!Q192,"")</f>
        <v/>
      </c>
      <c r="F180" t="str" cm="1">
        <f t="array" aca="1" ref="F180" ca="1">IF(OR(A180="",B180=""),"",LEFT(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0" t="str">
        <f>IF(AND(Formulario!G192&lt;&gt;"",Formulario!G192&lt;&gt;"",A180&lt;&gt;""),Formulario!G192,"")</f>
        <v/>
      </c>
      <c r="I180" t="str">
        <f>IF(AND(Formulario!D192&lt;&gt;"",A180&lt;&gt;""),"UY10","")</f>
        <v/>
      </c>
      <c r="J180" t="str">
        <f>IF(AND(Formulario!D192&lt;&gt;"",A180&lt;&gt;""),"0001","")</f>
        <v/>
      </c>
      <c r="K180" t="str">
        <f>IF(AND(Formulario!D192&lt;&gt;"",A180&lt;&gt;""),"1","")</f>
        <v/>
      </c>
    </row>
    <row r="181" spans="1:11" x14ac:dyDescent="0.3">
      <c r="A181" t="str">
        <f>IF(AND(Formulario!D193&lt;&gt;"",ISNUMBER(Formulario!D193)),Formulario!D193,"")</f>
        <v/>
      </c>
      <c r="B181" s="146" t="str">
        <f>IF(AND(Formulario!F193&lt;&gt;"", Formulario!F193&lt;&gt;"",A181&lt;&gt;""),Formulario!F193,"")</f>
        <v/>
      </c>
      <c r="C181" s="146" t="str">
        <f>IF(AND(Formulario!D193&lt;&gt;"", Formulario!E193&lt;&gt;"",A181&lt;&gt;""),Formulario!E193,"")</f>
        <v/>
      </c>
      <c r="D181" s="55" t="str">
        <f>IF('Cond SAP'!AA193="","",'Cond SAP'!AA193)</f>
        <v/>
      </c>
      <c r="E181" t="str">
        <f>IF(AND(Formulario!G193&lt;&gt;"",Formulario!Q193&lt;&gt;"",A181&lt;&gt;""),Formulario!Q193,"")</f>
        <v/>
      </c>
      <c r="F181" t="str" cm="1">
        <f t="array" aca="1" ref="F181" ca="1">IF(OR(A181="",B181=""),"",LEFT(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1" t="str">
        <f>IF(AND(Formulario!G193&lt;&gt;"",Formulario!G193&lt;&gt;"",A181&lt;&gt;""),Formulario!G193,"")</f>
        <v/>
      </c>
      <c r="I181" t="str">
        <f>IF(AND(Formulario!D193&lt;&gt;"",A181&lt;&gt;""),"UY10","")</f>
        <v/>
      </c>
      <c r="J181" t="str">
        <f>IF(AND(Formulario!D193&lt;&gt;"",A181&lt;&gt;""),"0001","")</f>
        <v/>
      </c>
      <c r="K181" t="str">
        <f>IF(AND(Formulario!D193&lt;&gt;"",A181&lt;&gt;""),"1","")</f>
        <v/>
      </c>
    </row>
    <row r="182" spans="1:11" x14ac:dyDescent="0.3">
      <c r="A182" t="str">
        <f>IF(AND(Formulario!D194&lt;&gt;"",ISNUMBER(Formulario!D194)),Formulario!D194,"")</f>
        <v/>
      </c>
      <c r="B182" s="146" t="str">
        <f>IF(AND(Formulario!F194&lt;&gt;"", Formulario!F194&lt;&gt;"",A182&lt;&gt;""),Formulario!F194,"")</f>
        <v/>
      </c>
      <c r="C182" s="146" t="str">
        <f>IF(AND(Formulario!D194&lt;&gt;"", Formulario!E194&lt;&gt;"",A182&lt;&gt;""),Formulario!E194,"")</f>
        <v/>
      </c>
      <c r="D182" s="55" t="str">
        <f>IF('Cond SAP'!AA194="","",'Cond SAP'!AA194)</f>
        <v/>
      </c>
      <c r="E182" t="str">
        <f>IF(AND(Formulario!G194&lt;&gt;"",Formulario!Q194&lt;&gt;"",A182&lt;&gt;""),Formulario!Q194,"")</f>
        <v/>
      </c>
      <c r="F182" t="str" cm="1">
        <f t="array" aca="1" ref="F182" ca="1">IF(OR(A182="",B182=""),"",LEFT(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2" t="str">
        <f>IF(AND(Formulario!G194&lt;&gt;"",Formulario!G194&lt;&gt;"",A182&lt;&gt;""),Formulario!G194,"")</f>
        <v/>
      </c>
      <c r="I182" t="str">
        <f>IF(AND(Formulario!D194&lt;&gt;"",A182&lt;&gt;""),"UY10","")</f>
        <v/>
      </c>
      <c r="J182" t="str">
        <f>IF(AND(Formulario!D194&lt;&gt;"",A182&lt;&gt;""),"0001","")</f>
        <v/>
      </c>
      <c r="K182" t="str">
        <f>IF(AND(Formulario!D194&lt;&gt;"",A182&lt;&gt;""),"1","")</f>
        <v/>
      </c>
    </row>
    <row r="183" spans="1:11" x14ac:dyDescent="0.3">
      <c r="A183" t="str">
        <f>IF(AND(Formulario!D195&lt;&gt;"",ISNUMBER(Formulario!D195)),Formulario!D195,"")</f>
        <v/>
      </c>
      <c r="B183" s="146" t="str">
        <f>IF(AND(Formulario!F195&lt;&gt;"", Formulario!F195&lt;&gt;"",A183&lt;&gt;""),Formulario!F195,"")</f>
        <v/>
      </c>
      <c r="C183" s="146" t="str">
        <f>IF(AND(Formulario!D195&lt;&gt;"", Formulario!E195&lt;&gt;"",A183&lt;&gt;""),Formulario!E195,"")</f>
        <v/>
      </c>
      <c r="D183" s="55" t="str">
        <f>IF('Cond SAP'!AA195="","",'Cond SAP'!AA195)</f>
        <v/>
      </c>
      <c r="E183" t="str">
        <f>IF(AND(Formulario!G195&lt;&gt;"",Formulario!Q195&lt;&gt;"",A183&lt;&gt;""),Formulario!Q195,"")</f>
        <v/>
      </c>
      <c r="F183" t="str" cm="1">
        <f t="array" aca="1" ref="F183" ca="1">IF(OR(A183="",B183=""),"",LEFT(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3" t="str">
        <f>IF(AND(Formulario!G195&lt;&gt;"",Formulario!G195&lt;&gt;"",A183&lt;&gt;""),Formulario!G195,"")</f>
        <v/>
      </c>
      <c r="I183" t="str">
        <f>IF(AND(Formulario!D195&lt;&gt;"",A183&lt;&gt;""),"UY10","")</f>
        <v/>
      </c>
      <c r="J183" t="str">
        <f>IF(AND(Formulario!D195&lt;&gt;"",A183&lt;&gt;""),"0001","")</f>
        <v/>
      </c>
      <c r="K183" t="str">
        <f>IF(AND(Formulario!D195&lt;&gt;"",A183&lt;&gt;""),"1","")</f>
        <v/>
      </c>
    </row>
    <row r="184" spans="1:11" x14ac:dyDescent="0.3">
      <c r="A184" t="str">
        <f>IF(AND(Formulario!D196&lt;&gt;"",ISNUMBER(Formulario!D196)),Formulario!D196,"")</f>
        <v/>
      </c>
      <c r="B184" s="146" t="str">
        <f>IF(AND(Formulario!F196&lt;&gt;"", Formulario!F196&lt;&gt;"",A184&lt;&gt;""),Formulario!F196,"")</f>
        <v/>
      </c>
      <c r="C184" s="146" t="str">
        <f>IF(AND(Formulario!D196&lt;&gt;"", Formulario!E196&lt;&gt;"",A184&lt;&gt;""),Formulario!E196,"")</f>
        <v/>
      </c>
      <c r="D184" s="55" t="str">
        <f>IF('Cond SAP'!AA196="","",'Cond SAP'!AA196)</f>
        <v/>
      </c>
      <c r="E184" t="str">
        <f>IF(AND(Formulario!G196&lt;&gt;"",Formulario!Q196&lt;&gt;"",A184&lt;&gt;""),Formulario!Q196,"")</f>
        <v/>
      </c>
      <c r="F184" t="str" cm="1">
        <f t="array" aca="1" ref="F184" ca="1">IF(OR(A184="",B184=""),"",LEFT(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4" t="str">
        <f>IF(AND(Formulario!G196&lt;&gt;"",Formulario!G196&lt;&gt;"",A184&lt;&gt;""),Formulario!G196,"")</f>
        <v/>
      </c>
      <c r="I184" t="str">
        <f>IF(AND(Formulario!D196&lt;&gt;"",A184&lt;&gt;""),"UY10","")</f>
        <v/>
      </c>
      <c r="J184" t="str">
        <f>IF(AND(Formulario!D196&lt;&gt;"",A184&lt;&gt;""),"0001","")</f>
        <v/>
      </c>
      <c r="K184" t="str">
        <f>IF(AND(Formulario!D196&lt;&gt;"",A184&lt;&gt;""),"1","")</f>
        <v/>
      </c>
    </row>
    <row r="185" spans="1:11" x14ac:dyDescent="0.3">
      <c r="A185" t="str">
        <f>IF(AND(Formulario!D197&lt;&gt;"",ISNUMBER(Formulario!D197)),Formulario!D197,"")</f>
        <v/>
      </c>
      <c r="B185" s="146" t="str">
        <f>IF(AND(Formulario!F197&lt;&gt;"", Formulario!F197&lt;&gt;"",A185&lt;&gt;""),Formulario!F197,"")</f>
        <v/>
      </c>
      <c r="C185" s="146" t="str">
        <f>IF(AND(Formulario!D197&lt;&gt;"", Formulario!E197&lt;&gt;"",A185&lt;&gt;""),Formulario!E197,"")</f>
        <v/>
      </c>
      <c r="D185" s="55" t="str">
        <f>IF('Cond SAP'!AA197="","",'Cond SAP'!AA197)</f>
        <v/>
      </c>
      <c r="E185" t="str">
        <f>IF(AND(Formulario!G197&lt;&gt;"",Formulario!Q197&lt;&gt;"",A185&lt;&gt;""),Formulario!Q197,"")</f>
        <v/>
      </c>
      <c r="F185" t="str" cm="1">
        <f t="array" aca="1" ref="F185" ca="1">IF(OR(A185="",B185=""),"",LEFT(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5" t="str">
        <f>IF(AND(Formulario!G197&lt;&gt;"",Formulario!G197&lt;&gt;"",A185&lt;&gt;""),Formulario!G197,"")</f>
        <v/>
      </c>
      <c r="I185" t="str">
        <f>IF(AND(Formulario!D197&lt;&gt;"",A185&lt;&gt;""),"UY10","")</f>
        <v/>
      </c>
      <c r="J185" t="str">
        <f>IF(AND(Formulario!D197&lt;&gt;"",A185&lt;&gt;""),"0001","")</f>
        <v/>
      </c>
      <c r="K185" t="str">
        <f>IF(AND(Formulario!D197&lt;&gt;"",A185&lt;&gt;""),"1","")</f>
        <v/>
      </c>
    </row>
    <row r="186" spans="1:11" x14ac:dyDescent="0.3">
      <c r="A186" t="str">
        <f>IF(AND(Formulario!D198&lt;&gt;"",ISNUMBER(Formulario!D198)),Formulario!D198,"")</f>
        <v/>
      </c>
      <c r="B186" s="146" t="str">
        <f>IF(AND(Formulario!F198&lt;&gt;"", Formulario!F198&lt;&gt;"",A186&lt;&gt;""),Formulario!F198,"")</f>
        <v/>
      </c>
      <c r="C186" s="146" t="str">
        <f>IF(AND(Formulario!D198&lt;&gt;"", Formulario!E198&lt;&gt;"",A186&lt;&gt;""),Formulario!E198,"")</f>
        <v/>
      </c>
      <c r="D186" s="55" t="str">
        <f>IF('Cond SAP'!AA198="","",'Cond SAP'!AA198)</f>
        <v/>
      </c>
      <c r="E186" t="str">
        <f>IF(AND(Formulario!G198&lt;&gt;"",Formulario!Q198&lt;&gt;"",A186&lt;&gt;""),Formulario!Q198,"")</f>
        <v/>
      </c>
      <c r="F186" t="str" cm="1">
        <f t="array" aca="1" ref="F186" ca="1">IF(OR(A186="",B186=""),"",LEFT(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6" t="str">
        <f>IF(AND(Formulario!G198&lt;&gt;"",Formulario!G198&lt;&gt;"",A186&lt;&gt;""),Formulario!G198,"")</f>
        <v/>
      </c>
      <c r="I186" t="str">
        <f>IF(AND(Formulario!D198&lt;&gt;"",A186&lt;&gt;""),"UY10","")</f>
        <v/>
      </c>
      <c r="J186" t="str">
        <f>IF(AND(Formulario!D198&lt;&gt;"",A186&lt;&gt;""),"0001","")</f>
        <v/>
      </c>
      <c r="K186" t="str">
        <f>IF(AND(Formulario!D198&lt;&gt;"",A186&lt;&gt;""),"1","")</f>
        <v/>
      </c>
    </row>
    <row r="187" spans="1:11" x14ac:dyDescent="0.3">
      <c r="A187" t="str">
        <f>IF(AND(Formulario!D199&lt;&gt;"",ISNUMBER(Formulario!D199)),Formulario!D199,"")</f>
        <v/>
      </c>
      <c r="B187" s="146" t="str">
        <f>IF(AND(Formulario!F199&lt;&gt;"", Formulario!F199&lt;&gt;"",A187&lt;&gt;""),Formulario!F199,"")</f>
        <v/>
      </c>
      <c r="C187" s="146" t="str">
        <f>IF(AND(Formulario!D199&lt;&gt;"", Formulario!E199&lt;&gt;"",A187&lt;&gt;""),Formulario!E199,"")</f>
        <v/>
      </c>
      <c r="D187" s="55" t="str">
        <f>IF('Cond SAP'!AA199="","",'Cond SAP'!AA199)</f>
        <v/>
      </c>
      <c r="E187" t="str">
        <f>IF(AND(Formulario!G199&lt;&gt;"",Formulario!Q199&lt;&gt;"",A187&lt;&gt;""),Formulario!Q199,"")</f>
        <v/>
      </c>
      <c r="F187" t="str" cm="1">
        <f t="array" aca="1" ref="F187" ca="1">IF(OR(A187="",B187=""),"",LEFT(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7" t="str">
        <f>IF(AND(Formulario!G199&lt;&gt;"",Formulario!G199&lt;&gt;"",A187&lt;&gt;""),Formulario!G199,"")</f>
        <v/>
      </c>
      <c r="I187" t="str">
        <f>IF(AND(Formulario!D199&lt;&gt;"",A187&lt;&gt;""),"UY10","")</f>
        <v/>
      </c>
      <c r="J187" t="str">
        <f>IF(AND(Formulario!D199&lt;&gt;"",A187&lt;&gt;""),"0001","")</f>
        <v/>
      </c>
      <c r="K187" t="str">
        <f>IF(AND(Formulario!D199&lt;&gt;"",A187&lt;&gt;""),"1","")</f>
        <v/>
      </c>
    </row>
    <row r="188" spans="1:11" x14ac:dyDescent="0.3">
      <c r="A188" t="str">
        <f>IF(AND(Formulario!D200&lt;&gt;"",ISNUMBER(Formulario!D200)),Formulario!D200,"")</f>
        <v/>
      </c>
      <c r="B188" s="146" t="str">
        <f>IF(AND(Formulario!F200&lt;&gt;"", Formulario!F200&lt;&gt;"",A188&lt;&gt;""),Formulario!F200,"")</f>
        <v/>
      </c>
      <c r="C188" s="146" t="str">
        <f>IF(AND(Formulario!D200&lt;&gt;"", Formulario!E200&lt;&gt;"",A188&lt;&gt;""),Formulario!E200,"")</f>
        <v/>
      </c>
      <c r="D188" s="55" t="str">
        <f>IF('Cond SAP'!AA200="","",'Cond SAP'!AA200)</f>
        <v/>
      </c>
      <c r="E188" t="str">
        <f>IF(AND(Formulario!G200&lt;&gt;"",Formulario!Q200&lt;&gt;"",A188&lt;&gt;""),Formulario!Q200,"")</f>
        <v/>
      </c>
      <c r="F188" t="str" cm="1">
        <f t="array" aca="1" ref="F188" ca="1">IF(OR(A188="",B188=""),"",LEFT(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8" t="str">
        <f>IF(AND(Formulario!G200&lt;&gt;"",Formulario!G200&lt;&gt;"",A188&lt;&gt;""),Formulario!G200,"")</f>
        <v/>
      </c>
      <c r="I188" t="str">
        <f>IF(AND(Formulario!D200&lt;&gt;"",A188&lt;&gt;""),"UY10","")</f>
        <v/>
      </c>
      <c r="J188" t="str">
        <f>IF(AND(Formulario!D200&lt;&gt;"",A188&lt;&gt;""),"0001","")</f>
        <v/>
      </c>
      <c r="K188" t="str">
        <f>IF(AND(Formulario!D200&lt;&gt;"",A188&lt;&gt;""),"1","")</f>
        <v/>
      </c>
    </row>
    <row r="189" spans="1:11" x14ac:dyDescent="0.3">
      <c r="A189" t="str">
        <f>IF(AND(Formulario!D201&lt;&gt;"",ISNUMBER(Formulario!D201)),Formulario!D201,"")</f>
        <v/>
      </c>
      <c r="B189" s="146" t="str">
        <f>IF(AND(Formulario!F201&lt;&gt;"", Formulario!F201&lt;&gt;"",A189&lt;&gt;""),Formulario!F201,"")</f>
        <v/>
      </c>
      <c r="C189" s="146" t="str">
        <f>IF(AND(Formulario!D201&lt;&gt;"", Formulario!E201&lt;&gt;"",A189&lt;&gt;""),Formulario!E201,"")</f>
        <v/>
      </c>
      <c r="D189" s="55" t="str">
        <f>IF('Cond SAP'!AA201="","",'Cond SAP'!AA201)</f>
        <v/>
      </c>
      <c r="E189" t="str">
        <f>IF(AND(Formulario!G201&lt;&gt;"",Formulario!Q201&lt;&gt;"",A189&lt;&gt;""),Formulario!Q201,"")</f>
        <v/>
      </c>
      <c r="F189" t="str" cm="1">
        <f t="array" aca="1" ref="F189" ca="1">IF(OR(A189="",B189=""),"",LEFT(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89" t="str">
        <f>IF(AND(Formulario!G201&lt;&gt;"",Formulario!G201&lt;&gt;"",A189&lt;&gt;""),Formulario!G201,"")</f>
        <v/>
      </c>
      <c r="I189" t="str">
        <f>IF(AND(Formulario!D201&lt;&gt;"",A189&lt;&gt;""),"UY10","")</f>
        <v/>
      </c>
      <c r="J189" t="str">
        <f>IF(AND(Formulario!D201&lt;&gt;"",A189&lt;&gt;""),"0001","")</f>
        <v/>
      </c>
      <c r="K189" t="str">
        <f>IF(AND(Formulario!D201&lt;&gt;"",A189&lt;&gt;""),"1","")</f>
        <v/>
      </c>
    </row>
    <row r="190" spans="1:11" x14ac:dyDescent="0.3">
      <c r="A190" t="str">
        <f>IF(AND(Formulario!D202&lt;&gt;"",ISNUMBER(Formulario!D202)),Formulario!D202,"")</f>
        <v/>
      </c>
      <c r="B190" s="146" t="str">
        <f>IF(AND(Formulario!F202&lt;&gt;"", Formulario!F202&lt;&gt;"",A190&lt;&gt;""),Formulario!F202,"")</f>
        <v/>
      </c>
      <c r="C190" s="146" t="str">
        <f>IF(AND(Formulario!D202&lt;&gt;"", Formulario!E202&lt;&gt;"",A190&lt;&gt;""),Formulario!E202,"")</f>
        <v/>
      </c>
      <c r="D190" s="55" t="str">
        <f>IF('Cond SAP'!AA202="","",'Cond SAP'!AA202)</f>
        <v/>
      </c>
      <c r="E190" t="str">
        <f>IF(AND(Formulario!G202&lt;&gt;"",Formulario!Q202&lt;&gt;"",A190&lt;&gt;""),Formulario!Q202,"")</f>
        <v/>
      </c>
      <c r="F190" t="str" cm="1">
        <f t="array" aca="1" ref="F190" ca="1">IF(OR(A190="",B190=""),"",LEFT(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0" t="str">
        <f>IF(AND(Formulario!G202&lt;&gt;"",Formulario!G202&lt;&gt;"",A190&lt;&gt;""),Formulario!G202,"")</f>
        <v/>
      </c>
      <c r="I190" t="str">
        <f>IF(AND(Formulario!D202&lt;&gt;"",A190&lt;&gt;""),"UY10","")</f>
        <v/>
      </c>
      <c r="J190" t="str">
        <f>IF(AND(Formulario!D202&lt;&gt;"",A190&lt;&gt;""),"0001","")</f>
        <v/>
      </c>
      <c r="K190" t="str">
        <f>IF(AND(Formulario!D202&lt;&gt;"",A190&lt;&gt;""),"1","")</f>
        <v/>
      </c>
    </row>
    <row r="191" spans="1:11" x14ac:dyDescent="0.3">
      <c r="A191" t="str">
        <f>IF(AND(Formulario!D203&lt;&gt;"",ISNUMBER(Formulario!D203)),Formulario!D203,"")</f>
        <v/>
      </c>
      <c r="B191" s="146" t="str">
        <f>IF(AND(Formulario!F203&lt;&gt;"", Formulario!F203&lt;&gt;"",A191&lt;&gt;""),Formulario!F203,"")</f>
        <v/>
      </c>
      <c r="C191" s="146" t="str">
        <f>IF(AND(Formulario!D203&lt;&gt;"", Formulario!E203&lt;&gt;"",A191&lt;&gt;""),Formulario!E203,"")</f>
        <v/>
      </c>
      <c r="D191" s="55" t="str">
        <f>IF('Cond SAP'!AA203="","",'Cond SAP'!AA203)</f>
        <v/>
      </c>
      <c r="E191" t="str">
        <f>IF(AND(Formulario!G203&lt;&gt;"",Formulario!Q203&lt;&gt;"",A191&lt;&gt;""),Formulario!Q203,"")</f>
        <v/>
      </c>
      <c r="F191" t="str" cm="1">
        <f t="array" aca="1" ref="F191" ca="1">IF(OR(A191="",B191=""),"",LEFT(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1" t="str">
        <f>IF(AND(Formulario!G203&lt;&gt;"",Formulario!G203&lt;&gt;"",A191&lt;&gt;""),Formulario!G203,"")</f>
        <v/>
      </c>
      <c r="I191" t="str">
        <f>IF(AND(Formulario!D203&lt;&gt;"",A191&lt;&gt;""),"UY10","")</f>
        <v/>
      </c>
      <c r="J191" t="str">
        <f>IF(AND(Formulario!D203&lt;&gt;"",A191&lt;&gt;""),"0001","")</f>
        <v/>
      </c>
      <c r="K191" t="str">
        <f>IF(AND(Formulario!D203&lt;&gt;"",A191&lt;&gt;""),"1","")</f>
        <v/>
      </c>
    </row>
    <row r="192" spans="1:11" x14ac:dyDescent="0.3">
      <c r="A192" t="str">
        <f>IF(AND(Formulario!D204&lt;&gt;"",ISNUMBER(Formulario!D204)),Formulario!D204,"")</f>
        <v/>
      </c>
      <c r="B192" s="146" t="str">
        <f>IF(AND(Formulario!F204&lt;&gt;"", Formulario!F204&lt;&gt;"",A192&lt;&gt;""),Formulario!F204,"")</f>
        <v/>
      </c>
      <c r="C192" s="146" t="str">
        <f>IF(AND(Formulario!D204&lt;&gt;"", Formulario!E204&lt;&gt;"",A192&lt;&gt;""),Formulario!E204,"")</f>
        <v/>
      </c>
      <c r="D192" s="55" t="str">
        <f>IF('Cond SAP'!AA204="","",'Cond SAP'!AA204)</f>
        <v/>
      </c>
      <c r="E192" t="str">
        <f>IF(AND(Formulario!G204&lt;&gt;"",Formulario!Q204&lt;&gt;"",A192&lt;&gt;""),Formulario!Q204,"")</f>
        <v/>
      </c>
      <c r="F192" t="str" cm="1">
        <f t="array" aca="1" ref="F192" ca="1">IF(OR(A192="",B192=""),"",LEFT(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2" t="str">
        <f>IF(AND(Formulario!G204&lt;&gt;"",Formulario!G204&lt;&gt;"",A192&lt;&gt;""),Formulario!G204,"")</f>
        <v/>
      </c>
      <c r="I192" t="str">
        <f>IF(AND(Formulario!D204&lt;&gt;"",A192&lt;&gt;""),"UY10","")</f>
        <v/>
      </c>
      <c r="J192" t="str">
        <f>IF(AND(Formulario!D204&lt;&gt;"",A192&lt;&gt;""),"0001","")</f>
        <v/>
      </c>
      <c r="K192" t="str">
        <f>IF(AND(Formulario!D204&lt;&gt;"",A192&lt;&gt;""),"1","")</f>
        <v/>
      </c>
    </row>
    <row r="193" spans="1:11" x14ac:dyDescent="0.3">
      <c r="A193" t="str">
        <f>IF(AND(Formulario!D205&lt;&gt;"",ISNUMBER(Formulario!D205)),Formulario!D205,"")</f>
        <v/>
      </c>
      <c r="B193" s="146" t="str">
        <f>IF(AND(Formulario!F205&lt;&gt;"", Formulario!F205&lt;&gt;"",A193&lt;&gt;""),Formulario!F205,"")</f>
        <v/>
      </c>
      <c r="C193" s="146" t="str">
        <f>IF(AND(Formulario!D205&lt;&gt;"", Formulario!E205&lt;&gt;"",A193&lt;&gt;""),Formulario!E205,"")</f>
        <v/>
      </c>
      <c r="D193" s="55" t="str">
        <f>IF('Cond SAP'!AA205="","",'Cond SAP'!AA205)</f>
        <v/>
      </c>
      <c r="E193" t="str">
        <f>IF(AND(Formulario!G205&lt;&gt;"",Formulario!Q205&lt;&gt;"",A193&lt;&gt;""),Formulario!Q205,"")</f>
        <v/>
      </c>
      <c r="F193" t="str" cm="1">
        <f t="array" aca="1" ref="F193" ca="1">IF(OR(A193="",B193=""),"",LEFT(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3" t="str">
        <f>IF(AND(Formulario!G205&lt;&gt;"",Formulario!G205&lt;&gt;"",A193&lt;&gt;""),Formulario!G205,"")</f>
        <v/>
      </c>
      <c r="I193" t="str">
        <f>IF(AND(Formulario!D205&lt;&gt;"",A193&lt;&gt;""),"UY10","")</f>
        <v/>
      </c>
      <c r="J193" t="str">
        <f>IF(AND(Formulario!D205&lt;&gt;"",A193&lt;&gt;""),"0001","")</f>
        <v/>
      </c>
      <c r="K193" t="str">
        <f>IF(AND(Formulario!D205&lt;&gt;"",A193&lt;&gt;""),"1","")</f>
        <v/>
      </c>
    </row>
    <row r="194" spans="1:11" x14ac:dyDescent="0.3">
      <c r="A194" t="str">
        <f>IF(AND(Formulario!D206&lt;&gt;"",ISNUMBER(Formulario!D206)),Formulario!D206,"")</f>
        <v/>
      </c>
      <c r="B194" s="146" t="str">
        <f>IF(AND(Formulario!F206&lt;&gt;"", Formulario!F206&lt;&gt;"",A194&lt;&gt;""),Formulario!F206,"")</f>
        <v/>
      </c>
      <c r="C194" s="146" t="str">
        <f>IF(AND(Formulario!D206&lt;&gt;"", Formulario!E206&lt;&gt;"",A194&lt;&gt;""),Formulario!E206,"")</f>
        <v/>
      </c>
      <c r="D194" s="55" t="str">
        <f>IF('Cond SAP'!AA206="","",'Cond SAP'!AA206)</f>
        <v/>
      </c>
      <c r="E194" t="str">
        <f>IF(AND(Formulario!G206&lt;&gt;"",Formulario!Q206&lt;&gt;"",A194&lt;&gt;""),Formulario!Q206,"")</f>
        <v/>
      </c>
      <c r="F194" t="str" cm="1">
        <f t="array" aca="1" ref="F194" ca="1">IF(OR(A194="",B194=""),"",LEFT(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4" t="str">
        <f>IF(AND(Formulario!G206&lt;&gt;"",Formulario!G206&lt;&gt;"",A194&lt;&gt;""),Formulario!G206,"")</f>
        <v/>
      </c>
      <c r="I194" t="str">
        <f>IF(AND(Formulario!D206&lt;&gt;"",A194&lt;&gt;""),"UY10","")</f>
        <v/>
      </c>
      <c r="J194" t="str">
        <f>IF(AND(Formulario!D206&lt;&gt;"",A194&lt;&gt;""),"0001","")</f>
        <v/>
      </c>
      <c r="K194" t="str">
        <f>IF(AND(Formulario!D206&lt;&gt;"",A194&lt;&gt;""),"1","")</f>
        <v/>
      </c>
    </row>
    <row r="195" spans="1:11" x14ac:dyDescent="0.3">
      <c r="A195" t="str">
        <f>IF(AND(Formulario!D207&lt;&gt;"",ISNUMBER(Formulario!D207)),Formulario!D207,"")</f>
        <v/>
      </c>
      <c r="B195" s="146" t="str">
        <f>IF(AND(Formulario!F207&lt;&gt;"", Formulario!F207&lt;&gt;"",A195&lt;&gt;""),Formulario!F207,"")</f>
        <v/>
      </c>
      <c r="C195" s="146" t="str">
        <f>IF(AND(Formulario!D207&lt;&gt;"", Formulario!E207&lt;&gt;"",A195&lt;&gt;""),Formulario!E207,"")</f>
        <v/>
      </c>
      <c r="D195" s="55" t="str">
        <f>IF('Cond SAP'!AA207="","",'Cond SAP'!AA207)</f>
        <v/>
      </c>
      <c r="E195" t="str">
        <f>IF(AND(Formulario!G207&lt;&gt;"",Formulario!Q207&lt;&gt;"",A195&lt;&gt;""),Formulario!Q207,"")</f>
        <v/>
      </c>
      <c r="F195" t="str" cm="1">
        <f t="array" aca="1" ref="F195" ca="1">IF(OR(A195="",B195=""),"",LEFT(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5" t="str">
        <f>IF(AND(Formulario!G207&lt;&gt;"",Formulario!G207&lt;&gt;"",A195&lt;&gt;""),Formulario!G207,"")</f>
        <v/>
      </c>
      <c r="I195" t="str">
        <f>IF(AND(Formulario!D207&lt;&gt;"",A195&lt;&gt;""),"UY10","")</f>
        <v/>
      </c>
      <c r="J195" t="str">
        <f>IF(AND(Formulario!D207&lt;&gt;"",A195&lt;&gt;""),"0001","")</f>
        <v/>
      </c>
      <c r="K195" t="str">
        <f>IF(AND(Formulario!D207&lt;&gt;"",A195&lt;&gt;""),"1","")</f>
        <v/>
      </c>
    </row>
    <row r="196" spans="1:11" x14ac:dyDescent="0.3">
      <c r="A196" t="str">
        <f>IF(AND(Formulario!D208&lt;&gt;"",ISNUMBER(Formulario!D208)),Formulario!D208,"")</f>
        <v/>
      </c>
      <c r="B196" s="146" t="str">
        <f>IF(AND(Formulario!F208&lt;&gt;"", Formulario!F208&lt;&gt;"",A196&lt;&gt;""),Formulario!F208,"")</f>
        <v/>
      </c>
      <c r="C196" s="146" t="str">
        <f>IF(AND(Formulario!D208&lt;&gt;"", Formulario!E208&lt;&gt;"",A196&lt;&gt;""),Formulario!E208,"")</f>
        <v/>
      </c>
      <c r="D196" s="55" t="str">
        <f>IF('Cond SAP'!AA208="","",'Cond SAP'!AA208)</f>
        <v/>
      </c>
      <c r="E196" t="str">
        <f>IF(AND(Formulario!G208&lt;&gt;"",Formulario!Q208&lt;&gt;"",A196&lt;&gt;""),Formulario!Q208,"")</f>
        <v/>
      </c>
      <c r="F196" t="str" cm="1">
        <f t="array" aca="1" ref="F196" ca="1">IF(OR(A196="",B196=""),"",LEFT(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6" t="str">
        <f>IF(AND(Formulario!G208&lt;&gt;"",Formulario!G208&lt;&gt;"",A196&lt;&gt;""),Formulario!G208,"")</f>
        <v/>
      </c>
      <c r="I196" t="str">
        <f>IF(AND(Formulario!D208&lt;&gt;"",A196&lt;&gt;""),"UY10","")</f>
        <v/>
      </c>
      <c r="J196" t="str">
        <f>IF(AND(Formulario!D208&lt;&gt;"",A196&lt;&gt;""),"0001","")</f>
        <v/>
      </c>
      <c r="K196" t="str">
        <f>IF(AND(Formulario!D208&lt;&gt;"",A196&lt;&gt;""),"1","")</f>
        <v/>
      </c>
    </row>
    <row r="197" spans="1:11" x14ac:dyDescent="0.3">
      <c r="A197" t="str">
        <f>IF(AND(Formulario!D209&lt;&gt;"",ISNUMBER(Formulario!D209)),Formulario!D209,"")</f>
        <v/>
      </c>
      <c r="B197" s="146" t="str">
        <f>IF(AND(Formulario!F209&lt;&gt;"", Formulario!F209&lt;&gt;"",A197&lt;&gt;""),Formulario!F209,"")</f>
        <v/>
      </c>
      <c r="C197" s="146" t="str">
        <f>IF(AND(Formulario!D209&lt;&gt;"", Formulario!E209&lt;&gt;"",A197&lt;&gt;""),Formulario!E209,"")</f>
        <v/>
      </c>
      <c r="D197" s="55" t="str">
        <f>IF('Cond SAP'!AA209="","",'Cond SAP'!AA209)</f>
        <v/>
      </c>
      <c r="E197" t="str">
        <f>IF(AND(Formulario!G209&lt;&gt;"",Formulario!Q209&lt;&gt;"",A197&lt;&gt;""),Formulario!Q209,"")</f>
        <v/>
      </c>
      <c r="F197" t="str" cm="1">
        <f t="array" aca="1" ref="F197" ca="1">IF(OR(A197="",B197=""),"",LEFT(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7" t="str">
        <f>IF(AND(Formulario!G209&lt;&gt;"",Formulario!G209&lt;&gt;"",A197&lt;&gt;""),Formulario!G209,"")</f>
        <v/>
      </c>
      <c r="I197" t="str">
        <f>IF(AND(Formulario!D209&lt;&gt;"",A197&lt;&gt;""),"UY10","")</f>
        <v/>
      </c>
      <c r="J197" t="str">
        <f>IF(AND(Formulario!D209&lt;&gt;"",A197&lt;&gt;""),"0001","")</f>
        <v/>
      </c>
      <c r="K197" t="str">
        <f>IF(AND(Formulario!D209&lt;&gt;"",A197&lt;&gt;""),"1","")</f>
        <v/>
      </c>
    </row>
    <row r="198" spans="1:11" x14ac:dyDescent="0.3">
      <c r="A198" t="str">
        <f>IF(AND(Formulario!D210&lt;&gt;"",ISNUMBER(Formulario!D210)),Formulario!D210,"")</f>
        <v/>
      </c>
      <c r="B198" s="146" t="str">
        <f>IF(AND(Formulario!F210&lt;&gt;"", Formulario!F210&lt;&gt;"",A198&lt;&gt;""),Formulario!F210,"")</f>
        <v/>
      </c>
      <c r="C198" s="146" t="str">
        <f>IF(AND(Formulario!D210&lt;&gt;"", Formulario!E210&lt;&gt;"",A198&lt;&gt;""),Formulario!E210,"")</f>
        <v/>
      </c>
      <c r="D198" s="55" t="str">
        <f>IF('Cond SAP'!AA210="","",'Cond SAP'!AA210)</f>
        <v/>
      </c>
      <c r="E198" t="str">
        <f>IF(AND(Formulario!G210&lt;&gt;"",Formulario!Q210&lt;&gt;"",A198&lt;&gt;""),Formulario!Q210,"")</f>
        <v/>
      </c>
      <c r="F198" t="str" cm="1">
        <f t="array" aca="1" ref="F198" ca="1">IF(OR(A198="",B198=""),"",LEFT(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8" t="str">
        <f>IF(AND(Formulario!G210&lt;&gt;"",Formulario!G210&lt;&gt;"",A198&lt;&gt;""),Formulario!G210,"")</f>
        <v/>
      </c>
      <c r="I198" t="str">
        <f>IF(AND(Formulario!D210&lt;&gt;"",A198&lt;&gt;""),"UY10","")</f>
        <v/>
      </c>
      <c r="J198" t="str">
        <f>IF(AND(Formulario!D210&lt;&gt;"",A198&lt;&gt;""),"0001","")</f>
        <v/>
      </c>
      <c r="K198" t="str">
        <f>IF(AND(Formulario!D210&lt;&gt;"",A198&lt;&gt;""),"1","")</f>
        <v/>
      </c>
    </row>
    <row r="199" spans="1:11" x14ac:dyDescent="0.3">
      <c r="A199" t="str">
        <f>IF(AND(Formulario!D211&lt;&gt;"",ISNUMBER(Formulario!D211)),Formulario!D211,"")</f>
        <v/>
      </c>
      <c r="B199" s="146" t="str">
        <f>IF(AND(Formulario!F211&lt;&gt;"", Formulario!F211&lt;&gt;"",A199&lt;&gt;""),Formulario!F211,"")</f>
        <v/>
      </c>
      <c r="C199" s="146" t="str">
        <f>IF(AND(Formulario!D211&lt;&gt;"", Formulario!E211&lt;&gt;"",A199&lt;&gt;""),Formulario!E211,"")</f>
        <v/>
      </c>
      <c r="D199" s="55" t="str">
        <f>IF('Cond SAP'!AA211="","",'Cond SAP'!AA211)</f>
        <v/>
      </c>
      <c r="E199" t="str">
        <f>IF(AND(Formulario!G211&lt;&gt;"",Formulario!Q211&lt;&gt;"",A199&lt;&gt;""),Formulario!Q211,"")</f>
        <v/>
      </c>
      <c r="F199" t="str" cm="1">
        <f t="array" aca="1" ref="F199" ca="1">IF(OR(A199="",B199=""),"",LEFT(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199" t="str">
        <f>IF(AND(Formulario!G211&lt;&gt;"",Formulario!G211&lt;&gt;"",A199&lt;&gt;""),Formulario!G211,"")</f>
        <v/>
      </c>
      <c r="I199" t="str">
        <f>IF(AND(Formulario!D211&lt;&gt;"",A199&lt;&gt;""),"UY10","")</f>
        <v/>
      </c>
      <c r="J199" t="str">
        <f>IF(AND(Formulario!D211&lt;&gt;"",A199&lt;&gt;""),"0001","")</f>
        <v/>
      </c>
      <c r="K199" t="str">
        <f>IF(AND(Formulario!D211&lt;&gt;"",A199&lt;&gt;""),"1","")</f>
        <v/>
      </c>
    </row>
    <row r="200" spans="1:11" x14ac:dyDescent="0.3">
      <c r="A200" t="str">
        <f>IF(AND(Formulario!D212&lt;&gt;"",ISNUMBER(Formulario!D212)),Formulario!D212,"")</f>
        <v/>
      </c>
      <c r="B200" s="146" t="str">
        <f>IF(AND(Formulario!F212&lt;&gt;"", Formulario!F212&lt;&gt;"",A200&lt;&gt;""),Formulario!F212,"")</f>
        <v/>
      </c>
      <c r="C200" s="146" t="str">
        <f>IF(AND(Formulario!D212&lt;&gt;"", Formulario!E212&lt;&gt;"",A200&lt;&gt;""),Formulario!E212,"")</f>
        <v/>
      </c>
      <c r="D200" s="55" t="str">
        <f>IF('Cond SAP'!AA212="","",'Cond SAP'!AA212)</f>
        <v/>
      </c>
      <c r="E200" t="str">
        <f>IF(AND(Formulario!G212&lt;&gt;"",Formulario!Q212&lt;&gt;"",A200&lt;&gt;""),Formulario!Q212,"")</f>
        <v/>
      </c>
      <c r="F200" t="str" cm="1">
        <f t="array" aca="1" ref="F200" ca="1">IF(OR(A200="",B200=""),"",LEFT(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0" t="str">
        <f>IF(AND(Formulario!G212&lt;&gt;"",Formulario!G212&lt;&gt;"",A200&lt;&gt;""),Formulario!G212,"")</f>
        <v/>
      </c>
      <c r="I200" t="str">
        <f>IF(AND(Formulario!D212&lt;&gt;"",A200&lt;&gt;""),"UY10","")</f>
        <v/>
      </c>
      <c r="J200" t="str">
        <f>IF(AND(Formulario!D212&lt;&gt;"",A200&lt;&gt;""),"0001","")</f>
        <v/>
      </c>
      <c r="K200" t="str">
        <f>IF(AND(Formulario!D212&lt;&gt;"",A200&lt;&gt;""),"1","")</f>
        <v/>
      </c>
    </row>
    <row r="201" spans="1:11" x14ac:dyDescent="0.3">
      <c r="A201" t="str">
        <f>IF(AND(Formulario!D213&lt;&gt;"",ISNUMBER(Formulario!D213)),Formulario!D213,"")</f>
        <v/>
      </c>
      <c r="B201" s="146" t="str">
        <f>IF(AND(Formulario!F213&lt;&gt;"", Formulario!F213&lt;&gt;"",A201&lt;&gt;""),Formulario!F213,"")</f>
        <v/>
      </c>
      <c r="C201" s="146" t="str">
        <f>IF(AND(Formulario!D213&lt;&gt;"", Formulario!E213&lt;&gt;"",A201&lt;&gt;""),Formulario!E213,"")</f>
        <v/>
      </c>
      <c r="D201" s="55" t="str">
        <f>IF('Cond SAP'!AA213="","",'Cond SAP'!AA213)</f>
        <v/>
      </c>
      <c r="E201" t="str">
        <f>IF(AND(Formulario!G213&lt;&gt;"",Formulario!Q213&lt;&gt;"",A201&lt;&gt;""),Formulario!Q213,"")</f>
        <v/>
      </c>
      <c r="F201" t="str" cm="1">
        <f t="array" aca="1" ref="F201" ca="1">IF(OR(A201="",B201=""),"",LEFT(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1" t="str">
        <f>IF(AND(Formulario!G213&lt;&gt;"",Formulario!G213&lt;&gt;"",A201&lt;&gt;""),Formulario!G213,"")</f>
        <v/>
      </c>
      <c r="I201" t="str">
        <f>IF(AND(Formulario!D213&lt;&gt;"",A201&lt;&gt;""),"UY10","")</f>
        <v/>
      </c>
      <c r="J201" t="str">
        <f>IF(AND(Formulario!D213&lt;&gt;"",A201&lt;&gt;""),"0001","")</f>
        <v/>
      </c>
      <c r="K201" t="str">
        <f>IF(AND(Formulario!D213&lt;&gt;"",A201&lt;&gt;""),"1","")</f>
        <v/>
      </c>
    </row>
    <row r="202" spans="1:11" x14ac:dyDescent="0.3">
      <c r="A202" t="str">
        <f>IF(AND(Formulario!D214&lt;&gt;"",ISNUMBER(Formulario!D214)),Formulario!D214,"")</f>
        <v/>
      </c>
      <c r="B202" s="146" t="str">
        <f>IF(AND(Formulario!F214&lt;&gt;"", Formulario!F214&lt;&gt;"",A202&lt;&gt;""),Formulario!F214,"")</f>
        <v/>
      </c>
      <c r="C202" s="146" t="str">
        <f>IF(AND(Formulario!D214&lt;&gt;"", Formulario!E214&lt;&gt;"",A202&lt;&gt;""),Formulario!E214,"")</f>
        <v/>
      </c>
      <c r="D202" s="55" t="str">
        <f>IF('Cond SAP'!AA214="","",'Cond SAP'!AA214)</f>
        <v/>
      </c>
      <c r="E202" t="str">
        <f>IF(AND(Formulario!G214&lt;&gt;"",Formulario!Q214&lt;&gt;"",A202&lt;&gt;""),Formulario!Q214,"")</f>
        <v/>
      </c>
      <c r="F202" t="str" cm="1">
        <f t="array" aca="1" ref="F202" ca="1">IF(OR(A202="",B202=""),"",LEFT(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2" t="str">
        <f>IF(AND(Formulario!G214&lt;&gt;"",Formulario!G214&lt;&gt;"",A202&lt;&gt;""),Formulario!G214,"")</f>
        <v/>
      </c>
      <c r="I202" t="str">
        <f>IF(AND(Formulario!D214&lt;&gt;"",A202&lt;&gt;""),"UY10","")</f>
        <v/>
      </c>
      <c r="J202" t="str">
        <f>IF(AND(Formulario!D214&lt;&gt;"",A202&lt;&gt;""),"0001","")</f>
        <v/>
      </c>
      <c r="K202" t="str">
        <f>IF(AND(Formulario!D214&lt;&gt;"",A202&lt;&gt;""),"1","")</f>
        <v/>
      </c>
    </row>
    <row r="203" spans="1:11" x14ac:dyDescent="0.3">
      <c r="A203" t="str">
        <f>IF(AND(Formulario!D215&lt;&gt;"",ISNUMBER(Formulario!D215)),Formulario!D215,"")</f>
        <v/>
      </c>
      <c r="B203" s="146" t="str">
        <f>IF(AND(Formulario!F215&lt;&gt;"", Formulario!F215&lt;&gt;"",A203&lt;&gt;""),Formulario!F215,"")</f>
        <v/>
      </c>
      <c r="C203" s="146" t="str">
        <f>IF(AND(Formulario!D215&lt;&gt;"", Formulario!E215&lt;&gt;"",A203&lt;&gt;""),Formulario!E215,"")</f>
        <v/>
      </c>
      <c r="D203" s="55" t="str">
        <f>IF('Cond SAP'!AA215="","",'Cond SAP'!AA215)</f>
        <v/>
      </c>
      <c r="E203" t="str">
        <f>IF(AND(Formulario!G215&lt;&gt;"",Formulario!Q215&lt;&gt;"",A203&lt;&gt;""),Formulario!Q215,"")</f>
        <v/>
      </c>
      <c r="F203" t="str" cm="1">
        <f t="array" aca="1" ref="F203" ca="1">IF(OR(A203="",B203=""),"",LEFT(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3" t="str">
        <f>IF(AND(Formulario!G215&lt;&gt;"",Formulario!G215&lt;&gt;"",A203&lt;&gt;""),Formulario!G215,"")</f>
        <v/>
      </c>
      <c r="I203" t="str">
        <f>IF(AND(Formulario!D215&lt;&gt;"",A203&lt;&gt;""),"UY10","")</f>
        <v/>
      </c>
      <c r="J203" t="str">
        <f>IF(AND(Formulario!D215&lt;&gt;"",A203&lt;&gt;""),"0001","")</f>
        <v/>
      </c>
      <c r="K203" t="str">
        <f>IF(AND(Formulario!D215&lt;&gt;"",A203&lt;&gt;""),"1","")</f>
        <v/>
      </c>
    </row>
    <row r="204" spans="1:11" x14ac:dyDescent="0.3">
      <c r="A204" t="str">
        <f>IF(AND(Formulario!D216&lt;&gt;"",ISNUMBER(Formulario!D216)),Formulario!D216,"")</f>
        <v/>
      </c>
      <c r="B204" s="146" t="str">
        <f>IF(AND(Formulario!F216&lt;&gt;"", Formulario!F216&lt;&gt;"",A204&lt;&gt;""),Formulario!F216,"")</f>
        <v/>
      </c>
      <c r="C204" s="146" t="str">
        <f>IF(AND(Formulario!D216&lt;&gt;"", Formulario!E216&lt;&gt;"",A204&lt;&gt;""),Formulario!E216,"")</f>
        <v/>
      </c>
      <c r="D204" s="55" t="str">
        <f>IF('Cond SAP'!AA216="","",'Cond SAP'!AA216)</f>
        <v/>
      </c>
      <c r="E204" t="str">
        <f>IF(AND(Formulario!G216&lt;&gt;"",Formulario!Q216&lt;&gt;"",A204&lt;&gt;""),Formulario!Q216,"")</f>
        <v/>
      </c>
      <c r="F204" t="str" cm="1">
        <f t="array" aca="1" ref="F204" ca="1">IF(OR(A204="",B204=""),"",LEFT(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4" t="str">
        <f>IF(AND(Formulario!G216&lt;&gt;"",Formulario!G216&lt;&gt;"",A204&lt;&gt;""),Formulario!G216,"")</f>
        <v/>
      </c>
      <c r="I204" t="str">
        <f>IF(AND(Formulario!D216&lt;&gt;"",A204&lt;&gt;""),"UY10","")</f>
        <v/>
      </c>
      <c r="J204" t="str">
        <f>IF(AND(Formulario!D216&lt;&gt;"",A204&lt;&gt;""),"0001","")</f>
        <v/>
      </c>
      <c r="K204" t="str">
        <f>IF(AND(Formulario!D216&lt;&gt;"",A204&lt;&gt;""),"1","")</f>
        <v/>
      </c>
    </row>
    <row r="205" spans="1:11" x14ac:dyDescent="0.3">
      <c r="A205" t="str">
        <f>IF(AND(Formulario!D217&lt;&gt;"",ISNUMBER(Formulario!D217)),Formulario!D217,"")</f>
        <v/>
      </c>
      <c r="B205" s="146" t="str">
        <f>IF(AND(Formulario!F217&lt;&gt;"", Formulario!F217&lt;&gt;"",A205&lt;&gt;""),Formulario!F217,"")</f>
        <v/>
      </c>
      <c r="C205" s="146" t="str">
        <f>IF(AND(Formulario!D217&lt;&gt;"", Formulario!E217&lt;&gt;"",A205&lt;&gt;""),Formulario!E217,"")</f>
        <v/>
      </c>
      <c r="D205" s="55" t="str">
        <f>IF('Cond SAP'!AA217="","",'Cond SAP'!AA217)</f>
        <v/>
      </c>
      <c r="E205" t="str">
        <f>IF(AND(Formulario!G217&lt;&gt;"",Formulario!Q217&lt;&gt;"",A205&lt;&gt;""),Formulario!Q217,"")</f>
        <v/>
      </c>
      <c r="F205" t="str" cm="1">
        <f t="array" aca="1" ref="F205" ca="1">IF(OR(A205="",B205=""),"",LEFT(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5" t="str">
        <f>IF(AND(Formulario!G217&lt;&gt;"",Formulario!G217&lt;&gt;"",A205&lt;&gt;""),Formulario!G217,"")</f>
        <v/>
      </c>
      <c r="I205" t="str">
        <f>IF(AND(Formulario!D217&lt;&gt;"",A205&lt;&gt;""),"UY10","")</f>
        <v/>
      </c>
      <c r="J205" t="str">
        <f>IF(AND(Formulario!D217&lt;&gt;"",A205&lt;&gt;""),"0001","")</f>
        <v/>
      </c>
      <c r="K205" t="str">
        <f>IF(AND(Formulario!D217&lt;&gt;"",A205&lt;&gt;""),"1","")</f>
        <v/>
      </c>
    </row>
    <row r="206" spans="1:11" x14ac:dyDescent="0.3">
      <c r="A206" t="str">
        <f>IF(AND(Formulario!D218&lt;&gt;"",ISNUMBER(Formulario!D218)),Formulario!D218,"")</f>
        <v/>
      </c>
      <c r="B206" s="146" t="str">
        <f>IF(AND(Formulario!F218&lt;&gt;"", Formulario!F218&lt;&gt;"",A206&lt;&gt;""),Formulario!F218,"")</f>
        <v/>
      </c>
      <c r="C206" s="146" t="str">
        <f>IF(AND(Formulario!D218&lt;&gt;"", Formulario!E218&lt;&gt;"",A206&lt;&gt;""),Formulario!E218,"")</f>
        <v/>
      </c>
      <c r="D206" s="55" t="str">
        <f>IF('Cond SAP'!AA218="","",'Cond SAP'!AA218)</f>
        <v/>
      </c>
      <c r="E206" t="str">
        <f>IF(AND(Formulario!G218&lt;&gt;"",Formulario!Q218&lt;&gt;"",A206&lt;&gt;""),Formulario!Q218,"")</f>
        <v/>
      </c>
      <c r="F206" t="str" cm="1">
        <f t="array" aca="1" ref="F206" ca="1">IF(OR(A206="",B206=""),"",LEFT(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6" t="str">
        <f>IF(AND(Formulario!G218&lt;&gt;"",Formulario!G218&lt;&gt;"",A206&lt;&gt;""),Formulario!G218,"")</f>
        <v/>
      </c>
      <c r="I206" t="str">
        <f>IF(AND(Formulario!D218&lt;&gt;"",A206&lt;&gt;""),"UY10","")</f>
        <v/>
      </c>
      <c r="J206" t="str">
        <f>IF(AND(Formulario!D218&lt;&gt;"",A206&lt;&gt;""),"0001","")</f>
        <v/>
      </c>
      <c r="K206" t="str">
        <f>IF(AND(Formulario!D218&lt;&gt;"",A206&lt;&gt;""),"1","")</f>
        <v/>
      </c>
    </row>
    <row r="207" spans="1:11" x14ac:dyDescent="0.3">
      <c r="A207" t="str">
        <f>IF(AND(Formulario!D219&lt;&gt;"",ISNUMBER(Formulario!D219)),Formulario!D219,"")</f>
        <v/>
      </c>
      <c r="B207" s="146" t="str">
        <f>IF(AND(Formulario!F219&lt;&gt;"", Formulario!F219&lt;&gt;"",A207&lt;&gt;""),Formulario!F219,"")</f>
        <v/>
      </c>
      <c r="C207" s="146" t="str">
        <f>IF(AND(Formulario!D219&lt;&gt;"", Formulario!E219&lt;&gt;"",A207&lt;&gt;""),Formulario!E219,"")</f>
        <v/>
      </c>
      <c r="D207" s="55" t="str">
        <f>IF('Cond SAP'!AA219="","",'Cond SAP'!AA219)</f>
        <v/>
      </c>
      <c r="E207" t="str">
        <f>IF(AND(Formulario!G219&lt;&gt;"",Formulario!Q219&lt;&gt;"",A207&lt;&gt;""),Formulario!Q219,"")</f>
        <v/>
      </c>
      <c r="F207" t="str" cm="1">
        <f t="array" aca="1" ref="F207" ca="1">IF(OR(A207="",B207=""),"",LEFT(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7" t="str">
        <f>IF(AND(Formulario!G219&lt;&gt;"",Formulario!G219&lt;&gt;"",A207&lt;&gt;""),Formulario!G219,"")</f>
        <v/>
      </c>
      <c r="I207" t="str">
        <f>IF(AND(Formulario!D219&lt;&gt;"",A207&lt;&gt;""),"UY10","")</f>
        <v/>
      </c>
      <c r="J207" t="str">
        <f>IF(AND(Formulario!D219&lt;&gt;"",A207&lt;&gt;""),"0001","")</f>
        <v/>
      </c>
      <c r="K207" t="str">
        <f>IF(AND(Formulario!D219&lt;&gt;"",A207&lt;&gt;""),"1","")</f>
        <v/>
      </c>
    </row>
    <row r="208" spans="1:11" x14ac:dyDescent="0.3">
      <c r="A208" t="str">
        <f>IF(AND(Formulario!D220&lt;&gt;"",ISNUMBER(Formulario!D220)),Formulario!D220,"")</f>
        <v/>
      </c>
      <c r="B208" s="146" t="str">
        <f>IF(AND(Formulario!F220&lt;&gt;"", Formulario!F220&lt;&gt;"",A208&lt;&gt;""),Formulario!F220,"")</f>
        <v/>
      </c>
      <c r="C208" s="146" t="str">
        <f>IF(AND(Formulario!D220&lt;&gt;"", Formulario!E220&lt;&gt;"",A208&lt;&gt;""),Formulario!E220,"")</f>
        <v/>
      </c>
      <c r="D208" s="55" t="str">
        <f>IF('Cond SAP'!AA220="","",'Cond SAP'!AA220)</f>
        <v/>
      </c>
      <c r="E208" t="str">
        <f>IF(AND(Formulario!G220&lt;&gt;"",Formulario!Q220&lt;&gt;"",A208&lt;&gt;""),Formulario!Q220,"")</f>
        <v/>
      </c>
      <c r="F208" t="str" cm="1">
        <f t="array" aca="1" ref="F208" ca="1">IF(OR(A208="",B208=""),"",LEFT(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8" t="str">
        <f>IF(AND(Formulario!G220&lt;&gt;"",Formulario!G220&lt;&gt;"",A208&lt;&gt;""),Formulario!G220,"")</f>
        <v/>
      </c>
      <c r="I208" t="str">
        <f>IF(AND(Formulario!D220&lt;&gt;"",A208&lt;&gt;""),"UY10","")</f>
        <v/>
      </c>
      <c r="J208" t="str">
        <f>IF(AND(Formulario!D220&lt;&gt;"",A208&lt;&gt;""),"0001","")</f>
        <v/>
      </c>
      <c r="K208" t="str">
        <f>IF(AND(Formulario!D220&lt;&gt;"",A208&lt;&gt;""),"1","")</f>
        <v/>
      </c>
    </row>
    <row r="209" spans="1:11" x14ac:dyDescent="0.3">
      <c r="A209" t="str">
        <f>IF(AND(Formulario!D221&lt;&gt;"",ISNUMBER(Formulario!D221)),Formulario!D221,"")</f>
        <v/>
      </c>
      <c r="B209" s="146" t="str">
        <f>IF(AND(Formulario!F221&lt;&gt;"", Formulario!F221&lt;&gt;"",A209&lt;&gt;""),Formulario!F221,"")</f>
        <v/>
      </c>
      <c r="C209" s="146" t="str">
        <f>IF(AND(Formulario!D221&lt;&gt;"", Formulario!E221&lt;&gt;"",A209&lt;&gt;""),Formulario!E221,"")</f>
        <v/>
      </c>
      <c r="D209" s="55" t="str">
        <f>IF('Cond SAP'!AA221="","",'Cond SAP'!AA221)</f>
        <v/>
      </c>
      <c r="E209" t="str">
        <f>IF(AND(Formulario!G221&lt;&gt;"",Formulario!Q221&lt;&gt;"",A209&lt;&gt;""),Formulario!Q221,"")</f>
        <v/>
      </c>
      <c r="F209" t="str" cm="1">
        <f t="array" aca="1" ref="F209" ca="1">IF(OR(A209="",B209=""),"",LEFT(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09" t="str">
        <f>IF(AND(Formulario!G221&lt;&gt;"",Formulario!G221&lt;&gt;"",A209&lt;&gt;""),Formulario!G221,"")</f>
        <v/>
      </c>
      <c r="I209" t="str">
        <f>IF(AND(Formulario!D221&lt;&gt;"",A209&lt;&gt;""),"UY10","")</f>
        <v/>
      </c>
      <c r="J209" t="str">
        <f>IF(AND(Formulario!D221&lt;&gt;"",A209&lt;&gt;""),"0001","")</f>
        <v/>
      </c>
      <c r="K209" t="str">
        <f>IF(AND(Formulario!D221&lt;&gt;"",A209&lt;&gt;""),"1","")</f>
        <v/>
      </c>
    </row>
    <row r="210" spans="1:11" x14ac:dyDescent="0.3">
      <c r="A210" t="str">
        <f>IF(AND(Formulario!D222&lt;&gt;"",ISNUMBER(Formulario!D222)),Formulario!D222,"")</f>
        <v/>
      </c>
      <c r="B210" s="146" t="str">
        <f>IF(AND(Formulario!F222&lt;&gt;"", Formulario!F222&lt;&gt;"",A210&lt;&gt;""),Formulario!F222,"")</f>
        <v/>
      </c>
      <c r="C210" s="146" t="str">
        <f>IF(AND(Formulario!D222&lt;&gt;"", Formulario!E222&lt;&gt;"",A210&lt;&gt;""),Formulario!E222,"")</f>
        <v/>
      </c>
      <c r="D210" s="55" t="str">
        <f>IF('Cond SAP'!AA222="","",'Cond SAP'!AA222)</f>
        <v/>
      </c>
      <c r="E210" t="str">
        <f>IF(AND(Formulario!G222&lt;&gt;"",Formulario!Q222&lt;&gt;"",A210&lt;&gt;""),Formulario!Q222,"")</f>
        <v/>
      </c>
      <c r="F210" t="str" cm="1">
        <f t="array" aca="1" ref="F210" ca="1">IF(OR(A210="",B210=""),"",LEFT(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0" t="str">
        <f>IF(AND(Formulario!G222&lt;&gt;"",Formulario!G222&lt;&gt;"",A210&lt;&gt;""),Formulario!G222,"")</f>
        <v/>
      </c>
      <c r="I210" t="str">
        <f>IF(AND(Formulario!D222&lt;&gt;"",A210&lt;&gt;""),"UY10","")</f>
        <v/>
      </c>
      <c r="J210" t="str">
        <f>IF(AND(Formulario!D222&lt;&gt;"",A210&lt;&gt;""),"0001","")</f>
        <v/>
      </c>
      <c r="K210" t="str">
        <f>IF(AND(Formulario!D222&lt;&gt;"",A210&lt;&gt;""),"1","")</f>
        <v/>
      </c>
    </row>
    <row r="211" spans="1:11" x14ac:dyDescent="0.3">
      <c r="A211" t="str">
        <f>IF(AND(Formulario!D223&lt;&gt;"",ISNUMBER(Formulario!D223)),Formulario!D223,"")</f>
        <v/>
      </c>
      <c r="B211" s="146" t="str">
        <f>IF(AND(Formulario!F223&lt;&gt;"", Formulario!F223&lt;&gt;"",A211&lt;&gt;""),Formulario!F223,"")</f>
        <v/>
      </c>
      <c r="C211" s="146" t="str">
        <f>IF(AND(Formulario!D223&lt;&gt;"", Formulario!E223&lt;&gt;"",A211&lt;&gt;""),Formulario!E223,"")</f>
        <v/>
      </c>
      <c r="D211" s="55" t="str">
        <f>IF('Cond SAP'!AA223="","",'Cond SAP'!AA223)</f>
        <v/>
      </c>
      <c r="E211" t="str">
        <f>IF(AND(Formulario!G223&lt;&gt;"",Formulario!Q223&lt;&gt;"",A211&lt;&gt;""),Formulario!Q223,"")</f>
        <v/>
      </c>
      <c r="F211" t="str" cm="1">
        <f t="array" aca="1" ref="F211" ca="1">IF(OR(A211="",B211=""),"",LEFT(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1" t="str">
        <f>IF(AND(Formulario!G223&lt;&gt;"",Formulario!G223&lt;&gt;"",A211&lt;&gt;""),Formulario!G223,"")</f>
        <v/>
      </c>
      <c r="I211" t="str">
        <f>IF(AND(Formulario!D223&lt;&gt;"",A211&lt;&gt;""),"UY10","")</f>
        <v/>
      </c>
      <c r="J211" t="str">
        <f>IF(AND(Formulario!D223&lt;&gt;"",A211&lt;&gt;""),"0001","")</f>
        <v/>
      </c>
      <c r="K211" t="str">
        <f>IF(AND(Formulario!D223&lt;&gt;"",A211&lt;&gt;""),"1","")</f>
        <v/>
      </c>
    </row>
    <row r="212" spans="1:11" x14ac:dyDescent="0.3">
      <c r="A212" t="str">
        <f>IF(AND(Formulario!D224&lt;&gt;"",ISNUMBER(Formulario!D224)),Formulario!D224,"")</f>
        <v/>
      </c>
      <c r="B212" s="146" t="str">
        <f>IF(AND(Formulario!F224&lt;&gt;"", Formulario!F224&lt;&gt;"",A212&lt;&gt;""),Formulario!F224,"")</f>
        <v/>
      </c>
      <c r="C212" s="146" t="str">
        <f>IF(AND(Formulario!D224&lt;&gt;"", Formulario!E224&lt;&gt;"",A212&lt;&gt;""),Formulario!E224,"")</f>
        <v/>
      </c>
      <c r="D212" s="55" t="str">
        <f>IF('Cond SAP'!AA224="","",'Cond SAP'!AA224)</f>
        <v/>
      </c>
      <c r="E212" t="str">
        <f>IF(AND(Formulario!G224&lt;&gt;"",Formulario!Q224&lt;&gt;"",A212&lt;&gt;""),Formulario!Q224,"")</f>
        <v/>
      </c>
      <c r="F212" t="str" cm="1">
        <f t="array" aca="1" ref="F212" ca="1">IF(OR(A212="",B212=""),"",LEFT(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2" t="str">
        <f>IF(AND(Formulario!G224&lt;&gt;"",Formulario!G224&lt;&gt;"",A212&lt;&gt;""),Formulario!G224,"")</f>
        <v/>
      </c>
      <c r="I212" t="str">
        <f>IF(AND(Formulario!D224&lt;&gt;"",A212&lt;&gt;""),"UY10","")</f>
        <v/>
      </c>
      <c r="J212" t="str">
        <f>IF(AND(Formulario!D224&lt;&gt;"",A212&lt;&gt;""),"0001","")</f>
        <v/>
      </c>
      <c r="K212" t="str">
        <f>IF(AND(Formulario!D224&lt;&gt;"",A212&lt;&gt;""),"1","")</f>
        <v/>
      </c>
    </row>
    <row r="213" spans="1:11" x14ac:dyDescent="0.3">
      <c r="A213" t="str">
        <f>IF(AND(Formulario!D225&lt;&gt;"",ISNUMBER(Formulario!D225)),Formulario!D225,"")</f>
        <v/>
      </c>
      <c r="B213" s="146" t="str">
        <f>IF(AND(Formulario!F225&lt;&gt;"", Formulario!F225&lt;&gt;"",A213&lt;&gt;""),Formulario!F225,"")</f>
        <v/>
      </c>
      <c r="C213" s="146" t="str">
        <f>IF(AND(Formulario!D225&lt;&gt;"", Formulario!E225&lt;&gt;"",A213&lt;&gt;""),Formulario!E225,"")</f>
        <v/>
      </c>
      <c r="D213" s="55" t="str">
        <f>IF('Cond SAP'!AA225="","",'Cond SAP'!AA225)</f>
        <v/>
      </c>
      <c r="E213" t="str">
        <f>IF(AND(Formulario!G225&lt;&gt;"",Formulario!Q225&lt;&gt;"",A213&lt;&gt;""),Formulario!Q225,"")</f>
        <v/>
      </c>
      <c r="F213" t="str" cm="1">
        <f t="array" aca="1" ref="F213" ca="1">IF(OR(A213="",B213=""),"",LEFT(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3" t="str">
        <f>IF(AND(Formulario!G225&lt;&gt;"",Formulario!G225&lt;&gt;"",A213&lt;&gt;""),Formulario!G225,"")</f>
        <v/>
      </c>
      <c r="I213" t="str">
        <f>IF(AND(Formulario!D225&lt;&gt;"",A213&lt;&gt;""),"UY10","")</f>
        <v/>
      </c>
      <c r="J213" t="str">
        <f>IF(AND(Formulario!D225&lt;&gt;"",A213&lt;&gt;""),"0001","")</f>
        <v/>
      </c>
      <c r="K213" t="str">
        <f>IF(AND(Formulario!D225&lt;&gt;"",A213&lt;&gt;""),"1","")</f>
        <v/>
      </c>
    </row>
    <row r="214" spans="1:11" x14ac:dyDescent="0.3">
      <c r="A214" t="str">
        <f>IF(AND(Formulario!D226&lt;&gt;"",ISNUMBER(Formulario!D226)),Formulario!D226,"")</f>
        <v/>
      </c>
      <c r="B214" s="146" t="str">
        <f>IF(AND(Formulario!F226&lt;&gt;"", Formulario!F226&lt;&gt;"",A214&lt;&gt;""),Formulario!F226,"")</f>
        <v/>
      </c>
      <c r="C214" s="146" t="str">
        <f>IF(AND(Formulario!D226&lt;&gt;"", Formulario!E226&lt;&gt;"",A214&lt;&gt;""),Formulario!E226,"")</f>
        <v/>
      </c>
      <c r="D214" s="55" t="str">
        <f>IF('Cond SAP'!AA226="","",'Cond SAP'!AA226)</f>
        <v/>
      </c>
      <c r="E214" t="str">
        <f>IF(AND(Formulario!G226&lt;&gt;"",Formulario!Q226&lt;&gt;"",A214&lt;&gt;""),Formulario!Q226,"")</f>
        <v/>
      </c>
      <c r="F214" t="str" cm="1">
        <f t="array" aca="1" ref="F214" ca="1">IF(OR(A214="",B214=""),"",LEFT(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4" t="str">
        <f>IF(AND(Formulario!G226&lt;&gt;"",Formulario!G226&lt;&gt;"",A214&lt;&gt;""),Formulario!G226,"")</f>
        <v/>
      </c>
      <c r="I214" t="str">
        <f>IF(AND(Formulario!D226&lt;&gt;"",A214&lt;&gt;""),"UY10","")</f>
        <v/>
      </c>
      <c r="J214" t="str">
        <f>IF(AND(Formulario!D226&lt;&gt;"",A214&lt;&gt;""),"0001","")</f>
        <v/>
      </c>
      <c r="K214" t="str">
        <f>IF(AND(Formulario!D226&lt;&gt;"",A214&lt;&gt;""),"1","")</f>
        <v/>
      </c>
    </row>
    <row r="215" spans="1:11" x14ac:dyDescent="0.3">
      <c r="A215" t="str">
        <f>IF(AND(Formulario!D227&lt;&gt;"",ISNUMBER(Formulario!D227)),Formulario!D227,"")</f>
        <v/>
      </c>
      <c r="B215" s="146" t="str">
        <f>IF(AND(Formulario!F227&lt;&gt;"", Formulario!F227&lt;&gt;"",A215&lt;&gt;""),Formulario!F227,"")</f>
        <v/>
      </c>
      <c r="C215" s="146" t="str">
        <f>IF(AND(Formulario!D227&lt;&gt;"", Formulario!E227&lt;&gt;"",A215&lt;&gt;""),Formulario!E227,"")</f>
        <v/>
      </c>
      <c r="D215" s="55" t="str">
        <f>IF('Cond SAP'!AA227="","",'Cond SAP'!AA227)</f>
        <v/>
      </c>
      <c r="E215" t="str">
        <f>IF(AND(Formulario!G227&lt;&gt;"",Formulario!Q227&lt;&gt;"",A215&lt;&gt;""),Formulario!Q227,"")</f>
        <v/>
      </c>
      <c r="F215" t="str" cm="1">
        <f t="array" aca="1" ref="F215" ca="1">IF(OR(A215="",B215=""),"",LEFT(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5" t="str">
        <f>IF(AND(Formulario!G227&lt;&gt;"",Formulario!G227&lt;&gt;"",A215&lt;&gt;""),Formulario!G227,"")</f>
        <v/>
      </c>
      <c r="I215" t="str">
        <f>IF(AND(Formulario!D227&lt;&gt;"",A215&lt;&gt;""),"UY10","")</f>
        <v/>
      </c>
      <c r="J215" t="str">
        <f>IF(AND(Formulario!D227&lt;&gt;"",A215&lt;&gt;""),"0001","")</f>
        <v/>
      </c>
      <c r="K215" t="str">
        <f>IF(AND(Formulario!D227&lt;&gt;"",A215&lt;&gt;""),"1","")</f>
        <v/>
      </c>
    </row>
    <row r="216" spans="1:11" x14ac:dyDescent="0.3">
      <c r="A216" t="str">
        <f>IF(AND(Formulario!D228&lt;&gt;"",ISNUMBER(Formulario!D228)),Formulario!D228,"")</f>
        <v/>
      </c>
      <c r="B216" s="146" t="str">
        <f>IF(AND(Formulario!F228&lt;&gt;"", Formulario!F228&lt;&gt;"",A216&lt;&gt;""),Formulario!F228,"")</f>
        <v/>
      </c>
      <c r="C216" s="146" t="str">
        <f>IF(AND(Formulario!D228&lt;&gt;"", Formulario!E228&lt;&gt;"",A216&lt;&gt;""),Formulario!E228,"")</f>
        <v/>
      </c>
      <c r="D216" s="55" t="str">
        <f>IF('Cond SAP'!AA228="","",'Cond SAP'!AA228)</f>
        <v/>
      </c>
      <c r="E216" t="str">
        <f>IF(AND(Formulario!G228&lt;&gt;"",Formulario!Q228&lt;&gt;"",A216&lt;&gt;""),Formulario!Q228,"")</f>
        <v/>
      </c>
      <c r="F216" t="str" cm="1">
        <f t="array" aca="1" ref="F216" ca="1">IF(OR(A216="",B216=""),"",LEFT(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6" t="str">
        <f>IF(AND(Formulario!G228&lt;&gt;"",Formulario!G228&lt;&gt;"",A216&lt;&gt;""),Formulario!G228,"")</f>
        <v/>
      </c>
      <c r="I216" t="str">
        <f>IF(AND(Formulario!D228&lt;&gt;"",A216&lt;&gt;""),"UY10","")</f>
        <v/>
      </c>
      <c r="J216" t="str">
        <f>IF(AND(Formulario!D228&lt;&gt;"",A216&lt;&gt;""),"0001","")</f>
        <v/>
      </c>
      <c r="K216" t="str">
        <f>IF(AND(Formulario!D228&lt;&gt;"",A216&lt;&gt;""),"1","")</f>
        <v/>
      </c>
    </row>
    <row r="217" spans="1:11" x14ac:dyDescent="0.3">
      <c r="A217" t="str">
        <f>IF(AND(Formulario!D229&lt;&gt;"",ISNUMBER(Formulario!D229)),Formulario!D229,"")</f>
        <v/>
      </c>
      <c r="B217" s="146" t="str">
        <f>IF(AND(Formulario!F229&lt;&gt;"", Formulario!F229&lt;&gt;"",A217&lt;&gt;""),Formulario!F229,"")</f>
        <v/>
      </c>
      <c r="C217" s="146" t="str">
        <f>IF(AND(Formulario!D229&lt;&gt;"", Formulario!E229&lt;&gt;"",A217&lt;&gt;""),Formulario!E229,"")</f>
        <v/>
      </c>
      <c r="D217" s="55" t="str">
        <f>IF('Cond SAP'!AA229="","",'Cond SAP'!AA229)</f>
        <v/>
      </c>
      <c r="E217" t="str">
        <f>IF(AND(Formulario!G229&lt;&gt;"",Formulario!Q229&lt;&gt;"",A217&lt;&gt;""),Formulario!Q229,"")</f>
        <v/>
      </c>
      <c r="F217" t="str" cm="1">
        <f t="array" aca="1" ref="F217" ca="1">IF(OR(A217="",B217=""),"",LEFT(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7" t="str">
        <f>IF(AND(Formulario!G229&lt;&gt;"",Formulario!G229&lt;&gt;"",A217&lt;&gt;""),Formulario!G229,"")</f>
        <v/>
      </c>
      <c r="I217" t="str">
        <f>IF(AND(Formulario!D229&lt;&gt;"",A217&lt;&gt;""),"UY10","")</f>
        <v/>
      </c>
      <c r="J217" t="str">
        <f>IF(AND(Formulario!D229&lt;&gt;"",A217&lt;&gt;""),"0001","")</f>
        <v/>
      </c>
      <c r="K217" t="str">
        <f>IF(AND(Formulario!D229&lt;&gt;"",A217&lt;&gt;""),"1","")</f>
        <v/>
      </c>
    </row>
    <row r="218" spans="1:11" x14ac:dyDescent="0.3">
      <c r="A218" t="str">
        <f>IF(AND(Formulario!D230&lt;&gt;"",ISNUMBER(Formulario!D230)),Formulario!D230,"")</f>
        <v/>
      </c>
      <c r="B218" s="146" t="str">
        <f>IF(AND(Formulario!F230&lt;&gt;"", Formulario!F230&lt;&gt;"",A218&lt;&gt;""),Formulario!F230,"")</f>
        <v/>
      </c>
      <c r="C218" s="146" t="str">
        <f>IF(AND(Formulario!D230&lt;&gt;"", Formulario!E230&lt;&gt;"",A218&lt;&gt;""),Formulario!E230,"")</f>
        <v/>
      </c>
      <c r="D218" s="55" t="str">
        <f>IF('Cond SAP'!AA230="","",'Cond SAP'!AA230)</f>
        <v/>
      </c>
      <c r="E218" t="str">
        <f>IF(AND(Formulario!G230&lt;&gt;"",Formulario!Q230&lt;&gt;"",A218&lt;&gt;""),Formulario!Q230,"")</f>
        <v/>
      </c>
      <c r="F218" t="str" cm="1">
        <f t="array" aca="1" ref="F218" ca="1">IF(OR(A218="",B218=""),"",LEFT(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8" t="str">
        <f>IF(AND(Formulario!G230&lt;&gt;"",Formulario!G230&lt;&gt;"",A218&lt;&gt;""),Formulario!G230,"")</f>
        <v/>
      </c>
      <c r="I218" t="str">
        <f>IF(AND(Formulario!D230&lt;&gt;"",A218&lt;&gt;""),"UY10","")</f>
        <v/>
      </c>
      <c r="J218" t="str">
        <f>IF(AND(Formulario!D230&lt;&gt;"",A218&lt;&gt;""),"0001","")</f>
        <v/>
      </c>
      <c r="K218" t="str">
        <f>IF(AND(Formulario!D230&lt;&gt;"",A218&lt;&gt;""),"1","")</f>
        <v/>
      </c>
    </row>
    <row r="219" spans="1:11" x14ac:dyDescent="0.3">
      <c r="A219" t="str">
        <f>IF(AND(Formulario!D231&lt;&gt;"",ISNUMBER(Formulario!D231)),Formulario!D231,"")</f>
        <v/>
      </c>
      <c r="B219" s="146" t="str">
        <f>IF(AND(Formulario!F231&lt;&gt;"", Formulario!F231&lt;&gt;"",A219&lt;&gt;""),Formulario!F231,"")</f>
        <v/>
      </c>
      <c r="C219" s="146" t="str">
        <f>IF(AND(Formulario!D231&lt;&gt;"", Formulario!E231&lt;&gt;"",A219&lt;&gt;""),Formulario!E231,"")</f>
        <v/>
      </c>
      <c r="D219" s="55" t="str">
        <f>IF('Cond SAP'!AA231="","",'Cond SAP'!AA231)</f>
        <v/>
      </c>
      <c r="E219" t="str">
        <f>IF(AND(Formulario!G231&lt;&gt;"",Formulario!Q231&lt;&gt;"",A219&lt;&gt;""),Formulario!Q231,"")</f>
        <v/>
      </c>
      <c r="F219" t="str" cm="1">
        <f t="array" aca="1" ref="F219" ca="1">IF(OR(A219="",B219=""),"",LEFT(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19" t="str">
        <f>IF(AND(Formulario!G231&lt;&gt;"",Formulario!G231&lt;&gt;"",A219&lt;&gt;""),Formulario!G231,"")</f>
        <v/>
      </c>
      <c r="I219" t="str">
        <f>IF(AND(Formulario!D231&lt;&gt;"",A219&lt;&gt;""),"UY10","")</f>
        <v/>
      </c>
      <c r="J219" t="str">
        <f>IF(AND(Formulario!D231&lt;&gt;"",A219&lt;&gt;""),"0001","")</f>
        <v/>
      </c>
      <c r="K219" t="str">
        <f>IF(AND(Formulario!D231&lt;&gt;"",A219&lt;&gt;""),"1","")</f>
        <v/>
      </c>
    </row>
    <row r="220" spans="1:11" x14ac:dyDescent="0.3">
      <c r="A220" t="str">
        <f>IF(AND(Formulario!D232&lt;&gt;"",ISNUMBER(Formulario!D232)),Formulario!D232,"")</f>
        <v/>
      </c>
      <c r="B220" s="146" t="str">
        <f>IF(AND(Formulario!F232&lt;&gt;"", Formulario!F232&lt;&gt;"",A220&lt;&gt;""),Formulario!F232,"")</f>
        <v/>
      </c>
      <c r="C220" s="146" t="str">
        <f>IF(AND(Formulario!D232&lt;&gt;"", Formulario!E232&lt;&gt;"",A220&lt;&gt;""),Formulario!E232,"")</f>
        <v/>
      </c>
      <c r="D220" s="55" t="str">
        <f>IF('Cond SAP'!AA232="","",'Cond SAP'!AA232)</f>
        <v/>
      </c>
      <c r="E220" t="str">
        <f>IF(AND(Formulario!G232&lt;&gt;"",Formulario!Q232&lt;&gt;"",A220&lt;&gt;""),Formulario!Q232,"")</f>
        <v/>
      </c>
      <c r="F220" t="str" cm="1">
        <f t="array" aca="1" ref="F220" ca="1">IF(OR(A220="",B220=""),"",LEFT(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0" t="str">
        <f>IF(AND(Formulario!G232&lt;&gt;"",Formulario!G232&lt;&gt;"",A220&lt;&gt;""),Formulario!G232,"")</f>
        <v/>
      </c>
      <c r="I220" t="str">
        <f>IF(AND(Formulario!D232&lt;&gt;"",A220&lt;&gt;""),"UY10","")</f>
        <v/>
      </c>
      <c r="J220" t="str">
        <f>IF(AND(Formulario!D232&lt;&gt;"",A220&lt;&gt;""),"0001","")</f>
        <v/>
      </c>
      <c r="K220" t="str">
        <f>IF(AND(Formulario!D232&lt;&gt;"",A220&lt;&gt;""),"1","")</f>
        <v/>
      </c>
    </row>
    <row r="221" spans="1:11" x14ac:dyDescent="0.3">
      <c r="A221" t="str">
        <f>IF(AND(Formulario!D233&lt;&gt;"",ISNUMBER(Formulario!D233)),Formulario!D233,"")</f>
        <v/>
      </c>
      <c r="B221" s="146" t="str">
        <f>IF(AND(Formulario!F233&lt;&gt;"", Formulario!F233&lt;&gt;"",A221&lt;&gt;""),Formulario!F233,"")</f>
        <v/>
      </c>
      <c r="C221" s="146" t="str">
        <f>IF(AND(Formulario!D233&lt;&gt;"", Formulario!E233&lt;&gt;"",A221&lt;&gt;""),Formulario!E233,"")</f>
        <v/>
      </c>
      <c r="D221" s="55" t="str">
        <f>IF('Cond SAP'!AA233="","",'Cond SAP'!AA233)</f>
        <v/>
      </c>
      <c r="E221" t="str">
        <f>IF(AND(Formulario!G233&lt;&gt;"",Formulario!Q233&lt;&gt;"",A221&lt;&gt;""),Formulario!Q233,"")</f>
        <v/>
      </c>
      <c r="F221" t="str" cm="1">
        <f t="array" aca="1" ref="F221" ca="1">IF(OR(A221="",B221=""),"",LEFT(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1" t="str">
        <f>IF(AND(Formulario!G233&lt;&gt;"",Formulario!G233&lt;&gt;"",A221&lt;&gt;""),Formulario!G233,"")</f>
        <v/>
      </c>
      <c r="I221" t="str">
        <f>IF(AND(Formulario!D233&lt;&gt;"",A221&lt;&gt;""),"UY10","")</f>
        <v/>
      </c>
      <c r="J221" t="str">
        <f>IF(AND(Formulario!D233&lt;&gt;"",A221&lt;&gt;""),"0001","")</f>
        <v/>
      </c>
      <c r="K221" t="str">
        <f>IF(AND(Formulario!D233&lt;&gt;"",A221&lt;&gt;""),"1","")</f>
        <v/>
      </c>
    </row>
    <row r="222" spans="1:11" x14ac:dyDescent="0.3">
      <c r="A222" t="str">
        <f>IF(AND(Formulario!D234&lt;&gt;"",ISNUMBER(Formulario!D234)),Formulario!D234,"")</f>
        <v/>
      </c>
      <c r="B222" s="146" t="str">
        <f>IF(AND(Formulario!F234&lt;&gt;"", Formulario!F234&lt;&gt;"",A222&lt;&gt;""),Formulario!F234,"")</f>
        <v/>
      </c>
      <c r="C222" s="146" t="str">
        <f>IF(AND(Formulario!D234&lt;&gt;"", Formulario!E234&lt;&gt;"",A222&lt;&gt;""),Formulario!E234,"")</f>
        <v/>
      </c>
      <c r="D222" s="55" t="str">
        <f>IF('Cond SAP'!AA234="","",'Cond SAP'!AA234)</f>
        <v/>
      </c>
      <c r="E222" t="str">
        <f>IF(AND(Formulario!G234&lt;&gt;"",Formulario!Q234&lt;&gt;"",A222&lt;&gt;""),Formulario!Q234,"")</f>
        <v/>
      </c>
      <c r="F222" t="str" cm="1">
        <f t="array" aca="1" ref="F222" ca="1">IF(OR(A222="",B222=""),"",LEFT(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2" t="str">
        <f>IF(AND(Formulario!G234&lt;&gt;"",Formulario!G234&lt;&gt;"",A222&lt;&gt;""),Formulario!G234,"")</f>
        <v/>
      </c>
      <c r="I222" t="str">
        <f>IF(AND(Formulario!D234&lt;&gt;"",A222&lt;&gt;""),"UY10","")</f>
        <v/>
      </c>
      <c r="J222" t="str">
        <f>IF(AND(Formulario!D234&lt;&gt;"",A222&lt;&gt;""),"0001","")</f>
        <v/>
      </c>
      <c r="K222" t="str">
        <f>IF(AND(Formulario!D234&lt;&gt;"",A222&lt;&gt;""),"1","")</f>
        <v/>
      </c>
    </row>
    <row r="223" spans="1:11" x14ac:dyDescent="0.3">
      <c r="A223" t="str">
        <f>IF(AND(Formulario!D235&lt;&gt;"",ISNUMBER(Formulario!D235)),Formulario!D235,"")</f>
        <v/>
      </c>
      <c r="B223" s="146" t="str">
        <f>IF(AND(Formulario!F235&lt;&gt;"", Formulario!F235&lt;&gt;"",A223&lt;&gt;""),Formulario!F235,"")</f>
        <v/>
      </c>
      <c r="C223" s="146" t="str">
        <f>IF(AND(Formulario!D235&lt;&gt;"", Formulario!E235&lt;&gt;"",A223&lt;&gt;""),Formulario!E235,"")</f>
        <v/>
      </c>
      <c r="D223" s="55" t="str">
        <f>IF('Cond SAP'!AA235="","",'Cond SAP'!AA235)</f>
        <v/>
      </c>
      <c r="E223" t="str">
        <f>IF(AND(Formulario!G235&lt;&gt;"",Formulario!Q235&lt;&gt;"",A223&lt;&gt;""),Formulario!Q235,"")</f>
        <v/>
      </c>
      <c r="F223" t="str" cm="1">
        <f t="array" aca="1" ref="F223" ca="1">IF(OR(A223="",B223=""),"",LEFT(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3" t="str">
        <f>IF(AND(Formulario!G235&lt;&gt;"",Formulario!G235&lt;&gt;"",A223&lt;&gt;""),Formulario!G235,"")</f>
        <v/>
      </c>
      <c r="I223" t="str">
        <f>IF(AND(Formulario!D235&lt;&gt;"",A223&lt;&gt;""),"UY10","")</f>
        <v/>
      </c>
      <c r="J223" t="str">
        <f>IF(AND(Formulario!D235&lt;&gt;"",A223&lt;&gt;""),"0001","")</f>
        <v/>
      </c>
      <c r="K223" t="str">
        <f>IF(AND(Formulario!D235&lt;&gt;"",A223&lt;&gt;""),"1","")</f>
        <v/>
      </c>
    </row>
    <row r="224" spans="1:11" x14ac:dyDescent="0.3">
      <c r="A224" t="str">
        <f>IF(AND(Formulario!D236&lt;&gt;"",ISNUMBER(Formulario!D236)),Formulario!D236,"")</f>
        <v/>
      </c>
      <c r="B224" s="146" t="str">
        <f>IF(AND(Formulario!F236&lt;&gt;"", Formulario!F236&lt;&gt;"",A224&lt;&gt;""),Formulario!F236,"")</f>
        <v/>
      </c>
      <c r="C224" s="146" t="str">
        <f>IF(AND(Formulario!D236&lt;&gt;"", Formulario!E236&lt;&gt;"",A224&lt;&gt;""),Formulario!E236,"")</f>
        <v/>
      </c>
      <c r="D224" s="55" t="str">
        <f>IF('Cond SAP'!AA236="","",'Cond SAP'!AA236)</f>
        <v/>
      </c>
      <c r="E224" t="str">
        <f>IF(AND(Formulario!G236&lt;&gt;"",Formulario!Q236&lt;&gt;"",A224&lt;&gt;""),Formulario!Q236,"")</f>
        <v/>
      </c>
      <c r="F224" t="str" cm="1">
        <f t="array" aca="1" ref="F224" ca="1">IF(OR(A224="",B224=""),"",LEFT(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4" t="str">
        <f>IF(AND(Formulario!G236&lt;&gt;"",Formulario!G236&lt;&gt;"",A224&lt;&gt;""),Formulario!G236,"")</f>
        <v/>
      </c>
      <c r="I224" t="str">
        <f>IF(AND(Formulario!D236&lt;&gt;"",A224&lt;&gt;""),"UY10","")</f>
        <v/>
      </c>
      <c r="J224" t="str">
        <f>IF(AND(Formulario!D236&lt;&gt;"",A224&lt;&gt;""),"0001","")</f>
        <v/>
      </c>
      <c r="K224" t="str">
        <f>IF(AND(Formulario!D236&lt;&gt;"",A224&lt;&gt;""),"1","")</f>
        <v/>
      </c>
    </row>
    <row r="225" spans="1:11" x14ac:dyDescent="0.3">
      <c r="A225" t="str">
        <f>IF(AND(Formulario!D237&lt;&gt;"",ISNUMBER(Formulario!D237)),Formulario!D237,"")</f>
        <v/>
      </c>
      <c r="B225" s="146" t="str">
        <f>IF(AND(Formulario!F237&lt;&gt;"", Formulario!F237&lt;&gt;"",A225&lt;&gt;""),Formulario!F237,"")</f>
        <v/>
      </c>
      <c r="C225" s="146" t="str">
        <f>IF(AND(Formulario!D237&lt;&gt;"", Formulario!E237&lt;&gt;"",A225&lt;&gt;""),Formulario!E237,"")</f>
        <v/>
      </c>
      <c r="D225" s="55" t="str">
        <f>IF('Cond SAP'!AA237="","",'Cond SAP'!AA237)</f>
        <v/>
      </c>
      <c r="E225" t="str">
        <f>IF(AND(Formulario!G237&lt;&gt;"",Formulario!Q237&lt;&gt;"",A225&lt;&gt;""),Formulario!Q237,"")</f>
        <v/>
      </c>
      <c r="F225" t="str" cm="1">
        <f t="array" aca="1" ref="F225" ca="1">IF(OR(A225="",B225=""),"",LEFT(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5" t="str">
        <f>IF(AND(Formulario!G237&lt;&gt;"",Formulario!G237&lt;&gt;"",A225&lt;&gt;""),Formulario!G237,"")</f>
        <v/>
      </c>
      <c r="I225" t="str">
        <f>IF(AND(Formulario!D237&lt;&gt;"",A225&lt;&gt;""),"UY10","")</f>
        <v/>
      </c>
      <c r="J225" t="str">
        <f>IF(AND(Formulario!D237&lt;&gt;"",A225&lt;&gt;""),"0001","")</f>
        <v/>
      </c>
      <c r="K225" t="str">
        <f>IF(AND(Formulario!D237&lt;&gt;"",A225&lt;&gt;""),"1","")</f>
        <v/>
      </c>
    </row>
    <row r="226" spans="1:11" x14ac:dyDescent="0.3">
      <c r="A226" t="str">
        <f>IF(AND(Formulario!D238&lt;&gt;"",ISNUMBER(Formulario!D238)),Formulario!D238,"")</f>
        <v/>
      </c>
      <c r="B226" s="146" t="str">
        <f>IF(AND(Formulario!F238&lt;&gt;"", Formulario!F238&lt;&gt;"",A226&lt;&gt;""),Formulario!F238,"")</f>
        <v/>
      </c>
      <c r="C226" s="146" t="str">
        <f>IF(AND(Formulario!D238&lt;&gt;"", Formulario!E238&lt;&gt;"",A226&lt;&gt;""),Formulario!E238,"")</f>
        <v/>
      </c>
      <c r="D226" s="55" t="str">
        <f>IF('Cond SAP'!AA238="","",'Cond SAP'!AA238)</f>
        <v/>
      </c>
      <c r="E226" t="str">
        <f>IF(AND(Formulario!G238&lt;&gt;"",Formulario!Q238&lt;&gt;"",A226&lt;&gt;""),Formulario!Q238,"")</f>
        <v/>
      </c>
      <c r="F226" t="str" cm="1">
        <f t="array" aca="1" ref="F226" ca="1">IF(OR(A226="",B226=""),"",LEFT(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6" t="str">
        <f>IF(AND(Formulario!G238&lt;&gt;"",Formulario!G238&lt;&gt;"",A226&lt;&gt;""),Formulario!G238,"")</f>
        <v/>
      </c>
      <c r="I226" t="str">
        <f>IF(AND(Formulario!D238&lt;&gt;"",A226&lt;&gt;""),"UY10","")</f>
        <v/>
      </c>
      <c r="J226" t="str">
        <f>IF(AND(Formulario!D238&lt;&gt;"",A226&lt;&gt;""),"0001","")</f>
        <v/>
      </c>
      <c r="K226" t="str">
        <f>IF(AND(Formulario!D238&lt;&gt;"",A226&lt;&gt;""),"1","")</f>
        <v/>
      </c>
    </row>
    <row r="227" spans="1:11" x14ac:dyDescent="0.3">
      <c r="A227" t="str">
        <f>IF(AND(Formulario!D239&lt;&gt;"",ISNUMBER(Formulario!D239)),Formulario!D239,"")</f>
        <v/>
      </c>
      <c r="B227" s="146" t="str">
        <f>IF(AND(Formulario!F239&lt;&gt;"", Formulario!F239&lt;&gt;"",A227&lt;&gt;""),Formulario!F239,"")</f>
        <v/>
      </c>
      <c r="C227" s="146" t="str">
        <f>IF(AND(Formulario!D239&lt;&gt;"", Formulario!E239&lt;&gt;"",A227&lt;&gt;""),Formulario!E239,"")</f>
        <v/>
      </c>
      <c r="D227" s="55" t="str">
        <f>IF('Cond SAP'!AA239="","",'Cond SAP'!AA239)</f>
        <v/>
      </c>
      <c r="E227" t="str">
        <f>IF(AND(Formulario!G239&lt;&gt;"",Formulario!Q239&lt;&gt;"",A227&lt;&gt;""),Formulario!Q239,"")</f>
        <v/>
      </c>
      <c r="F227" t="str" cm="1">
        <f t="array" aca="1" ref="F227" ca="1">IF(OR(A227="",B227=""),"",LEFT(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7" t="str">
        <f>IF(AND(Formulario!G239&lt;&gt;"",Formulario!G239&lt;&gt;"",A227&lt;&gt;""),Formulario!G239,"")</f>
        <v/>
      </c>
      <c r="I227" t="str">
        <f>IF(AND(Formulario!D239&lt;&gt;"",A227&lt;&gt;""),"UY10","")</f>
        <v/>
      </c>
      <c r="J227" t="str">
        <f>IF(AND(Formulario!D239&lt;&gt;"",A227&lt;&gt;""),"0001","")</f>
        <v/>
      </c>
      <c r="K227" t="str">
        <f>IF(AND(Formulario!D239&lt;&gt;"",A227&lt;&gt;""),"1","")</f>
        <v/>
      </c>
    </row>
    <row r="228" spans="1:11" x14ac:dyDescent="0.3">
      <c r="A228" t="str">
        <f>IF(AND(Formulario!D240&lt;&gt;"",ISNUMBER(Formulario!D240)),Formulario!D240,"")</f>
        <v/>
      </c>
      <c r="B228" s="146" t="str">
        <f>IF(AND(Formulario!F240&lt;&gt;"", Formulario!F240&lt;&gt;"",A228&lt;&gt;""),Formulario!F240,"")</f>
        <v/>
      </c>
      <c r="C228" s="146" t="str">
        <f>IF(AND(Formulario!D240&lt;&gt;"", Formulario!E240&lt;&gt;"",A228&lt;&gt;""),Formulario!E240,"")</f>
        <v/>
      </c>
      <c r="D228" s="55" t="str">
        <f>IF('Cond SAP'!AA240="","",'Cond SAP'!AA240)</f>
        <v/>
      </c>
      <c r="E228" t="str">
        <f>IF(AND(Formulario!G240&lt;&gt;"",Formulario!Q240&lt;&gt;"",A228&lt;&gt;""),Formulario!Q240,"")</f>
        <v/>
      </c>
      <c r="F228" t="str" cm="1">
        <f t="array" aca="1" ref="F228" ca="1">IF(OR(A228="",B228=""),"",LEFT(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8" t="str">
        <f>IF(AND(Formulario!G240&lt;&gt;"",Formulario!G240&lt;&gt;"",A228&lt;&gt;""),Formulario!G240,"")</f>
        <v/>
      </c>
      <c r="I228" t="str">
        <f>IF(AND(Formulario!D240&lt;&gt;"",A228&lt;&gt;""),"UY10","")</f>
        <v/>
      </c>
      <c r="J228" t="str">
        <f>IF(AND(Formulario!D240&lt;&gt;"",A228&lt;&gt;""),"0001","")</f>
        <v/>
      </c>
      <c r="K228" t="str">
        <f>IF(AND(Formulario!D240&lt;&gt;"",A228&lt;&gt;""),"1","")</f>
        <v/>
      </c>
    </row>
    <row r="229" spans="1:11" x14ac:dyDescent="0.3">
      <c r="A229" t="str">
        <f>IF(AND(Formulario!D241&lt;&gt;"",ISNUMBER(Formulario!D241)),Formulario!D241,"")</f>
        <v/>
      </c>
      <c r="B229" s="146" t="str">
        <f>IF(AND(Formulario!F241&lt;&gt;"", Formulario!F241&lt;&gt;"",A229&lt;&gt;""),Formulario!F241,"")</f>
        <v/>
      </c>
      <c r="C229" s="146" t="str">
        <f>IF(AND(Formulario!D241&lt;&gt;"", Formulario!E241&lt;&gt;"",A229&lt;&gt;""),Formulario!E241,"")</f>
        <v/>
      </c>
      <c r="D229" s="55" t="str">
        <f>IF('Cond SAP'!AA241="","",'Cond SAP'!AA241)</f>
        <v/>
      </c>
      <c r="E229" t="str">
        <f>IF(AND(Formulario!G241&lt;&gt;"",Formulario!Q241&lt;&gt;"",A229&lt;&gt;""),Formulario!Q241,"")</f>
        <v/>
      </c>
      <c r="F229" t="str" cm="1">
        <f t="array" aca="1" ref="F229" ca="1">IF(OR(A229="",B229=""),"",LEFT(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29" t="str">
        <f>IF(AND(Formulario!G241&lt;&gt;"",Formulario!G241&lt;&gt;"",A229&lt;&gt;""),Formulario!G241,"")</f>
        <v/>
      </c>
      <c r="I229" t="str">
        <f>IF(AND(Formulario!D241&lt;&gt;"",A229&lt;&gt;""),"UY10","")</f>
        <v/>
      </c>
      <c r="J229" t="str">
        <f>IF(AND(Formulario!D241&lt;&gt;"",A229&lt;&gt;""),"0001","")</f>
        <v/>
      </c>
      <c r="K229" t="str">
        <f>IF(AND(Formulario!D241&lt;&gt;"",A229&lt;&gt;""),"1","")</f>
        <v/>
      </c>
    </row>
    <row r="230" spans="1:11" x14ac:dyDescent="0.3">
      <c r="A230" t="str">
        <f>IF(AND(Formulario!D242&lt;&gt;"",ISNUMBER(Formulario!D242)),Formulario!D242,"")</f>
        <v/>
      </c>
      <c r="B230" s="146" t="str">
        <f>IF(AND(Formulario!F242&lt;&gt;"", Formulario!F242&lt;&gt;"",A230&lt;&gt;""),Formulario!F242,"")</f>
        <v/>
      </c>
      <c r="C230" s="146" t="str">
        <f>IF(AND(Formulario!D242&lt;&gt;"", Formulario!E242&lt;&gt;"",A230&lt;&gt;""),Formulario!E242,"")</f>
        <v/>
      </c>
      <c r="D230" s="55" t="str">
        <f>IF('Cond SAP'!AA242="","",'Cond SAP'!AA242)</f>
        <v/>
      </c>
      <c r="E230" t="str">
        <f>IF(AND(Formulario!G242&lt;&gt;"",Formulario!Q242&lt;&gt;"",A230&lt;&gt;""),Formulario!Q242,"")</f>
        <v/>
      </c>
      <c r="F230" t="str" cm="1">
        <f t="array" aca="1" ref="F230" ca="1">IF(OR(A230="",B230=""),"",LEFT(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0" t="str">
        <f>IF(AND(Formulario!G242&lt;&gt;"",Formulario!G242&lt;&gt;"",A230&lt;&gt;""),Formulario!G242,"")</f>
        <v/>
      </c>
      <c r="I230" t="str">
        <f>IF(AND(Formulario!D242&lt;&gt;"",A230&lt;&gt;""),"UY10","")</f>
        <v/>
      </c>
      <c r="J230" t="str">
        <f>IF(AND(Formulario!D242&lt;&gt;"",A230&lt;&gt;""),"0001","")</f>
        <v/>
      </c>
      <c r="K230" t="str">
        <f>IF(AND(Formulario!D242&lt;&gt;"",A230&lt;&gt;""),"1","")</f>
        <v/>
      </c>
    </row>
    <row r="231" spans="1:11" x14ac:dyDescent="0.3">
      <c r="A231" t="str">
        <f>IF(AND(Formulario!D243&lt;&gt;"",ISNUMBER(Formulario!D243)),Formulario!D243,"")</f>
        <v/>
      </c>
      <c r="B231" s="146" t="str">
        <f>IF(AND(Formulario!F243&lt;&gt;"", Formulario!F243&lt;&gt;"",A231&lt;&gt;""),Formulario!F243,"")</f>
        <v/>
      </c>
      <c r="C231" s="146" t="str">
        <f>IF(AND(Formulario!D243&lt;&gt;"", Formulario!E243&lt;&gt;"",A231&lt;&gt;""),Formulario!E243,"")</f>
        <v/>
      </c>
      <c r="D231" s="55" t="str">
        <f>IF('Cond SAP'!AA243="","",'Cond SAP'!AA243)</f>
        <v/>
      </c>
      <c r="E231" t="str">
        <f>IF(AND(Formulario!G243&lt;&gt;"",Formulario!Q243&lt;&gt;"",A231&lt;&gt;""),Formulario!Q243,"")</f>
        <v/>
      </c>
      <c r="F231" t="str" cm="1">
        <f t="array" aca="1" ref="F231" ca="1">IF(OR(A231="",B231=""),"",LEFT(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1" t="str">
        <f>IF(AND(Formulario!G243&lt;&gt;"",Formulario!G243&lt;&gt;"",A231&lt;&gt;""),Formulario!G243,"")</f>
        <v/>
      </c>
      <c r="I231" t="str">
        <f>IF(AND(Formulario!D243&lt;&gt;"",A231&lt;&gt;""),"UY10","")</f>
        <v/>
      </c>
      <c r="J231" t="str">
        <f>IF(AND(Formulario!D243&lt;&gt;"",A231&lt;&gt;""),"0001","")</f>
        <v/>
      </c>
      <c r="K231" t="str">
        <f>IF(AND(Formulario!D243&lt;&gt;"",A231&lt;&gt;""),"1","")</f>
        <v/>
      </c>
    </row>
    <row r="232" spans="1:11" x14ac:dyDescent="0.3">
      <c r="A232" t="str">
        <f>IF(AND(Formulario!D244&lt;&gt;"",ISNUMBER(Formulario!D244)),Formulario!D244,"")</f>
        <v/>
      </c>
      <c r="B232" s="146" t="str">
        <f>IF(AND(Formulario!F244&lt;&gt;"", Formulario!F244&lt;&gt;"",A232&lt;&gt;""),Formulario!F244,"")</f>
        <v/>
      </c>
      <c r="C232" s="146" t="str">
        <f>IF(AND(Formulario!D244&lt;&gt;"", Formulario!E244&lt;&gt;"",A232&lt;&gt;""),Formulario!E244,"")</f>
        <v/>
      </c>
      <c r="D232" s="55" t="str">
        <f>IF('Cond SAP'!AA244="","",'Cond SAP'!AA244)</f>
        <v/>
      </c>
      <c r="E232" t="str">
        <f>IF(AND(Formulario!G244&lt;&gt;"",Formulario!Q244&lt;&gt;"",A232&lt;&gt;""),Formulario!Q244,"")</f>
        <v/>
      </c>
      <c r="F232" t="str" cm="1">
        <f t="array" aca="1" ref="F232" ca="1">IF(OR(A232="",B232=""),"",LEFT(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2" t="str">
        <f>IF(AND(Formulario!G244&lt;&gt;"",Formulario!G244&lt;&gt;"",A232&lt;&gt;""),Formulario!G244,"")</f>
        <v/>
      </c>
      <c r="I232" t="str">
        <f>IF(AND(Formulario!D244&lt;&gt;"",A232&lt;&gt;""),"UY10","")</f>
        <v/>
      </c>
      <c r="J232" t="str">
        <f>IF(AND(Formulario!D244&lt;&gt;"",A232&lt;&gt;""),"0001","")</f>
        <v/>
      </c>
      <c r="K232" t="str">
        <f>IF(AND(Formulario!D244&lt;&gt;"",A232&lt;&gt;""),"1","")</f>
        <v/>
      </c>
    </row>
    <row r="233" spans="1:11" x14ac:dyDescent="0.3">
      <c r="A233" t="str">
        <f>IF(AND(Formulario!D245&lt;&gt;"",ISNUMBER(Formulario!D245)),Formulario!D245,"")</f>
        <v/>
      </c>
      <c r="B233" s="146" t="str">
        <f>IF(AND(Formulario!F245&lt;&gt;"", Formulario!F245&lt;&gt;"",A233&lt;&gt;""),Formulario!F245,"")</f>
        <v/>
      </c>
      <c r="C233" s="146" t="str">
        <f>IF(AND(Formulario!D245&lt;&gt;"", Formulario!E245&lt;&gt;"",A233&lt;&gt;""),Formulario!E245,"")</f>
        <v/>
      </c>
      <c r="D233" s="55" t="str">
        <f>IF('Cond SAP'!AA245="","",'Cond SAP'!AA245)</f>
        <v/>
      </c>
      <c r="E233" t="str">
        <f>IF(AND(Formulario!G245&lt;&gt;"",Formulario!Q245&lt;&gt;"",A233&lt;&gt;""),Formulario!Q245,"")</f>
        <v/>
      </c>
      <c r="F233" t="str" cm="1">
        <f t="array" aca="1" ref="F233" ca="1">IF(OR(A233="",B233=""),"",LEFT(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3" t="str">
        <f>IF(AND(Formulario!G245&lt;&gt;"",Formulario!G245&lt;&gt;"",A233&lt;&gt;""),Formulario!G245,"")</f>
        <v/>
      </c>
      <c r="I233" t="str">
        <f>IF(AND(Formulario!D245&lt;&gt;"",A233&lt;&gt;""),"UY10","")</f>
        <v/>
      </c>
      <c r="J233" t="str">
        <f>IF(AND(Formulario!D245&lt;&gt;"",A233&lt;&gt;""),"0001","")</f>
        <v/>
      </c>
      <c r="K233" t="str">
        <f>IF(AND(Formulario!D245&lt;&gt;"",A233&lt;&gt;""),"1","")</f>
        <v/>
      </c>
    </row>
    <row r="234" spans="1:11" x14ac:dyDescent="0.3">
      <c r="A234" t="str">
        <f>IF(AND(Formulario!D246&lt;&gt;"",ISNUMBER(Formulario!D246)),Formulario!D246,"")</f>
        <v/>
      </c>
      <c r="B234" s="146" t="str">
        <f>IF(AND(Formulario!F246&lt;&gt;"", Formulario!F246&lt;&gt;"",A234&lt;&gt;""),Formulario!F246,"")</f>
        <v/>
      </c>
      <c r="C234" s="146" t="str">
        <f>IF(AND(Formulario!D246&lt;&gt;"", Formulario!E246&lt;&gt;"",A234&lt;&gt;""),Formulario!E246,"")</f>
        <v/>
      </c>
      <c r="D234" s="55" t="str">
        <f>IF('Cond SAP'!AA246="","",'Cond SAP'!AA246)</f>
        <v/>
      </c>
      <c r="E234" t="str">
        <f>IF(AND(Formulario!G246&lt;&gt;"",Formulario!Q246&lt;&gt;"",A234&lt;&gt;""),Formulario!Q246,"")</f>
        <v/>
      </c>
      <c r="F234" t="str" cm="1">
        <f t="array" aca="1" ref="F234" ca="1">IF(OR(A234="",B234=""),"",LEFT(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4" t="str">
        <f>IF(AND(Formulario!G246&lt;&gt;"",Formulario!G246&lt;&gt;"",A234&lt;&gt;""),Formulario!G246,"")</f>
        <v/>
      </c>
      <c r="I234" t="str">
        <f>IF(AND(Formulario!D246&lt;&gt;"",A234&lt;&gt;""),"UY10","")</f>
        <v/>
      </c>
      <c r="J234" t="str">
        <f>IF(AND(Formulario!D246&lt;&gt;"",A234&lt;&gt;""),"0001","")</f>
        <v/>
      </c>
      <c r="K234" t="str">
        <f>IF(AND(Formulario!D246&lt;&gt;"",A234&lt;&gt;""),"1","")</f>
        <v/>
      </c>
    </row>
    <row r="235" spans="1:11" x14ac:dyDescent="0.3">
      <c r="A235" t="str">
        <f>IF(AND(Formulario!D247&lt;&gt;"",ISNUMBER(Formulario!D247)),Formulario!D247,"")</f>
        <v/>
      </c>
      <c r="B235" s="146" t="str">
        <f>IF(AND(Formulario!F247&lt;&gt;"", Formulario!F247&lt;&gt;"",A235&lt;&gt;""),Formulario!F247,"")</f>
        <v/>
      </c>
      <c r="C235" s="146" t="str">
        <f>IF(AND(Formulario!D247&lt;&gt;"", Formulario!E247&lt;&gt;"",A235&lt;&gt;""),Formulario!E247,"")</f>
        <v/>
      </c>
      <c r="D235" s="55" t="str">
        <f>IF('Cond SAP'!AA247="","",'Cond SAP'!AA247)</f>
        <v/>
      </c>
      <c r="E235" t="str">
        <f>IF(AND(Formulario!G247&lt;&gt;"",Formulario!Q247&lt;&gt;"",A235&lt;&gt;""),Formulario!Q247,"")</f>
        <v/>
      </c>
      <c r="F235" t="str" cm="1">
        <f t="array" aca="1" ref="F235" ca="1">IF(OR(A235="",B235=""),"",LEFT(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5" t="str">
        <f>IF(AND(Formulario!G247&lt;&gt;"",Formulario!G247&lt;&gt;"",A235&lt;&gt;""),Formulario!G247,"")</f>
        <v/>
      </c>
      <c r="I235" t="str">
        <f>IF(AND(Formulario!D247&lt;&gt;"",A235&lt;&gt;""),"UY10","")</f>
        <v/>
      </c>
      <c r="J235" t="str">
        <f>IF(AND(Formulario!D247&lt;&gt;"",A235&lt;&gt;""),"0001","")</f>
        <v/>
      </c>
      <c r="K235" t="str">
        <f>IF(AND(Formulario!D247&lt;&gt;"",A235&lt;&gt;""),"1","")</f>
        <v/>
      </c>
    </row>
    <row r="236" spans="1:11" x14ac:dyDescent="0.3">
      <c r="A236" t="str">
        <f>IF(AND(Formulario!D248&lt;&gt;"",ISNUMBER(Formulario!D248)),Formulario!D248,"")</f>
        <v/>
      </c>
      <c r="B236" s="146" t="str">
        <f>IF(AND(Formulario!F248&lt;&gt;"", Formulario!F248&lt;&gt;"",A236&lt;&gt;""),Formulario!F248,"")</f>
        <v/>
      </c>
      <c r="C236" s="146" t="str">
        <f>IF(AND(Formulario!D248&lt;&gt;"", Formulario!E248&lt;&gt;"",A236&lt;&gt;""),Formulario!E248,"")</f>
        <v/>
      </c>
      <c r="D236" s="55" t="str">
        <f>IF('Cond SAP'!AA248="","",'Cond SAP'!AA248)</f>
        <v/>
      </c>
      <c r="E236" t="str">
        <f>IF(AND(Formulario!G248&lt;&gt;"",Formulario!Q248&lt;&gt;"",A236&lt;&gt;""),Formulario!Q248,"")</f>
        <v/>
      </c>
      <c r="F236" t="str" cm="1">
        <f t="array" aca="1" ref="F236" ca="1">IF(OR(A236="",B236=""),"",LEFT(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6" t="str">
        <f>IF(AND(Formulario!G248&lt;&gt;"",Formulario!G248&lt;&gt;"",A236&lt;&gt;""),Formulario!G248,"")</f>
        <v/>
      </c>
      <c r="I236" t="str">
        <f>IF(AND(Formulario!D248&lt;&gt;"",A236&lt;&gt;""),"UY10","")</f>
        <v/>
      </c>
      <c r="J236" t="str">
        <f>IF(AND(Formulario!D248&lt;&gt;"",A236&lt;&gt;""),"0001","")</f>
        <v/>
      </c>
      <c r="K236" t="str">
        <f>IF(AND(Formulario!D248&lt;&gt;"",A236&lt;&gt;""),"1","")</f>
        <v/>
      </c>
    </row>
    <row r="237" spans="1:11" x14ac:dyDescent="0.3">
      <c r="A237" t="str">
        <f>IF(AND(Formulario!D249&lt;&gt;"",ISNUMBER(Formulario!D249)),Formulario!D249,"")</f>
        <v/>
      </c>
      <c r="B237" s="146" t="str">
        <f>IF(AND(Formulario!F249&lt;&gt;"", Formulario!F249&lt;&gt;"",A237&lt;&gt;""),Formulario!F249,"")</f>
        <v/>
      </c>
      <c r="C237" s="146" t="str">
        <f>IF(AND(Formulario!D249&lt;&gt;"", Formulario!E249&lt;&gt;"",A237&lt;&gt;""),Formulario!E249,"")</f>
        <v/>
      </c>
      <c r="D237" s="55" t="str">
        <f>IF('Cond SAP'!AA249="","",'Cond SAP'!AA249)</f>
        <v/>
      </c>
      <c r="E237" t="str">
        <f>IF(AND(Formulario!G249&lt;&gt;"",Formulario!Q249&lt;&gt;"",A237&lt;&gt;""),Formulario!Q249,"")</f>
        <v/>
      </c>
      <c r="F237" t="str" cm="1">
        <f t="array" aca="1" ref="F237" ca="1">IF(OR(A237="",B237=""),"",LEFT(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7" t="str">
        <f>IF(AND(Formulario!G249&lt;&gt;"",Formulario!G249&lt;&gt;"",A237&lt;&gt;""),Formulario!G249,"")</f>
        <v/>
      </c>
      <c r="I237" t="str">
        <f>IF(AND(Formulario!D249&lt;&gt;"",A237&lt;&gt;""),"UY10","")</f>
        <v/>
      </c>
      <c r="J237" t="str">
        <f>IF(AND(Formulario!D249&lt;&gt;"",A237&lt;&gt;""),"0001","")</f>
        <v/>
      </c>
      <c r="K237" t="str">
        <f>IF(AND(Formulario!D249&lt;&gt;"",A237&lt;&gt;""),"1","")</f>
        <v/>
      </c>
    </row>
    <row r="238" spans="1:11" x14ac:dyDescent="0.3">
      <c r="A238" t="str">
        <f>IF(AND(Formulario!D250&lt;&gt;"",ISNUMBER(Formulario!D250)),Formulario!D250,"")</f>
        <v/>
      </c>
      <c r="B238" s="146" t="str">
        <f>IF(AND(Formulario!F250&lt;&gt;"", Formulario!F250&lt;&gt;"",A238&lt;&gt;""),Formulario!F250,"")</f>
        <v/>
      </c>
      <c r="C238" s="146" t="str">
        <f>IF(AND(Formulario!D250&lt;&gt;"", Formulario!E250&lt;&gt;"",A238&lt;&gt;""),Formulario!E250,"")</f>
        <v/>
      </c>
      <c r="D238" s="55" t="str">
        <f>IF('Cond SAP'!AA250="","",'Cond SAP'!AA250)</f>
        <v/>
      </c>
      <c r="E238" t="str">
        <f>IF(AND(Formulario!G250&lt;&gt;"",Formulario!Q250&lt;&gt;"",A238&lt;&gt;""),Formulario!Q250,"")</f>
        <v/>
      </c>
      <c r="F238" t="str" cm="1">
        <f t="array" aca="1" ref="F238" ca="1">IF(OR(A238="",B238=""),"",LEFT(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8" t="str">
        <f>IF(AND(Formulario!G250&lt;&gt;"",Formulario!G250&lt;&gt;"",A238&lt;&gt;""),Formulario!G250,"")</f>
        <v/>
      </c>
      <c r="I238" t="str">
        <f>IF(AND(Formulario!D250&lt;&gt;"",A238&lt;&gt;""),"UY10","")</f>
        <v/>
      </c>
      <c r="J238" t="str">
        <f>IF(AND(Formulario!D250&lt;&gt;"",A238&lt;&gt;""),"0001","")</f>
        <v/>
      </c>
      <c r="K238" t="str">
        <f>IF(AND(Formulario!D250&lt;&gt;"",A238&lt;&gt;""),"1","")</f>
        <v/>
      </c>
    </row>
    <row r="239" spans="1:11" x14ac:dyDescent="0.3">
      <c r="A239" t="str">
        <f>IF(AND(Formulario!D251&lt;&gt;"",ISNUMBER(Formulario!D251)),Formulario!D251,"")</f>
        <v/>
      </c>
      <c r="B239" s="146" t="str">
        <f>IF(AND(Formulario!F251&lt;&gt;"", Formulario!F251&lt;&gt;"",A239&lt;&gt;""),Formulario!F251,"")</f>
        <v/>
      </c>
      <c r="C239" s="146" t="str">
        <f>IF(AND(Formulario!D251&lt;&gt;"", Formulario!E251&lt;&gt;"",A239&lt;&gt;""),Formulario!E251,"")</f>
        <v/>
      </c>
      <c r="D239" s="55" t="str">
        <f>IF('Cond SAP'!AA251="","",'Cond SAP'!AA251)</f>
        <v/>
      </c>
      <c r="E239" t="str">
        <f>IF(AND(Formulario!G251&lt;&gt;"",Formulario!Q251&lt;&gt;"",A239&lt;&gt;""),Formulario!Q251,"")</f>
        <v/>
      </c>
      <c r="F239" t="str" cm="1">
        <f t="array" aca="1" ref="F239" ca="1">IF(OR(A239="",B239=""),"",LEFT(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39" t="str">
        <f>IF(AND(Formulario!G251&lt;&gt;"",Formulario!G251&lt;&gt;"",A239&lt;&gt;""),Formulario!G251,"")</f>
        <v/>
      </c>
      <c r="I239" t="str">
        <f>IF(AND(Formulario!D251&lt;&gt;"",A239&lt;&gt;""),"UY10","")</f>
        <v/>
      </c>
      <c r="J239" t="str">
        <f>IF(AND(Formulario!D251&lt;&gt;"",A239&lt;&gt;""),"0001","")</f>
        <v/>
      </c>
      <c r="K239" t="str">
        <f>IF(AND(Formulario!D251&lt;&gt;"",A239&lt;&gt;""),"1","")</f>
        <v/>
      </c>
    </row>
    <row r="240" spans="1:11" x14ac:dyDescent="0.3">
      <c r="A240" t="str">
        <f>IF(AND(Formulario!D252&lt;&gt;"",ISNUMBER(Formulario!D252)),Formulario!D252,"")</f>
        <v/>
      </c>
      <c r="B240" s="146" t="str">
        <f>IF(AND(Formulario!F252&lt;&gt;"", Formulario!F252&lt;&gt;"",A240&lt;&gt;""),Formulario!F252,"")</f>
        <v/>
      </c>
      <c r="C240" s="146" t="str">
        <f>IF(AND(Formulario!D252&lt;&gt;"", Formulario!E252&lt;&gt;"",A240&lt;&gt;""),Formulario!E252,"")</f>
        <v/>
      </c>
      <c r="D240" s="55" t="str">
        <f>IF('Cond SAP'!AA252="","",'Cond SAP'!AA252)</f>
        <v/>
      </c>
      <c r="E240" t="str">
        <f>IF(AND(Formulario!G252&lt;&gt;"",Formulario!Q252&lt;&gt;"",A240&lt;&gt;""),Formulario!Q252,"")</f>
        <v/>
      </c>
      <c r="F240" t="str" cm="1">
        <f t="array" aca="1" ref="F240" ca="1">IF(OR(A240="",B240=""),"",LEFT(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0" t="str">
        <f>IF(AND(Formulario!G252&lt;&gt;"",Formulario!G252&lt;&gt;"",A240&lt;&gt;""),Formulario!G252,"")</f>
        <v/>
      </c>
      <c r="I240" t="str">
        <f>IF(AND(Formulario!D252&lt;&gt;"",A240&lt;&gt;""),"UY10","")</f>
        <v/>
      </c>
      <c r="J240" t="str">
        <f>IF(AND(Formulario!D252&lt;&gt;"",A240&lt;&gt;""),"0001","")</f>
        <v/>
      </c>
      <c r="K240" t="str">
        <f>IF(AND(Formulario!D252&lt;&gt;"",A240&lt;&gt;""),"1","")</f>
        <v/>
      </c>
    </row>
    <row r="241" spans="1:11" x14ac:dyDescent="0.3">
      <c r="A241" t="str">
        <f>IF(AND(Formulario!D253&lt;&gt;"",ISNUMBER(Formulario!D253)),Formulario!D253,"")</f>
        <v/>
      </c>
      <c r="B241" s="146" t="str">
        <f>IF(AND(Formulario!F253&lt;&gt;"", Formulario!F253&lt;&gt;"",A241&lt;&gt;""),Formulario!F253,"")</f>
        <v/>
      </c>
      <c r="C241" s="146" t="str">
        <f>IF(AND(Formulario!D253&lt;&gt;"", Formulario!E253&lt;&gt;"",A241&lt;&gt;""),Formulario!E253,"")</f>
        <v/>
      </c>
      <c r="D241" s="55" t="str">
        <f>IF('Cond SAP'!AA253="","",'Cond SAP'!AA253)</f>
        <v/>
      </c>
      <c r="E241" t="str">
        <f>IF(AND(Formulario!G253&lt;&gt;"",Formulario!Q253&lt;&gt;"",A241&lt;&gt;""),Formulario!Q253,"")</f>
        <v/>
      </c>
      <c r="F241" t="str" cm="1">
        <f t="array" aca="1" ref="F241" ca="1">IF(OR(A241="",B241=""),"",LEFT(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1" t="str">
        <f>IF(AND(Formulario!G253&lt;&gt;"",Formulario!G253&lt;&gt;"",A241&lt;&gt;""),Formulario!G253,"")</f>
        <v/>
      </c>
      <c r="I241" t="str">
        <f>IF(AND(Formulario!D253&lt;&gt;"",A241&lt;&gt;""),"UY10","")</f>
        <v/>
      </c>
      <c r="J241" t="str">
        <f>IF(AND(Formulario!D253&lt;&gt;"",A241&lt;&gt;""),"0001","")</f>
        <v/>
      </c>
      <c r="K241" t="str">
        <f>IF(AND(Formulario!D253&lt;&gt;"",A241&lt;&gt;""),"1","")</f>
        <v/>
      </c>
    </row>
    <row r="242" spans="1:11" x14ac:dyDescent="0.3">
      <c r="A242" t="str">
        <f>IF(AND(Formulario!D254&lt;&gt;"",ISNUMBER(Formulario!D254)),Formulario!D254,"")</f>
        <v/>
      </c>
      <c r="B242" s="146" t="str">
        <f>IF(AND(Formulario!F254&lt;&gt;"", Formulario!F254&lt;&gt;"",A242&lt;&gt;""),Formulario!F254,"")</f>
        <v/>
      </c>
      <c r="C242" s="146" t="str">
        <f>IF(AND(Formulario!D254&lt;&gt;"", Formulario!E254&lt;&gt;"",A242&lt;&gt;""),Formulario!E254,"")</f>
        <v/>
      </c>
      <c r="D242" s="55" t="str">
        <f>IF('Cond SAP'!AA254="","",'Cond SAP'!AA254)</f>
        <v/>
      </c>
      <c r="E242" t="str">
        <f>IF(AND(Formulario!G254&lt;&gt;"",Formulario!Q254&lt;&gt;"",A242&lt;&gt;""),Formulario!Q254,"")</f>
        <v/>
      </c>
      <c r="F242" t="str" cm="1">
        <f t="array" aca="1" ref="F242" ca="1">IF(OR(A242="",B242=""),"",LEFT(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2" t="str">
        <f>IF(AND(Formulario!G254&lt;&gt;"",Formulario!G254&lt;&gt;"",A242&lt;&gt;""),Formulario!G254,"")</f>
        <v/>
      </c>
      <c r="I242" t="str">
        <f>IF(AND(Formulario!D254&lt;&gt;"",A242&lt;&gt;""),"UY10","")</f>
        <v/>
      </c>
      <c r="J242" t="str">
        <f>IF(AND(Formulario!D254&lt;&gt;"",A242&lt;&gt;""),"0001","")</f>
        <v/>
      </c>
      <c r="K242" t="str">
        <f>IF(AND(Formulario!D254&lt;&gt;"",A242&lt;&gt;""),"1","")</f>
        <v/>
      </c>
    </row>
    <row r="243" spans="1:11" x14ac:dyDescent="0.3">
      <c r="A243" t="str">
        <f>IF(AND(Formulario!D255&lt;&gt;"",ISNUMBER(Formulario!D255)),Formulario!D255,"")</f>
        <v/>
      </c>
      <c r="B243" s="146" t="str">
        <f>IF(AND(Formulario!F255&lt;&gt;"", Formulario!F255&lt;&gt;"",A243&lt;&gt;""),Formulario!F255,"")</f>
        <v/>
      </c>
      <c r="C243" s="146" t="str">
        <f>IF(AND(Formulario!D255&lt;&gt;"", Formulario!E255&lt;&gt;"",A243&lt;&gt;""),Formulario!E255,"")</f>
        <v/>
      </c>
      <c r="D243" s="55" t="str">
        <f>IF('Cond SAP'!AA255="","",'Cond SAP'!AA255)</f>
        <v/>
      </c>
      <c r="E243" t="str">
        <f>IF(AND(Formulario!G255&lt;&gt;"",Formulario!Q255&lt;&gt;"",A243&lt;&gt;""),Formulario!Q255,"")</f>
        <v/>
      </c>
      <c r="F243" t="str" cm="1">
        <f t="array" aca="1" ref="F243" ca="1">IF(OR(A243="",B243=""),"",LEFT(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3" t="str">
        <f>IF(AND(Formulario!G255&lt;&gt;"",Formulario!G255&lt;&gt;"",A243&lt;&gt;""),Formulario!G255,"")</f>
        <v/>
      </c>
      <c r="I243" t="str">
        <f>IF(AND(Formulario!D255&lt;&gt;"",A243&lt;&gt;""),"UY10","")</f>
        <v/>
      </c>
      <c r="J243" t="str">
        <f>IF(AND(Formulario!D255&lt;&gt;"",A243&lt;&gt;""),"0001","")</f>
        <v/>
      </c>
      <c r="K243" t="str">
        <f>IF(AND(Formulario!D255&lt;&gt;"",A243&lt;&gt;""),"1","")</f>
        <v/>
      </c>
    </row>
    <row r="244" spans="1:11" x14ac:dyDescent="0.3">
      <c r="A244" t="str">
        <f>IF(AND(Formulario!D256&lt;&gt;"",ISNUMBER(Formulario!D256)),Formulario!D256,"")</f>
        <v/>
      </c>
      <c r="B244" s="146" t="str">
        <f>IF(AND(Formulario!F256&lt;&gt;"", Formulario!F256&lt;&gt;"",A244&lt;&gt;""),Formulario!F256,"")</f>
        <v/>
      </c>
      <c r="C244" s="146" t="str">
        <f>IF(AND(Formulario!D256&lt;&gt;"", Formulario!E256&lt;&gt;"",A244&lt;&gt;""),Formulario!E256,"")</f>
        <v/>
      </c>
      <c r="D244" s="55" t="str">
        <f>IF('Cond SAP'!AA256="","",'Cond SAP'!AA256)</f>
        <v/>
      </c>
      <c r="E244" t="str">
        <f>IF(AND(Formulario!G256&lt;&gt;"",Formulario!Q256&lt;&gt;"",A244&lt;&gt;""),Formulario!Q256,"")</f>
        <v/>
      </c>
      <c r="F244" t="str" cm="1">
        <f t="array" aca="1" ref="F244" ca="1">IF(OR(A244="",B244=""),"",LEFT(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4" t="str">
        <f>IF(AND(Formulario!G256&lt;&gt;"",Formulario!G256&lt;&gt;"",A244&lt;&gt;""),Formulario!G256,"")</f>
        <v/>
      </c>
      <c r="I244" t="str">
        <f>IF(AND(Formulario!D256&lt;&gt;"",A244&lt;&gt;""),"UY10","")</f>
        <v/>
      </c>
      <c r="J244" t="str">
        <f>IF(AND(Formulario!D256&lt;&gt;"",A244&lt;&gt;""),"0001","")</f>
        <v/>
      </c>
      <c r="K244" t="str">
        <f>IF(AND(Formulario!D256&lt;&gt;"",A244&lt;&gt;""),"1","")</f>
        <v/>
      </c>
    </row>
    <row r="245" spans="1:11" x14ac:dyDescent="0.3">
      <c r="A245" t="str">
        <f>IF(AND(Formulario!D257&lt;&gt;"",ISNUMBER(Formulario!D257)),Formulario!D257,"")</f>
        <v/>
      </c>
      <c r="B245" s="146" t="str">
        <f>IF(AND(Formulario!F257&lt;&gt;"", Formulario!F257&lt;&gt;"",A245&lt;&gt;""),Formulario!F257,"")</f>
        <v/>
      </c>
      <c r="C245" s="146" t="str">
        <f>IF(AND(Formulario!D257&lt;&gt;"", Formulario!E257&lt;&gt;"",A245&lt;&gt;""),Formulario!E257,"")</f>
        <v/>
      </c>
      <c r="D245" s="55" t="str">
        <f>IF('Cond SAP'!AA257="","",'Cond SAP'!AA257)</f>
        <v/>
      </c>
      <c r="E245" t="str">
        <f>IF(AND(Formulario!G257&lt;&gt;"",Formulario!Q257&lt;&gt;"",A245&lt;&gt;""),Formulario!Q257,"")</f>
        <v/>
      </c>
      <c r="F245" t="str" cm="1">
        <f t="array" aca="1" ref="F245" ca="1">IF(OR(A245="",B245=""),"",LEFT(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5" t="str">
        <f>IF(AND(Formulario!G257&lt;&gt;"",Formulario!G257&lt;&gt;"",A245&lt;&gt;""),Formulario!G257,"")</f>
        <v/>
      </c>
      <c r="I245" t="str">
        <f>IF(AND(Formulario!D257&lt;&gt;"",A245&lt;&gt;""),"UY10","")</f>
        <v/>
      </c>
      <c r="J245" t="str">
        <f>IF(AND(Formulario!D257&lt;&gt;"",A245&lt;&gt;""),"0001","")</f>
        <v/>
      </c>
      <c r="K245" t="str">
        <f>IF(AND(Formulario!D257&lt;&gt;"",A245&lt;&gt;""),"1","")</f>
        <v/>
      </c>
    </row>
    <row r="246" spans="1:11" x14ac:dyDescent="0.3">
      <c r="A246" t="str">
        <f>IF(AND(Formulario!D258&lt;&gt;"",ISNUMBER(Formulario!D258)),Formulario!D258,"")</f>
        <v/>
      </c>
      <c r="B246" s="146" t="str">
        <f>IF(AND(Formulario!F258&lt;&gt;"", Formulario!F258&lt;&gt;"",A246&lt;&gt;""),Formulario!F258,"")</f>
        <v/>
      </c>
      <c r="C246" s="146" t="str">
        <f>IF(AND(Formulario!D258&lt;&gt;"", Formulario!E258&lt;&gt;"",A246&lt;&gt;""),Formulario!E258,"")</f>
        <v/>
      </c>
      <c r="D246" s="55" t="str">
        <f>IF('Cond SAP'!AA258="","",'Cond SAP'!AA258)</f>
        <v/>
      </c>
      <c r="E246" t="str">
        <f>IF(AND(Formulario!G258&lt;&gt;"",Formulario!Q258&lt;&gt;"",A246&lt;&gt;""),Formulario!Q258,"")</f>
        <v/>
      </c>
      <c r="F246" t="str" cm="1">
        <f t="array" aca="1" ref="F246" ca="1">IF(OR(A246="",B246=""),"",LEFT(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6" t="str">
        <f>IF(AND(Formulario!G258&lt;&gt;"",Formulario!G258&lt;&gt;"",A246&lt;&gt;""),Formulario!G258,"")</f>
        <v/>
      </c>
      <c r="I246" t="str">
        <f>IF(AND(Formulario!D258&lt;&gt;"",A246&lt;&gt;""),"UY10","")</f>
        <v/>
      </c>
      <c r="J246" t="str">
        <f>IF(AND(Formulario!D258&lt;&gt;"",A246&lt;&gt;""),"0001","")</f>
        <v/>
      </c>
      <c r="K246" t="str">
        <f>IF(AND(Formulario!D258&lt;&gt;"",A246&lt;&gt;""),"1","")</f>
        <v/>
      </c>
    </row>
    <row r="247" spans="1:11" x14ac:dyDescent="0.3">
      <c r="A247" t="str">
        <f>IF(AND(Formulario!D259&lt;&gt;"",ISNUMBER(Formulario!D259)),Formulario!D259,"")</f>
        <v/>
      </c>
      <c r="B247" s="146" t="str">
        <f>IF(AND(Formulario!F259&lt;&gt;"", Formulario!F259&lt;&gt;"",A247&lt;&gt;""),Formulario!F259,"")</f>
        <v/>
      </c>
      <c r="C247" s="146" t="str">
        <f>IF(AND(Formulario!D259&lt;&gt;"", Formulario!E259&lt;&gt;"",A247&lt;&gt;""),Formulario!E259,"")</f>
        <v/>
      </c>
      <c r="D247" s="55" t="str">
        <f>IF('Cond SAP'!AA259="","",'Cond SAP'!AA259)</f>
        <v/>
      </c>
      <c r="E247" t="str">
        <f>IF(AND(Formulario!G259&lt;&gt;"",Formulario!Q259&lt;&gt;"",A247&lt;&gt;""),Formulario!Q259,"")</f>
        <v/>
      </c>
      <c r="F247" t="str" cm="1">
        <f t="array" aca="1" ref="F247" ca="1">IF(OR(A247="",B247=""),"",LEFT(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7" t="str">
        <f>IF(AND(Formulario!G259&lt;&gt;"",Formulario!G259&lt;&gt;"",A247&lt;&gt;""),Formulario!G259,"")</f>
        <v/>
      </c>
      <c r="I247" t="str">
        <f>IF(AND(Formulario!D259&lt;&gt;"",A247&lt;&gt;""),"UY10","")</f>
        <v/>
      </c>
      <c r="J247" t="str">
        <f>IF(AND(Formulario!D259&lt;&gt;"",A247&lt;&gt;""),"0001","")</f>
        <v/>
      </c>
      <c r="K247" t="str">
        <f>IF(AND(Formulario!D259&lt;&gt;"",A247&lt;&gt;""),"1","")</f>
        <v/>
      </c>
    </row>
    <row r="248" spans="1:11" x14ac:dyDescent="0.3">
      <c r="A248" t="str">
        <f>IF(AND(Formulario!D260&lt;&gt;"",ISNUMBER(Formulario!D260)),Formulario!D260,"")</f>
        <v/>
      </c>
      <c r="B248" s="146" t="str">
        <f>IF(AND(Formulario!F260&lt;&gt;"", Formulario!F260&lt;&gt;"",A248&lt;&gt;""),Formulario!F260,"")</f>
        <v/>
      </c>
      <c r="C248" s="146" t="str">
        <f>IF(AND(Formulario!D260&lt;&gt;"", Formulario!E260&lt;&gt;"",A248&lt;&gt;""),Formulario!E260,"")</f>
        <v/>
      </c>
      <c r="D248" s="55" t="str">
        <f>IF('Cond SAP'!AA260="","",'Cond SAP'!AA260)</f>
        <v/>
      </c>
      <c r="E248" t="str">
        <f>IF(AND(Formulario!G260&lt;&gt;"",Formulario!Q260&lt;&gt;"",A248&lt;&gt;""),Formulario!Q260,"")</f>
        <v/>
      </c>
      <c r="F248" t="str" cm="1">
        <f t="array" aca="1" ref="F248" ca="1">IF(OR(A248="",B248=""),"",LEFT(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8" t="str">
        <f>IF(AND(Formulario!G260&lt;&gt;"",Formulario!G260&lt;&gt;"",A248&lt;&gt;""),Formulario!G260,"")</f>
        <v/>
      </c>
      <c r="I248" t="str">
        <f>IF(AND(Formulario!D260&lt;&gt;"",A248&lt;&gt;""),"UY10","")</f>
        <v/>
      </c>
      <c r="J248" t="str">
        <f>IF(AND(Formulario!D260&lt;&gt;"",A248&lt;&gt;""),"0001","")</f>
        <v/>
      </c>
      <c r="K248" t="str">
        <f>IF(AND(Formulario!D260&lt;&gt;"",A248&lt;&gt;""),"1","")</f>
        <v/>
      </c>
    </row>
    <row r="249" spans="1:11" x14ac:dyDescent="0.3">
      <c r="A249" t="str">
        <f>IF(AND(Formulario!D261&lt;&gt;"",ISNUMBER(Formulario!D261)),Formulario!D261,"")</f>
        <v/>
      </c>
      <c r="B249" s="146" t="str">
        <f>IF(AND(Formulario!F261&lt;&gt;"", Formulario!F261&lt;&gt;"",A249&lt;&gt;""),Formulario!F261,"")</f>
        <v/>
      </c>
      <c r="C249" s="146" t="str">
        <f>IF(AND(Formulario!D261&lt;&gt;"", Formulario!E261&lt;&gt;"",A249&lt;&gt;""),Formulario!E261,"")</f>
        <v/>
      </c>
      <c r="D249" s="55" t="str">
        <f>IF('Cond SAP'!AA261="","",'Cond SAP'!AA261)</f>
        <v/>
      </c>
      <c r="E249" t="str">
        <f>IF(AND(Formulario!G261&lt;&gt;"",Formulario!Q261&lt;&gt;"",A249&lt;&gt;""),Formulario!Q261,"")</f>
        <v/>
      </c>
      <c r="F249" t="str" cm="1">
        <f t="array" aca="1" ref="F249" ca="1">IF(OR(A249="",B249=""),"",LEFT(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49" t="str">
        <f>IF(AND(Formulario!G261&lt;&gt;"",Formulario!G261&lt;&gt;"",A249&lt;&gt;""),Formulario!G261,"")</f>
        <v/>
      </c>
      <c r="I249" t="str">
        <f>IF(AND(Formulario!D261&lt;&gt;"",A249&lt;&gt;""),"UY10","")</f>
        <v/>
      </c>
      <c r="J249" t="str">
        <f>IF(AND(Formulario!D261&lt;&gt;"",A249&lt;&gt;""),"0001","")</f>
        <v/>
      </c>
      <c r="K249" t="str">
        <f>IF(AND(Formulario!D261&lt;&gt;"",A249&lt;&gt;""),"1","")</f>
        <v/>
      </c>
    </row>
    <row r="250" spans="1:11" x14ac:dyDescent="0.3">
      <c r="A250" t="str">
        <f>IF(AND(Formulario!D262&lt;&gt;"",ISNUMBER(Formulario!D262)),Formulario!D262,"")</f>
        <v/>
      </c>
      <c r="B250" s="146" t="str">
        <f>IF(AND(Formulario!F262&lt;&gt;"", Formulario!F262&lt;&gt;"",A250&lt;&gt;""),Formulario!F262,"")</f>
        <v/>
      </c>
      <c r="C250" s="146" t="str">
        <f>IF(AND(Formulario!D262&lt;&gt;"", Formulario!E262&lt;&gt;"",A250&lt;&gt;""),Formulario!E262,"")</f>
        <v/>
      </c>
      <c r="D250" s="55" t="str">
        <f>IF('Cond SAP'!AA262="","",'Cond SAP'!AA262)</f>
        <v/>
      </c>
      <c r="E250" t="str">
        <f>IF(AND(Formulario!G262&lt;&gt;"",Formulario!Q262&lt;&gt;"",A250&lt;&gt;""),Formulario!Q262,"")</f>
        <v/>
      </c>
      <c r="F250" t="str" cm="1">
        <f t="array" aca="1" ref="F250" ca="1">IF(OR(A250="",B250=""),"",LEFT(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0" t="str">
        <f>IF(AND(Formulario!G262&lt;&gt;"",Formulario!G262&lt;&gt;"",A250&lt;&gt;""),Formulario!G262,"")</f>
        <v/>
      </c>
      <c r="I250" t="str">
        <f>IF(AND(Formulario!D262&lt;&gt;"",A250&lt;&gt;""),"UY10","")</f>
        <v/>
      </c>
      <c r="J250" t="str">
        <f>IF(AND(Formulario!D262&lt;&gt;"",A250&lt;&gt;""),"0001","")</f>
        <v/>
      </c>
      <c r="K250" t="str">
        <f>IF(AND(Formulario!D262&lt;&gt;"",A250&lt;&gt;""),"1","")</f>
        <v/>
      </c>
    </row>
    <row r="251" spans="1:11" x14ac:dyDescent="0.3">
      <c r="A251" t="str">
        <f>IF(AND(Formulario!D263&lt;&gt;"",ISNUMBER(Formulario!D263)),Formulario!D263,"")</f>
        <v/>
      </c>
      <c r="B251" s="146" t="str">
        <f>IF(AND(Formulario!F263&lt;&gt;"", Formulario!F263&lt;&gt;"",A251&lt;&gt;""),Formulario!F263,"")</f>
        <v/>
      </c>
      <c r="C251" s="146" t="str">
        <f>IF(AND(Formulario!D263&lt;&gt;"", Formulario!E263&lt;&gt;"",A251&lt;&gt;""),Formulario!E263,"")</f>
        <v/>
      </c>
      <c r="D251" s="55" t="str">
        <f>IF('Cond SAP'!AA263="","",'Cond SAP'!AA263)</f>
        <v/>
      </c>
      <c r="E251" t="str">
        <f>IF(AND(Formulario!G263&lt;&gt;"",Formulario!Q263&lt;&gt;"",A251&lt;&gt;""),Formulario!Q263,"")</f>
        <v/>
      </c>
      <c r="F251" t="str" cm="1">
        <f t="array" aca="1" ref="F251" ca="1">IF(OR(A251="",B251=""),"",LEFT(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1" t="str">
        <f>IF(AND(Formulario!G263&lt;&gt;"",Formulario!G263&lt;&gt;"",A251&lt;&gt;""),Formulario!G263,"")</f>
        <v/>
      </c>
      <c r="I251" t="str">
        <f>IF(AND(Formulario!D263&lt;&gt;"",A251&lt;&gt;""),"UY10","")</f>
        <v/>
      </c>
      <c r="J251" t="str">
        <f>IF(AND(Formulario!D263&lt;&gt;"",A251&lt;&gt;""),"0001","")</f>
        <v/>
      </c>
      <c r="K251" t="str">
        <f>IF(AND(Formulario!D263&lt;&gt;"",A251&lt;&gt;""),"1","")</f>
        <v/>
      </c>
    </row>
    <row r="252" spans="1:11" x14ac:dyDescent="0.3">
      <c r="A252" t="str">
        <f>IF(AND(Formulario!D264&lt;&gt;"",ISNUMBER(Formulario!D264)),Formulario!D264,"")</f>
        <v/>
      </c>
      <c r="B252" s="146" t="str">
        <f>IF(AND(Formulario!F264&lt;&gt;"", Formulario!F264&lt;&gt;"",A252&lt;&gt;""),Formulario!F264,"")</f>
        <v/>
      </c>
      <c r="C252" s="146" t="str">
        <f>IF(AND(Formulario!D264&lt;&gt;"", Formulario!E264&lt;&gt;"",A252&lt;&gt;""),Formulario!E264,"")</f>
        <v/>
      </c>
      <c r="D252" s="55" t="str">
        <f>IF('Cond SAP'!AA264="","",'Cond SAP'!AA264)</f>
        <v/>
      </c>
      <c r="E252" t="str">
        <f>IF(AND(Formulario!G264&lt;&gt;"",Formulario!Q264&lt;&gt;"",A252&lt;&gt;""),Formulario!Q264,"")</f>
        <v/>
      </c>
      <c r="F252" t="str" cm="1">
        <f t="array" aca="1" ref="F252" ca="1">IF(OR(A252="",B252=""),"",LEFT(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2" t="str">
        <f>IF(AND(Formulario!G264&lt;&gt;"",Formulario!G264&lt;&gt;"",A252&lt;&gt;""),Formulario!G264,"")</f>
        <v/>
      </c>
      <c r="I252" t="str">
        <f>IF(AND(Formulario!D264&lt;&gt;"",A252&lt;&gt;""),"UY10","")</f>
        <v/>
      </c>
      <c r="J252" t="str">
        <f>IF(AND(Formulario!D264&lt;&gt;"",A252&lt;&gt;""),"0001","")</f>
        <v/>
      </c>
      <c r="K252" t="str">
        <f>IF(AND(Formulario!D264&lt;&gt;"",A252&lt;&gt;""),"1","")</f>
        <v/>
      </c>
    </row>
    <row r="253" spans="1:11" x14ac:dyDescent="0.3">
      <c r="A253" t="str">
        <f>IF(AND(Formulario!D265&lt;&gt;"",ISNUMBER(Formulario!D265)),Formulario!D265,"")</f>
        <v/>
      </c>
      <c r="B253" s="146" t="str">
        <f>IF(AND(Formulario!F265&lt;&gt;"", Formulario!F265&lt;&gt;"",A253&lt;&gt;""),Formulario!F265,"")</f>
        <v/>
      </c>
      <c r="C253" s="146" t="str">
        <f>IF(AND(Formulario!D265&lt;&gt;"", Formulario!E265&lt;&gt;"",A253&lt;&gt;""),Formulario!E265,"")</f>
        <v/>
      </c>
      <c r="D253" s="55" t="str">
        <f>IF('Cond SAP'!AA265="","",'Cond SAP'!AA265)</f>
        <v/>
      </c>
      <c r="E253" t="str">
        <f>IF(AND(Formulario!G265&lt;&gt;"",Formulario!Q265&lt;&gt;"",A253&lt;&gt;""),Formulario!Q265,"")</f>
        <v/>
      </c>
      <c r="F253" t="str" cm="1">
        <f t="array" aca="1" ref="F253" ca="1">IF(OR(A253="",B253=""),"",LEFT(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3" t="str">
        <f>IF(AND(Formulario!G265&lt;&gt;"",Formulario!G265&lt;&gt;"",A253&lt;&gt;""),Formulario!G265,"")</f>
        <v/>
      </c>
      <c r="I253" t="str">
        <f>IF(AND(Formulario!D265&lt;&gt;"",A253&lt;&gt;""),"UY10","")</f>
        <v/>
      </c>
      <c r="J253" t="str">
        <f>IF(AND(Formulario!D265&lt;&gt;"",A253&lt;&gt;""),"0001","")</f>
        <v/>
      </c>
      <c r="K253" t="str">
        <f>IF(AND(Formulario!D265&lt;&gt;"",A253&lt;&gt;""),"1","")</f>
        <v/>
      </c>
    </row>
    <row r="254" spans="1:11" x14ac:dyDescent="0.3">
      <c r="A254" t="str">
        <f>IF(AND(Formulario!D266&lt;&gt;"",ISNUMBER(Formulario!D266)),Formulario!D266,"")</f>
        <v/>
      </c>
      <c r="B254" s="146" t="str">
        <f>IF(AND(Formulario!F266&lt;&gt;"", Formulario!F266&lt;&gt;"",A254&lt;&gt;""),Formulario!F266,"")</f>
        <v/>
      </c>
      <c r="C254" s="146" t="str">
        <f>IF(AND(Formulario!D266&lt;&gt;"", Formulario!E266&lt;&gt;"",A254&lt;&gt;""),Formulario!E266,"")</f>
        <v/>
      </c>
      <c r="D254" s="55" t="str">
        <f>IF('Cond SAP'!AA266="","",'Cond SAP'!AA266)</f>
        <v/>
      </c>
      <c r="E254" t="str">
        <f>IF(AND(Formulario!G266&lt;&gt;"",Formulario!Q266&lt;&gt;"",A254&lt;&gt;""),Formulario!Q266,"")</f>
        <v/>
      </c>
      <c r="F254" t="str" cm="1">
        <f t="array" aca="1" ref="F254" ca="1">IF(OR(A254="",B254=""),"",LEFT(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4" t="str">
        <f>IF(AND(Formulario!G266&lt;&gt;"",Formulario!G266&lt;&gt;"",A254&lt;&gt;""),Formulario!G266,"")</f>
        <v/>
      </c>
      <c r="I254" t="str">
        <f>IF(AND(Formulario!D266&lt;&gt;"",A254&lt;&gt;""),"UY10","")</f>
        <v/>
      </c>
      <c r="J254" t="str">
        <f>IF(AND(Formulario!D266&lt;&gt;"",A254&lt;&gt;""),"0001","")</f>
        <v/>
      </c>
      <c r="K254" t="str">
        <f>IF(AND(Formulario!D266&lt;&gt;"",A254&lt;&gt;""),"1","")</f>
        <v/>
      </c>
    </row>
    <row r="255" spans="1:11" x14ac:dyDescent="0.3">
      <c r="A255" t="str">
        <f>IF(AND(Formulario!D267&lt;&gt;"",ISNUMBER(Formulario!D267)),Formulario!D267,"")</f>
        <v/>
      </c>
      <c r="B255" s="146" t="str">
        <f>IF(AND(Formulario!F267&lt;&gt;"", Formulario!F267&lt;&gt;"",A255&lt;&gt;""),Formulario!F267,"")</f>
        <v/>
      </c>
      <c r="C255" s="146" t="str">
        <f>IF(AND(Formulario!D267&lt;&gt;"", Formulario!E267&lt;&gt;"",A255&lt;&gt;""),Formulario!E267,"")</f>
        <v/>
      </c>
      <c r="D255" s="55" t="str">
        <f>IF('Cond SAP'!AA267="","",'Cond SAP'!AA267)</f>
        <v/>
      </c>
      <c r="E255" t="str">
        <f>IF(AND(Formulario!G267&lt;&gt;"",Formulario!Q267&lt;&gt;"",A255&lt;&gt;""),Formulario!Q267,"")</f>
        <v/>
      </c>
      <c r="F255" t="str" cm="1">
        <f t="array" aca="1" ref="F255" ca="1">IF(OR(A255="",B255=""),"",LEFT(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5" t="str">
        <f>IF(AND(Formulario!G267&lt;&gt;"",Formulario!G267&lt;&gt;"",A255&lt;&gt;""),Formulario!G267,"")</f>
        <v/>
      </c>
      <c r="I255" t="str">
        <f>IF(AND(Formulario!D267&lt;&gt;"",A255&lt;&gt;""),"UY10","")</f>
        <v/>
      </c>
      <c r="J255" t="str">
        <f>IF(AND(Formulario!D267&lt;&gt;"",A255&lt;&gt;""),"0001","")</f>
        <v/>
      </c>
      <c r="K255" t="str">
        <f>IF(AND(Formulario!D267&lt;&gt;"",A255&lt;&gt;""),"1","")</f>
        <v/>
      </c>
    </row>
    <row r="256" spans="1:11" x14ac:dyDescent="0.3">
      <c r="A256" t="str">
        <f>IF(AND(Formulario!D268&lt;&gt;"",ISNUMBER(Formulario!D268)),Formulario!D268,"")</f>
        <v/>
      </c>
      <c r="B256" s="146" t="str">
        <f>IF(AND(Formulario!F268&lt;&gt;"", Formulario!F268&lt;&gt;"",A256&lt;&gt;""),Formulario!F268,"")</f>
        <v/>
      </c>
      <c r="C256" s="146" t="str">
        <f>IF(AND(Formulario!D268&lt;&gt;"", Formulario!E268&lt;&gt;"",A256&lt;&gt;""),Formulario!E268,"")</f>
        <v/>
      </c>
      <c r="D256" s="55" t="str">
        <f>IF('Cond SAP'!AA268="","",'Cond SAP'!AA268)</f>
        <v/>
      </c>
      <c r="E256" t="str">
        <f>IF(AND(Formulario!G268&lt;&gt;"",Formulario!Q268&lt;&gt;"",A256&lt;&gt;""),Formulario!Q268,"")</f>
        <v/>
      </c>
      <c r="F256" t="str" cm="1">
        <f t="array" aca="1" ref="F256" ca="1">IF(OR(A256="",B256=""),"",LEFT(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6" t="str">
        <f>IF(AND(Formulario!G268&lt;&gt;"",Formulario!G268&lt;&gt;"",A256&lt;&gt;""),Formulario!G268,"")</f>
        <v/>
      </c>
      <c r="I256" t="str">
        <f>IF(AND(Formulario!D268&lt;&gt;"",A256&lt;&gt;""),"UY10","")</f>
        <v/>
      </c>
      <c r="J256" t="str">
        <f>IF(AND(Formulario!D268&lt;&gt;"",A256&lt;&gt;""),"0001","")</f>
        <v/>
      </c>
      <c r="K256" t="str">
        <f>IF(AND(Formulario!D268&lt;&gt;"",A256&lt;&gt;""),"1","")</f>
        <v/>
      </c>
    </row>
    <row r="257" spans="1:11" x14ac:dyDescent="0.3">
      <c r="A257" t="str">
        <f>IF(AND(Formulario!D269&lt;&gt;"",ISNUMBER(Formulario!D269)),Formulario!D269,"")</f>
        <v/>
      </c>
      <c r="B257" s="146" t="str">
        <f>IF(AND(Formulario!F269&lt;&gt;"", Formulario!F269&lt;&gt;"",A257&lt;&gt;""),Formulario!F269,"")</f>
        <v/>
      </c>
      <c r="C257" s="146" t="str">
        <f>IF(AND(Formulario!D269&lt;&gt;"", Formulario!E269&lt;&gt;"",A257&lt;&gt;""),Formulario!E269,"")</f>
        <v/>
      </c>
      <c r="D257" s="55" t="str">
        <f>IF('Cond SAP'!AA269="","",'Cond SAP'!AA269)</f>
        <v/>
      </c>
      <c r="E257" t="str">
        <f>IF(AND(Formulario!G269&lt;&gt;"",Formulario!Q269&lt;&gt;"",A257&lt;&gt;""),Formulario!Q269,"")</f>
        <v/>
      </c>
      <c r="F257" t="str" cm="1">
        <f t="array" aca="1" ref="F257" ca="1">IF(OR(A257="",B257=""),"",LEFT(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7" t="str">
        <f>IF(AND(Formulario!G269&lt;&gt;"",Formulario!G269&lt;&gt;"",A257&lt;&gt;""),Formulario!G269,"")</f>
        <v/>
      </c>
      <c r="I257" t="str">
        <f>IF(AND(Formulario!D269&lt;&gt;"",A257&lt;&gt;""),"UY10","")</f>
        <v/>
      </c>
      <c r="J257" t="str">
        <f>IF(AND(Formulario!D269&lt;&gt;"",A257&lt;&gt;""),"0001","")</f>
        <v/>
      </c>
      <c r="K257" t="str">
        <f>IF(AND(Formulario!D269&lt;&gt;"",A257&lt;&gt;""),"1","")</f>
        <v/>
      </c>
    </row>
    <row r="258" spans="1:11" x14ac:dyDescent="0.3">
      <c r="A258" t="str">
        <f>IF(AND(Formulario!D270&lt;&gt;"",ISNUMBER(Formulario!D270)),Formulario!D270,"")</f>
        <v/>
      </c>
      <c r="B258" s="146" t="str">
        <f>IF(AND(Formulario!F270&lt;&gt;"", Formulario!F270&lt;&gt;"",A258&lt;&gt;""),Formulario!F270,"")</f>
        <v/>
      </c>
      <c r="C258" s="146" t="str">
        <f>IF(AND(Formulario!D270&lt;&gt;"", Formulario!E270&lt;&gt;"",A258&lt;&gt;""),Formulario!E270,"")</f>
        <v/>
      </c>
      <c r="D258" s="55" t="str">
        <f>IF('Cond SAP'!AA270="","",'Cond SAP'!AA270)</f>
        <v/>
      </c>
      <c r="E258" t="str">
        <f>IF(AND(Formulario!G270&lt;&gt;"",Formulario!Q270&lt;&gt;"",A258&lt;&gt;""),Formulario!Q270,"")</f>
        <v/>
      </c>
      <c r="F258" t="str" cm="1">
        <f t="array" aca="1" ref="F258" ca="1">IF(OR(A258="",B258=""),"",LEFT(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8" t="str">
        <f>IF(AND(Formulario!G270&lt;&gt;"",Formulario!G270&lt;&gt;"",A258&lt;&gt;""),Formulario!G270,"")</f>
        <v/>
      </c>
      <c r="I258" t="str">
        <f>IF(AND(Formulario!D270&lt;&gt;"",A258&lt;&gt;""),"UY10","")</f>
        <v/>
      </c>
      <c r="J258" t="str">
        <f>IF(AND(Formulario!D270&lt;&gt;"",A258&lt;&gt;""),"0001","")</f>
        <v/>
      </c>
      <c r="K258" t="str">
        <f>IF(AND(Formulario!D270&lt;&gt;"",A258&lt;&gt;""),"1","")</f>
        <v/>
      </c>
    </row>
    <row r="259" spans="1:11" x14ac:dyDescent="0.3">
      <c r="A259" t="str">
        <f>IF(AND(Formulario!D271&lt;&gt;"",ISNUMBER(Formulario!D271)),Formulario!D271,"")</f>
        <v/>
      </c>
      <c r="B259" s="146" t="str">
        <f>IF(AND(Formulario!F271&lt;&gt;"", Formulario!F271&lt;&gt;"",A259&lt;&gt;""),Formulario!F271,"")</f>
        <v/>
      </c>
      <c r="C259" s="146" t="str">
        <f>IF(AND(Formulario!D271&lt;&gt;"", Formulario!E271&lt;&gt;"",A259&lt;&gt;""),Formulario!E271,"")</f>
        <v/>
      </c>
      <c r="D259" s="55" t="str">
        <f>IF('Cond SAP'!AA271="","",'Cond SAP'!AA271)</f>
        <v/>
      </c>
      <c r="E259" t="str">
        <f>IF(AND(Formulario!G271&lt;&gt;"",Formulario!Q271&lt;&gt;"",A259&lt;&gt;""),Formulario!Q271,"")</f>
        <v/>
      </c>
      <c r="F259" t="str" cm="1">
        <f t="array" aca="1" ref="F259" ca="1">IF(OR(A259="",B259=""),"",LEFT(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59" t="str">
        <f>IF(AND(Formulario!G271&lt;&gt;"",Formulario!G271&lt;&gt;"",A259&lt;&gt;""),Formulario!G271,"")</f>
        <v/>
      </c>
      <c r="I259" t="str">
        <f>IF(AND(Formulario!D271&lt;&gt;"",A259&lt;&gt;""),"UY10","")</f>
        <v/>
      </c>
      <c r="J259" t="str">
        <f>IF(AND(Formulario!D271&lt;&gt;"",A259&lt;&gt;""),"0001","")</f>
        <v/>
      </c>
      <c r="K259" t="str">
        <f>IF(AND(Formulario!D271&lt;&gt;"",A259&lt;&gt;""),"1","")</f>
        <v/>
      </c>
    </row>
    <row r="260" spans="1:11" x14ac:dyDescent="0.3">
      <c r="A260" t="str">
        <f>IF(AND(Formulario!D272&lt;&gt;"",ISNUMBER(Formulario!D272)),Formulario!D272,"")</f>
        <v/>
      </c>
      <c r="B260" s="146" t="str">
        <f>IF(AND(Formulario!F272&lt;&gt;"", Formulario!F272&lt;&gt;"",A260&lt;&gt;""),Formulario!F272,"")</f>
        <v/>
      </c>
      <c r="C260" s="146" t="str">
        <f>IF(AND(Formulario!D272&lt;&gt;"", Formulario!E272&lt;&gt;"",A260&lt;&gt;""),Formulario!E272,"")</f>
        <v/>
      </c>
      <c r="D260" s="55" t="str">
        <f>IF('Cond SAP'!AA272="","",'Cond SAP'!AA272)</f>
        <v/>
      </c>
      <c r="E260" t="str">
        <f>IF(AND(Formulario!G272&lt;&gt;"",Formulario!Q272&lt;&gt;"",A260&lt;&gt;""),Formulario!Q272,"")</f>
        <v/>
      </c>
      <c r="F260" t="str" cm="1">
        <f t="array" aca="1" ref="F260" ca="1">IF(OR(A260="",B260=""),"",LEFT(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0" t="str">
        <f>IF(AND(Formulario!G272&lt;&gt;"",Formulario!G272&lt;&gt;"",A260&lt;&gt;""),Formulario!G272,"")</f>
        <v/>
      </c>
      <c r="I260" t="str">
        <f>IF(AND(Formulario!D272&lt;&gt;"",A260&lt;&gt;""),"UY10","")</f>
        <v/>
      </c>
      <c r="J260" t="str">
        <f>IF(AND(Formulario!D272&lt;&gt;"",A260&lt;&gt;""),"0001","")</f>
        <v/>
      </c>
      <c r="K260" t="str">
        <f>IF(AND(Formulario!D272&lt;&gt;"",A260&lt;&gt;""),"1","")</f>
        <v/>
      </c>
    </row>
    <row r="261" spans="1:11" x14ac:dyDescent="0.3">
      <c r="A261" t="str">
        <f>IF(AND(Formulario!D273&lt;&gt;"",ISNUMBER(Formulario!D273)),Formulario!D273,"")</f>
        <v/>
      </c>
      <c r="B261" s="146" t="str">
        <f>IF(AND(Formulario!F273&lt;&gt;"", Formulario!F273&lt;&gt;"",A261&lt;&gt;""),Formulario!F273,"")</f>
        <v/>
      </c>
      <c r="C261" s="146" t="str">
        <f>IF(AND(Formulario!D273&lt;&gt;"", Formulario!E273&lt;&gt;"",A261&lt;&gt;""),Formulario!E273,"")</f>
        <v/>
      </c>
      <c r="D261" s="55" t="str">
        <f>IF('Cond SAP'!AA273="","",'Cond SAP'!AA273)</f>
        <v/>
      </c>
      <c r="E261" t="str">
        <f>IF(AND(Formulario!G273&lt;&gt;"",Formulario!Q273&lt;&gt;"",A261&lt;&gt;""),Formulario!Q273,"")</f>
        <v/>
      </c>
      <c r="F261" t="str" cm="1">
        <f t="array" aca="1" ref="F261" ca="1">IF(OR(A261="",B261=""),"",LEFT(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1" t="str">
        <f>IF(AND(Formulario!G273&lt;&gt;"",Formulario!G273&lt;&gt;"",A261&lt;&gt;""),Formulario!G273,"")</f>
        <v/>
      </c>
      <c r="I261" t="str">
        <f>IF(AND(Formulario!D273&lt;&gt;"",A261&lt;&gt;""),"UY10","")</f>
        <v/>
      </c>
      <c r="J261" t="str">
        <f>IF(AND(Formulario!D273&lt;&gt;"",A261&lt;&gt;""),"0001","")</f>
        <v/>
      </c>
      <c r="K261" t="str">
        <f>IF(AND(Formulario!D273&lt;&gt;"",A261&lt;&gt;""),"1","")</f>
        <v/>
      </c>
    </row>
    <row r="262" spans="1:11" x14ac:dyDescent="0.3">
      <c r="A262" t="str">
        <f>IF(AND(Formulario!D274&lt;&gt;"",ISNUMBER(Formulario!D274)),Formulario!D274,"")</f>
        <v/>
      </c>
      <c r="B262" s="146" t="str">
        <f>IF(AND(Formulario!F274&lt;&gt;"", Formulario!F274&lt;&gt;"",A262&lt;&gt;""),Formulario!F274,"")</f>
        <v/>
      </c>
      <c r="C262" s="146" t="str">
        <f>IF(AND(Formulario!D274&lt;&gt;"", Formulario!E274&lt;&gt;"",A262&lt;&gt;""),Formulario!E274,"")</f>
        <v/>
      </c>
      <c r="D262" s="55" t="str">
        <f>IF('Cond SAP'!AA274="","",'Cond SAP'!AA274)</f>
        <v/>
      </c>
      <c r="E262" t="str">
        <f>IF(AND(Formulario!G274&lt;&gt;"",Formulario!Q274&lt;&gt;"",A262&lt;&gt;""),Formulario!Q274,"")</f>
        <v/>
      </c>
      <c r="F262" t="str" cm="1">
        <f t="array" aca="1" ref="F262" ca="1">IF(OR(A262="",B262=""),"",LEFT(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2" t="str">
        <f>IF(AND(Formulario!G274&lt;&gt;"",Formulario!G274&lt;&gt;"",A262&lt;&gt;""),Formulario!G274,"")</f>
        <v/>
      </c>
      <c r="I262" t="str">
        <f>IF(AND(Formulario!D274&lt;&gt;"",A262&lt;&gt;""),"UY10","")</f>
        <v/>
      </c>
      <c r="J262" t="str">
        <f>IF(AND(Formulario!D274&lt;&gt;"",A262&lt;&gt;""),"0001","")</f>
        <v/>
      </c>
      <c r="K262" t="str">
        <f>IF(AND(Formulario!D274&lt;&gt;"",A262&lt;&gt;""),"1","")</f>
        <v/>
      </c>
    </row>
    <row r="263" spans="1:11" x14ac:dyDescent="0.3">
      <c r="A263" t="str">
        <f>IF(AND(Formulario!D275&lt;&gt;"",ISNUMBER(Formulario!D275)),Formulario!D275,"")</f>
        <v/>
      </c>
      <c r="B263" s="146" t="str">
        <f>IF(AND(Formulario!F275&lt;&gt;"", Formulario!F275&lt;&gt;"",A263&lt;&gt;""),Formulario!F275,"")</f>
        <v/>
      </c>
      <c r="C263" s="146" t="str">
        <f>IF(AND(Formulario!D275&lt;&gt;"", Formulario!E275&lt;&gt;"",A263&lt;&gt;""),Formulario!E275,"")</f>
        <v/>
      </c>
      <c r="D263" s="55" t="str">
        <f>IF('Cond SAP'!AA275="","",'Cond SAP'!AA275)</f>
        <v/>
      </c>
      <c r="E263" t="str">
        <f>IF(AND(Formulario!G275&lt;&gt;"",Formulario!Q275&lt;&gt;"",A263&lt;&gt;""),Formulario!Q275,"")</f>
        <v/>
      </c>
      <c r="F263" t="str" cm="1">
        <f t="array" aca="1" ref="F263" ca="1">IF(OR(A263="",B263=""),"",LEFT(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3" t="str">
        <f>IF(AND(Formulario!G275&lt;&gt;"",Formulario!G275&lt;&gt;"",A263&lt;&gt;""),Formulario!G275,"")</f>
        <v/>
      </c>
      <c r="I263" t="str">
        <f>IF(AND(Formulario!D275&lt;&gt;"",A263&lt;&gt;""),"UY10","")</f>
        <v/>
      </c>
      <c r="J263" t="str">
        <f>IF(AND(Formulario!D275&lt;&gt;"",A263&lt;&gt;""),"0001","")</f>
        <v/>
      </c>
      <c r="K263" t="str">
        <f>IF(AND(Formulario!D275&lt;&gt;"",A263&lt;&gt;""),"1","")</f>
        <v/>
      </c>
    </row>
    <row r="264" spans="1:11" x14ac:dyDescent="0.3">
      <c r="A264" t="str">
        <f>IF(AND(Formulario!D276&lt;&gt;"",ISNUMBER(Formulario!D276)),Formulario!D276,"")</f>
        <v/>
      </c>
      <c r="B264" s="146" t="str">
        <f>IF(AND(Formulario!F276&lt;&gt;"", Formulario!F276&lt;&gt;"",A264&lt;&gt;""),Formulario!F276,"")</f>
        <v/>
      </c>
      <c r="C264" s="146" t="str">
        <f>IF(AND(Formulario!D276&lt;&gt;"", Formulario!E276&lt;&gt;"",A264&lt;&gt;""),Formulario!E276,"")</f>
        <v/>
      </c>
      <c r="D264" s="55" t="str">
        <f>IF('Cond SAP'!AA276="","",'Cond SAP'!AA276)</f>
        <v/>
      </c>
      <c r="E264" t="str">
        <f>IF(AND(Formulario!G276&lt;&gt;"",Formulario!Q276&lt;&gt;"",A264&lt;&gt;""),Formulario!Q276,"")</f>
        <v/>
      </c>
      <c r="F264" t="str" cm="1">
        <f t="array" aca="1" ref="F264" ca="1">IF(OR(A264="",B264=""),"",LEFT(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4" t="str">
        <f>IF(AND(Formulario!G276&lt;&gt;"",Formulario!G276&lt;&gt;"",A264&lt;&gt;""),Formulario!G276,"")</f>
        <v/>
      </c>
      <c r="I264" t="str">
        <f>IF(AND(Formulario!D276&lt;&gt;"",A264&lt;&gt;""),"UY10","")</f>
        <v/>
      </c>
      <c r="J264" t="str">
        <f>IF(AND(Formulario!D276&lt;&gt;"",A264&lt;&gt;""),"0001","")</f>
        <v/>
      </c>
      <c r="K264" t="str">
        <f>IF(AND(Formulario!D276&lt;&gt;"",A264&lt;&gt;""),"1","")</f>
        <v/>
      </c>
    </row>
    <row r="265" spans="1:11" x14ac:dyDescent="0.3">
      <c r="A265" t="str">
        <f>IF(AND(Formulario!D277&lt;&gt;"",ISNUMBER(Formulario!D277)),Formulario!D277,"")</f>
        <v/>
      </c>
      <c r="B265" s="146" t="str">
        <f>IF(AND(Formulario!F277&lt;&gt;"", Formulario!F277&lt;&gt;"",A265&lt;&gt;""),Formulario!F277,"")</f>
        <v/>
      </c>
      <c r="C265" s="146" t="str">
        <f>IF(AND(Formulario!D277&lt;&gt;"", Formulario!E277&lt;&gt;"",A265&lt;&gt;""),Formulario!E277,"")</f>
        <v/>
      </c>
      <c r="D265" s="55" t="str">
        <f>IF('Cond SAP'!AA277="","",'Cond SAP'!AA277)</f>
        <v/>
      </c>
      <c r="E265" t="str">
        <f>IF(AND(Formulario!G277&lt;&gt;"",Formulario!Q277&lt;&gt;"",A265&lt;&gt;""),Formulario!Q277,"")</f>
        <v/>
      </c>
      <c r="F265" t="str" cm="1">
        <f t="array" aca="1" ref="F265" ca="1">IF(OR(A265="",B265=""),"",LEFT(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5" t="str">
        <f>IF(AND(Formulario!G277&lt;&gt;"",Formulario!G277&lt;&gt;"",A265&lt;&gt;""),Formulario!G277,"")</f>
        <v/>
      </c>
      <c r="I265" t="str">
        <f>IF(AND(Formulario!D277&lt;&gt;"",A265&lt;&gt;""),"UY10","")</f>
        <v/>
      </c>
      <c r="J265" t="str">
        <f>IF(AND(Formulario!D277&lt;&gt;"",A265&lt;&gt;""),"0001","")</f>
        <v/>
      </c>
      <c r="K265" t="str">
        <f>IF(AND(Formulario!D277&lt;&gt;"",A265&lt;&gt;""),"1","")</f>
        <v/>
      </c>
    </row>
    <row r="266" spans="1:11" x14ac:dyDescent="0.3">
      <c r="A266" t="str">
        <f>IF(AND(Formulario!D278&lt;&gt;"",ISNUMBER(Formulario!D278)),Formulario!D278,"")</f>
        <v/>
      </c>
      <c r="B266" s="146" t="str">
        <f>IF(AND(Formulario!F278&lt;&gt;"", Formulario!F278&lt;&gt;"",A266&lt;&gt;""),Formulario!F278,"")</f>
        <v/>
      </c>
      <c r="C266" s="146" t="str">
        <f>IF(AND(Formulario!D278&lt;&gt;"", Formulario!E278&lt;&gt;"",A266&lt;&gt;""),Formulario!E278,"")</f>
        <v/>
      </c>
      <c r="D266" s="55" t="str">
        <f>IF('Cond SAP'!AA278="","",'Cond SAP'!AA278)</f>
        <v/>
      </c>
      <c r="E266" t="str">
        <f>IF(AND(Formulario!G278&lt;&gt;"",Formulario!Q278&lt;&gt;"",A266&lt;&gt;""),Formulario!Q278,"")</f>
        <v/>
      </c>
      <c r="F266" t="str" cm="1">
        <f t="array" aca="1" ref="F266" ca="1">IF(OR(A266="",B266=""),"",LEFT(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6" t="str">
        <f>IF(AND(Formulario!G278&lt;&gt;"",Formulario!G278&lt;&gt;"",A266&lt;&gt;""),Formulario!G278,"")</f>
        <v/>
      </c>
      <c r="I266" t="str">
        <f>IF(AND(Formulario!D278&lt;&gt;"",A266&lt;&gt;""),"UY10","")</f>
        <v/>
      </c>
      <c r="J266" t="str">
        <f>IF(AND(Formulario!D278&lt;&gt;"",A266&lt;&gt;""),"0001","")</f>
        <v/>
      </c>
      <c r="K266" t="str">
        <f>IF(AND(Formulario!D278&lt;&gt;"",A266&lt;&gt;""),"1","")</f>
        <v/>
      </c>
    </row>
    <row r="267" spans="1:11" x14ac:dyDescent="0.3">
      <c r="A267" t="str">
        <f>IF(AND(Formulario!D279&lt;&gt;"",ISNUMBER(Formulario!D279)),Formulario!D279,"")</f>
        <v/>
      </c>
      <c r="B267" s="146" t="str">
        <f>IF(AND(Formulario!F279&lt;&gt;"", Formulario!F279&lt;&gt;"",A267&lt;&gt;""),Formulario!F279,"")</f>
        <v/>
      </c>
      <c r="C267" s="146" t="str">
        <f>IF(AND(Formulario!D279&lt;&gt;"", Formulario!E279&lt;&gt;"",A267&lt;&gt;""),Formulario!E279,"")</f>
        <v/>
      </c>
      <c r="D267" s="55" t="str">
        <f>IF('Cond SAP'!AA279="","",'Cond SAP'!AA279)</f>
        <v/>
      </c>
      <c r="E267" t="str">
        <f>IF(AND(Formulario!G279&lt;&gt;"",Formulario!Q279&lt;&gt;"",A267&lt;&gt;""),Formulario!Q279,"")</f>
        <v/>
      </c>
      <c r="F267" t="str" cm="1">
        <f t="array" aca="1" ref="F267" ca="1">IF(OR(A267="",B267=""),"",LEFT(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7" t="str">
        <f>IF(AND(Formulario!G279&lt;&gt;"",Formulario!G279&lt;&gt;"",A267&lt;&gt;""),Formulario!G279,"")</f>
        <v/>
      </c>
      <c r="I267" t="str">
        <f>IF(AND(Formulario!D279&lt;&gt;"",A267&lt;&gt;""),"UY10","")</f>
        <v/>
      </c>
      <c r="J267" t="str">
        <f>IF(AND(Formulario!D279&lt;&gt;"",A267&lt;&gt;""),"0001","")</f>
        <v/>
      </c>
      <c r="K267" t="str">
        <f>IF(AND(Formulario!D279&lt;&gt;"",A267&lt;&gt;""),"1","")</f>
        <v/>
      </c>
    </row>
    <row r="268" spans="1:11" x14ac:dyDescent="0.3">
      <c r="A268" t="str">
        <f>IF(AND(Formulario!D280&lt;&gt;"",ISNUMBER(Formulario!D280)),Formulario!D280,"")</f>
        <v/>
      </c>
      <c r="B268" s="146" t="str">
        <f>IF(AND(Formulario!F280&lt;&gt;"", Formulario!F280&lt;&gt;"",A268&lt;&gt;""),Formulario!F280,"")</f>
        <v/>
      </c>
      <c r="C268" s="146" t="str">
        <f>IF(AND(Formulario!D280&lt;&gt;"", Formulario!E280&lt;&gt;"",A268&lt;&gt;""),Formulario!E280,"")</f>
        <v/>
      </c>
      <c r="D268" s="55" t="str">
        <f>IF('Cond SAP'!AA280="","",'Cond SAP'!AA280)</f>
        <v/>
      </c>
      <c r="E268" t="str">
        <f>IF(AND(Formulario!G280&lt;&gt;"",Formulario!Q280&lt;&gt;"",A268&lt;&gt;""),Formulario!Q280,"")</f>
        <v/>
      </c>
      <c r="F268" t="str" cm="1">
        <f t="array" aca="1" ref="F268" ca="1">IF(OR(A268="",B268=""),"",LEFT(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8" t="str">
        <f>IF(AND(Formulario!G280&lt;&gt;"",Formulario!G280&lt;&gt;"",A268&lt;&gt;""),Formulario!G280,"")</f>
        <v/>
      </c>
      <c r="I268" t="str">
        <f>IF(AND(Formulario!D280&lt;&gt;"",A268&lt;&gt;""),"UY10","")</f>
        <v/>
      </c>
      <c r="J268" t="str">
        <f>IF(AND(Formulario!D280&lt;&gt;"",A268&lt;&gt;""),"0001","")</f>
        <v/>
      </c>
      <c r="K268" t="str">
        <f>IF(AND(Formulario!D280&lt;&gt;"",A268&lt;&gt;""),"1","")</f>
        <v/>
      </c>
    </row>
    <row r="269" spans="1:11" x14ac:dyDescent="0.3">
      <c r="A269" t="str">
        <f>IF(AND(Formulario!D281&lt;&gt;"",ISNUMBER(Formulario!D281)),Formulario!D281,"")</f>
        <v/>
      </c>
      <c r="B269" s="146" t="str">
        <f>IF(AND(Formulario!F281&lt;&gt;"", Formulario!F281&lt;&gt;"",A269&lt;&gt;""),Formulario!F281,"")</f>
        <v/>
      </c>
      <c r="C269" s="146" t="str">
        <f>IF(AND(Formulario!D281&lt;&gt;"", Formulario!E281&lt;&gt;"",A269&lt;&gt;""),Formulario!E281,"")</f>
        <v/>
      </c>
      <c r="D269" s="55" t="str">
        <f>IF('Cond SAP'!AA281="","",'Cond SAP'!AA281)</f>
        <v/>
      </c>
      <c r="E269" t="str">
        <f>IF(AND(Formulario!G281&lt;&gt;"",Formulario!Q281&lt;&gt;"",A269&lt;&gt;""),Formulario!Q281,"")</f>
        <v/>
      </c>
      <c r="F269" t="str" cm="1">
        <f t="array" aca="1" ref="F269" ca="1">IF(OR(A269="",B269=""),"",LEFT(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69" t="str">
        <f>IF(AND(Formulario!G281&lt;&gt;"",Formulario!G281&lt;&gt;"",A269&lt;&gt;""),Formulario!G281,"")</f>
        <v/>
      </c>
      <c r="I269" t="str">
        <f>IF(AND(Formulario!D281&lt;&gt;"",A269&lt;&gt;""),"UY10","")</f>
        <v/>
      </c>
      <c r="J269" t="str">
        <f>IF(AND(Formulario!D281&lt;&gt;"",A269&lt;&gt;""),"0001","")</f>
        <v/>
      </c>
      <c r="K269" t="str">
        <f>IF(AND(Formulario!D281&lt;&gt;"",A269&lt;&gt;""),"1","")</f>
        <v/>
      </c>
    </row>
    <row r="270" spans="1:11" x14ac:dyDescent="0.3">
      <c r="A270" t="str">
        <f>IF(AND(Formulario!D282&lt;&gt;"",ISNUMBER(Formulario!D282)),Formulario!D282,"")</f>
        <v/>
      </c>
      <c r="B270" s="146" t="str">
        <f>IF(AND(Formulario!F282&lt;&gt;"", Formulario!F282&lt;&gt;"",A270&lt;&gt;""),Formulario!F282,"")</f>
        <v/>
      </c>
      <c r="C270" s="146" t="str">
        <f>IF(AND(Formulario!D282&lt;&gt;"", Formulario!E282&lt;&gt;"",A270&lt;&gt;""),Formulario!E282,"")</f>
        <v/>
      </c>
      <c r="D270" s="55" t="str">
        <f>IF('Cond SAP'!AA282="","",'Cond SAP'!AA282)</f>
        <v/>
      </c>
      <c r="E270" t="str">
        <f>IF(AND(Formulario!G282&lt;&gt;"",Formulario!Q282&lt;&gt;"",A270&lt;&gt;""),Formulario!Q282,"")</f>
        <v/>
      </c>
      <c r="F270" t="str" cm="1">
        <f t="array" aca="1" ref="F270" ca="1">IF(OR(A270="",B270=""),"",LEFT(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0" t="str">
        <f>IF(AND(Formulario!G282&lt;&gt;"",Formulario!G282&lt;&gt;"",A270&lt;&gt;""),Formulario!G282,"")</f>
        <v/>
      </c>
      <c r="I270" t="str">
        <f>IF(AND(Formulario!D282&lt;&gt;"",A270&lt;&gt;""),"UY10","")</f>
        <v/>
      </c>
      <c r="J270" t="str">
        <f>IF(AND(Formulario!D282&lt;&gt;"",A270&lt;&gt;""),"0001","")</f>
        <v/>
      </c>
      <c r="K270" t="str">
        <f>IF(AND(Formulario!D282&lt;&gt;"",A270&lt;&gt;""),"1","")</f>
        <v/>
      </c>
    </row>
    <row r="271" spans="1:11" x14ac:dyDescent="0.3">
      <c r="A271" t="str">
        <f>IF(AND(Formulario!D283&lt;&gt;"",ISNUMBER(Formulario!D283)),Formulario!D283,"")</f>
        <v/>
      </c>
      <c r="B271" s="146" t="str">
        <f>IF(AND(Formulario!F283&lt;&gt;"", Formulario!F283&lt;&gt;"",A271&lt;&gt;""),Formulario!F283,"")</f>
        <v/>
      </c>
      <c r="C271" s="146" t="str">
        <f>IF(AND(Formulario!D283&lt;&gt;"", Formulario!E283&lt;&gt;"",A271&lt;&gt;""),Formulario!E283,"")</f>
        <v/>
      </c>
      <c r="D271" s="55" t="str">
        <f>IF('Cond SAP'!AA283="","",'Cond SAP'!AA283)</f>
        <v/>
      </c>
      <c r="E271" t="str">
        <f>IF(AND(Formulario!G283&lt;&gt;"",Formulario!Q283&lt;&gt;"",A271&lt;&gt;""),Formulario!Q283,"")</f>
        <v/>
      </c>
      <c r="F271" t="str" cm="1">
        <f t="array" aca="1" ref="F271" ca="1">IF(OR(A271="",B271=""),"",LEFT(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1" t="str">
        <f>IF(AND(Formulario!G283&lt;&gt;"",Formulario!G283&lt;&gt;"",A271&lt;&gt;""),Formulario!G283,"")</f>
        <v/>
      </c>
      <c r="I271" t="str">
        <f>IF(AND(Formulario!D283&lt;&gt;"",A271&lt;&gt;""),"UY10","")</f>
        <v/>
      </c>
      <c r="J271" t="str">
        <f>IF(AND(Formulario!D283&lt;&gt;"",A271&lt;&gt;""),"0001","")</f>
        <v/>
      </c>
      <c r="K271" t="str">
        <f>IF(AND(Formulario!D283&lt;&gt;"",A271&lt;&gt;""),"1","")</f>
        <v/>
      </c>
    </row>
    <row r="272" spans="1:11" x14ac:dyDescent="0.3">
      <c r="A272" t="str">
        <f>IF(AND(Formulario!D284&lt;&gt;"",ISNUMBER(Formulario!D284)),Formulario!D284,"")</f>
        <v/>
      </c>
      <c r="B272" s="146" t="str">
        <f>IF(AND(Formulario!F284&lt;&gt;"", Formulario!F284&lt;&gt;"",A272&lt;&gt;""),Formulario!F284,"")</f>
        <v/>
      </c>
      <c r="C272" s="146" t="str">
        <f>IF(AND(Formulario!D284&lt;&gt;"", Formulario!E284&lt;&gt;"",A272&lt;&gt;""),Formulario!E284,"")</f>
        <v/>
      </c>
      <c r="D272" s="55" t="str">
        <f>IF('Cond SAP'!AA284="","",'Cond SAP'!AA284)</f>
        <v/>
      </c>
      <c r="E272" t="str">
        <f>IF(AND(Formulario!G284&lt;&gt;"",Formulario!Q284&lt;&gt;"",A272&lt;&gt;""),Formulario!Q284,"")</f>
        <v/>
      </c>
      <c r="F272" t="str" cm="1">
        <f t="array" aca="1" ref="F272" ca="1">IF(OR(A272="",B272=""),"",LEFT(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2" t="str">
        <f>IF(AND(Formulario!G284&lt;&gt;"",Formulario!G284&lt;&gt;"",A272&lt;&gt;""),Formulario!G284,"")</f>
        <v/>
      </c>
      <c r="I272" t="str">
        <f>IF(AND(Formulario!D284&lt;&gt;"",A272&lt;&gt;""),"UY10","")</f>
        <v/>
      </c>
      <c r="J272" t="str">
        <f>IF(AND(Formulario!D284&lt;&gt;"",A272&lt;&gt;""),"0001","")</f>
        <v/>
      </c>
      <c r="K272" t="str">
        <f>IF(AND(Formulario!D284&lt;&gt;"",A272&lt;&gt;""),"1","")</f>
        <v/>
      </c>
    </row>
    <row r="273" spans="1:11" x14ac:dyDescent="0.3">
      <c r="A273" t="str">
        <f>IF(AND(Formulario!D285&lt;&gt;"",ISNUMBER(Formulario!D285)),Formulario!D285,"")</f>
        <v/>
      </c>
      <c r="B273" s="146" t="str">
        <f>IF(AND(Formulario!F285&lt;&gt;"", Formulario!F285&lt;&gt;"",A273&lt;&gt;""),Formulario!F285,"")</f>
        <v/>
      </c>
      <c r="C273" s="146" t="str">
        <f>IF(AND(Formulario!D285&lt;&gt;"", Formulario!E285&lt;&gt;"",A273&lt;&gt;""),Formulario!E285,"")</f>
        <v/>
      </c>
      <c r="D273" s="55" t="str">
        <f>IF('Cond SAP'!AA285="","",'Cond SAP'!AA285)</f>
        <v/>
      </c>
      <c r="E273" t="str">
        <f>IF(AND(Formulario!G285&lt;&gt;"",Formulario!Q285&lt;&gt;"",A273&lt;&gt;""),Formulario!Q285,"")</f>
        <v/>
      </c>
      <c r="F273" t="str" cm="1">
        <f t="array" aca="1" ref="F273" ca="1">IF(OR(A273="",B273=""),"",LEFT(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3" t="str">
        <f>IF(AND(Formulario!G285&lt;&gt;"",Formulario!G285&lt;&gt;"",A273&lt;&gt;""),Formulario!G285,"")</f>
        <v/>
      </c>
      <c r="I273" t="str">
        <f>IF(AND(Formulario!D285&lt;&gt;"",A273&lt;&gt;""),"UY10","")</f>
        <v/>
      </c>
      <c r="J273" t="str">
        <f>IF(AND(Formulario!D285&lt;&gt;"",A273&lt;&gt;""),"0001","")</f>
        <v/>
      </c>
      <c r="K273" t="str">
        <f>IF(AND(Formulario!D285&lt;&gt;"",A273&lt;&gt;""),"1","")</f>
        <v/>
      </c>
    </row>
    <row r="274" spans="1:11" x14ac:dyDescent="0.3">
      <c r="A274" t="str">
        <f>IF(AND(Formulario!D286&lt;&gt;"",ISNUMBER(Formulario!D286)),Formulario!D286,"")</f>
        <v/>
      </c>
      <c r="B274" s="146" t="str">
        <f>IF(AND(Formulario!F286&lt;&gt;"", Formulario!F286&lt;&gt;"",A274&lt;&gt;""),Formulario!F286,"")</f>
        <v/>
      </c>
      <c r="C274" s="146" t="str">
        <f>IF(AND(Formulario!D286&lt;&gt;"", Formulario!E286&lt;&gt;"",A274&lt;&gt;""),Formulario!E286,"")</f>
        <v/>
      </c>
      <c r="D274" s="55" t="str">
        <f>IF('Cond SAP'!AA286="","",'Cond SAP'!AA286)</f>
        <v/>
      </c>
      <c r="E274" t="str">
        <f>IF(AND(Formulario!G286&lt;&gt;"",Formulario!Q286&lt;&gt;"",A274&lt;&gt;""),Formulario!Q286,"")</f>
        <v/>
      </c>
      <c r="F274" t="str" cm="1">
        <f t="array" aca="1" ref="F274" ca="1">IF(OR(A274="",B274=""),"",LEFT(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4" t="str">
        <f>IF(AND(Formulario!G286&lt;&gt;"",Formulario!G286&lt;&gt;"",A274&lt;&gt;""),Formulario!G286,"")</f>
        <v/>
      </c>
      <c r="I274" t="str">
        <f>IF(AND(Formulario!D286&lt;&gt;"",A274&lt;&gt;""),"UY10","")</f>
        <v/>
      </c>
      <c r="J274" t="str">
        <f>IF(AND(Formulario!D286&lt;&gt;"",A274&lt;&gt;""),"0001","")</f>
        <v/>
      </c>
      <c r="K274" t="str">
        <f>IF(AND(Formulario!D286&lt;&gt;"",A274&lt;&gt;""),"1","")</f>
        <v/>
      </c>
    </row>
    <row r="275" spans="1:11" x14ac:dyDescent="0.3">
      <c r="A275" t="str">
        <f>IF(AND(Formulario!D287&lt;&gt;"",ISNUMBER(Formulario!D287)),Formulario!D287,"")</f>
        <v/>
      </c>
      <c r="B275" s="146" t="str">
        <f>IF(AND(Formulario!F287&lt;&gt;"", Formulario!F287&lt;&gt;"",A275&lt;&gt;""),Formulario!F287,"")</f>
        <v/>
      </c>
      <c r="C275" s="146" t="str">
        <f>IF(AND(Formulario!D287&lt;&gt;"", Formulario!E287&lt;&gt;"",A275&lt;&gt;""),Formulario!E287,"")</f>
        <v/>
      </c>
      <c r="D275" s="55" t="str">
        <f>IF('Cond SAP'!AA287="","",'Cond SAP'!AA287)</f>
        <v/>
      </c>
      <c r="E275" t="str">
        <f>IF(AND(Formulario!G287&lt;&gt;"",Formulario!Q287&lt;&gt;"",A275&lt;&gt;""),Formulario!Q287,"")</f>
        <v/>
      </c>
      <c r="F275" t="str" cm="1">
        <f t="array" aca="1" ref="F275" ca="1">IF(OR(A275="",B275=""),"",LEFT(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5" t="str">
        <f>IF(AND(Formulario!G287&lt;&gt;"",Formulario!G287&lt;&gt;"",A275&lt;&gt;""),Formulario!G287,"")</f>
        <v/>
      </c>
      <c r="I275" t="str">
        <f>IF(AND(Formulario!D287&lt;&gt;"",A275&lt;&gt;""),"UY10","")</f>
        <v/>
      </c>
      <c r="J275" t="str">
        <f>IF(AND(Formulario!D287&lt;&gt;"",A275&lt;&gt;""),"0001","")</f>
        <v/>
      </c>
      <c r="K275" t="str">
        <f>IF(AND(Formulario!D287&lt;&gt;"",A275&lt;&gt;""),"1","")</f>
        <v/>
      </c>
    </row>
    <row r="276" spans="1:11" x14ac:dyDescent="0.3">
      <c r="A276" t="str">
        <f>IF(AND(Formulario!D288&lt;&gt;"",ISNUMBER(Formulario!D288)),Formulario!D288,"")</f>
        <v/>
      </c>
      <c r="B276" s="146" t="str">
        <f>IF(AND(Formulario!F288&lt;&gt;"", Formulario!F288&lt;&gt;"",A276&lt;&gt;""),Formulario!F288,"")</f>
        <v/>
      </c>
      <c r="C276" s="146" t="str">
        <f>IF(AND(Formulario!D288&lt;&gt;"", Formulario!E288&lt;&gt;"",A276&lt;&gt;""),Formulario!E288,"")</f>
        <v/>
      </c>
      <c r="D276" s="55" t="str">
        <f>IF('Cond SAP'!AA288="","",'Cond SAP'!AA288)</f>
        <v/>
      </c>
      <c r="E276" t="str">
        <f>IF(AND(Formulario!G288&lt;&gt;"",Formulario!Q288&lt;&gt;"",A276&lt;&gt;""),Formulario!Q288,"")</f>
        <v/>
      </c>
      <c r="F276" t="str" cm="1">
        <f t="array" aca="1" ref="F276" ca="1">IF(OR(A276="",B276=""),"",LEFT(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6" t="str">
        <f>IF(AND(Formulario!G288&lt;&gt;"",Formulario!G288&lt;&gt;"",A276&lt;&gt;""),Formulario!G288,"")</f>
        <v/>
      </c>
      <c r="I276" t="str">
        <f>IF(AND(Formulario!D288&lt;&gt;"",A276&lt;&gt;""),"UY10","")</f>
        <v/>
      </c>
      <c r="J276" t="str">
        <f>IF(AND(Formulario!D288&lt;&gt;"",A276&lt;&gt;""),"0001","")</f>
        <v/>
      </c>
      <c r="K276" t="str">
        <f>IF(AND(Formulario!D288&lt;&gt;"",A276&lt;&gt;""),"1","")</f>
        <v/>
      </c>
    </row>
    <row r="277" spans="1:11" x14ac:dyDescent="0.3">
      <c r="A277" t="str">
        <f>IF(AND(Formulario!D289&lt;&gt;"",ISNUMBER(Formulario!D289)),Formulario!D289,"")</f>
        <v/>
      </c>
      <c r="B277" s="146" t="str">
        <f>IF(AND(Formulario!F289&lt;&gt;"", Formulario!F289&lt;&gt;"",A277&lt;&gt;""),Formulario!F289,"")</f>
        <v/>
      </c>
      <c r="C277" s="146" t="str">
        <f>IF(AND(Formulario!D289&lt;&gt;"", Formulario!E289&lt;&gt;"",A277&lt;&gt;""),Formulario!E289,"")</f>
        <v/>
      </c>
      <c r="D277" s="55" t="str">
        <f>IF('Cond SAP'!AA289="","",'Cond SAP'!AA289)</f>
        <v/>
      </c>
      <c r="E277" t="str">
        <f>IF(AND(Formulario!G289&lt;&gt;"",Formulario!Q289&lt;&gt;"",A277&lt;&gt;""),Formulario!Q289,"")</f>
        <v/>
      </c>
      <c r="F277" t="str" cm="1">
        <f t="array" aca="1" ref="F277" ca="1">IF(OR(A277="",B277=""),"",LEFT(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7" t="str">
        <f>IF(AND(Formulario!G289&lt;&gt;"",Formulario!G289&lt;&gt;"",A277&lt;&gt;""),Formulario!G289,"")</f>
        <v/>
      </c>
      <c r="I277" t="str">
        <f>IF(AND(Formulario!D289&lt;&gt;"",A277&lt;&gt;""),"UY10","")</f>
        <v/>
      </c>
      <c r="J277" t="str">
        <f>IF(AND(Formulario!D289&lt;&gt;"",A277&lt;&gt;""),"0001","")</f>
        <v/>
      </c>
      <c r="K277" t="str">
        <f>IF(AND(Formulario!D289&lt;&gt;"",A277&lt;&gt;""),"1","")</f>
        <v/>
      </c>
    </row>
    <row r="278" spans="1:11" x14ac:dyDescent="0.3">
      <c r="A278" t="str">
        <f>IF(AND(Formulario!D290&lt;&gt;"",ISNUMBER(Formulario!D290)),Formulario!D290,"")</f>
        <v/>
      </c>
      <c r="B278" s="146" t="str">
        <f>IF(AND(Formulario!F290&lt;&gt;"", Formulario!F290&lt;&gt;"",A278&lt;&gt;""),Formulario!F290,"")</f>
        <v/>
      </c>
      <c r="C278" s="146" t="str">
        <f>IF(AND(Formulario!D290&lt;&gt;"", Formulario!E290&lt;&gt;"",A278&lt;&gt;""),Formulario!E290,"")</f>
        <v/>
      </c>
      <c r="D278" s="55" t="str">
        <f>IF('Cond SAP'!AA290="","",'Cond SAP'!AA290)</f>
        <v/>
      </c>
      <c r="E278" t="str">
        <f>IF(AND(Formulario!G290&lt;&gt;"",Formulario!Q290&lt;&gt;"",A278&lt;&gt;""),Formulario!Q290,"")</f>
        <v/>
      </c>
      <c r="F278" t="str" cm="1">
        <f t="array" aca="1" ref="F278" ca="1">IF(OR(A278="",B278=""),"",LEFT(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8" t="str">
        <f>IF(AND(Formulario!G290&lt;&gt;"",Formulario!G290&lt;&gt;"",A278&lt;&gt;""),Formulario!G290,"")</f>
        <v/>
      </c>
      <c r="I278" t="str">
        <f>IF(AND(Formulario!D290&lt;&gt;"",A278&lt;&gt;""),"UY10","")</f>
        <v/>
      </c>
      <c r="J278" t="str">
        <f>IF(AND(Formulario!D290&lt;&gt;"",A278&lt;&gt;""),"0001","")</f>
        <v/>
      </c>
      <c r="K278" t="str">
        <f>IF(AND(Formulario!D290&lt;&gt;"",A278&lt;&gt;""),"1","")</f>
        <v/>
      </c>
    </row>
    <row r="279" spans="1:11" x14ac:dyDescent="0.3">
      <c r="A279" t="str">
        <f>IF(AND(Formulario!D291&lt;&gt;"",ISNUMBER(Formulario!D291)),Formulario!D291,"")</f>
        <v/>
      </c>
      <c r="B279" s="146" t="str">
        <f>IF(AND(Formulario!F291&lt;&gt;"", Formulario!F291&lt;&gt;"",A279&lt;&gt;""),Formulario!F291,"")</f>
        <v/>
      </c>
      <c r="C279" s="146" t="str">
        <f>IF(AND(Formulario!D291&lt;&gt;"", Formulario!E291&lt;&gt;"",A279&lt;&gt;""),Formulario!E291,"")</f>
        <v/>
      </c>
      <c r="D279" s="55" t="str">
        <f>IF('Cond SAP'!AA291="","",'Cond SAP'!AA291)</f>
        <v/>
      </c>
      <c r="E279" t="str">
        <f>IF(AND(Formulario!G291&lt;&gt;"",Formulario!Q291&lt;&gt;"",A279&lt;&gt;""),Formulario!Q291,"")</f>
        <v/>
      </c>
      <c r="F279" t="str" cm="1">
        <f t="array" aca="1" ref="F279" ca="1">IF(OR(A279="",B279=""),"",LEFT(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79" t="str">
        <f>IF(AND(Formulario!G291&lt;&gt;"",Formulario!G291&lt;&gt;"",A279&lt;&gt;""),Formulario!G291,"")</f>
        <v/>
      </c>
      <c r="I279" t="str">
        <f>IF(AND(Formulario!D291&lt;&gt;"",A279&lt;&gt;""),"UY10","")</f>
        <v/>
      </c>
      <c r="J279" t="str">
        <f>IF(AND(Formulario!D291&lt;&gt;"",A279&lt;&gt;""),"0001","")</f>
        <v/>
      </c>
      <c r="K279" t="str">
        <f>IF(AND(Formulario!D291&lt;&gt;"",A279&lt;&gt;""),"1","")</f>
        <v/>
      </c>
    </row>
    <row r="280" spans="1:11" x14ac:dyDescent="0.3">
      <c r="A280" t="str">
        <f>IF(AND(Formulario!D292&lt;&gt;"",ISNUMBER(Formulario!D292)),Formulario!D292,"")</f>
        <v/>
      </c>
      <c r="B280" s="146" t="str">
        <f>IF(AND(Formulario!F292&lt;&gt;"", Formulario!F292&lt;&gt;"",A280&lt;&gt;""),Formulario!F292,"")</f>
        <v/>
      </c>
      <c r="C280" s="146" t="str">
        <f>IF(AND(Formulario!D292&lt;&gt;"", Formulario!E292&lt;&gt;"",A280&lt;&gt;""),Formulario!E292,"")</f>
        <v/>
      </c>
      <c r="D280" s="55" t="str">
        <f>IF('Cond SAP'!AA292="","",'Cond SAP'!AA292)</f>
        <v/>
      </c>
      <c r="E280" t="str">
        <f>IF(AND(Formulario!G292&lt;&gt;"",Formulario!Q292&lt;&gt;"",A280&lt;&gt;""),Formulario!Q292,"")</f>
        <v/>
      </c>
      <c r="F280" t="str" cm="1">
        <f t="array" aca="1" ref="F280" ca="1">IF(OR(A280="",B280=""),"",LEFT(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0" t="str">
        <f>IF(AND(Formulario!G292&lt;&gt;"",Formulario!G292&lt;&gt;"",A280&lt;&gt;""),Formulario!G292,"")</f>
        <v/>
      </c>
      <c r="I280" t="str">
        <f>IF(AND(Formulario!D292&lt;&gt;"",A280&lt;&gt;""),"UY10","")</f>
        <v/>
      </c>
      <c r="J280" t="str">
        <f>IF(AND(Formulario!D292&lt;&gt;"",A280&lt;&gt;""),"0001","")</f>
        <v/>
      </c>
      <c r="K280" t="str">
        <f>IF(AND(Formulario!D292&lt;&gt;"",A280&lt;&gt;""),"1","")</f>
        <v/>
      </c>
    </row>
    <row r="281" spans="1:11" x14ac:dyDescent="0.3">
      <c r="A281" t="str">
        <f>IF(AND(Formulario!D293&lt;&gt;"",ISNUMBER(Formulario!D293)),Formulario!D293,"")</f>
        <v/>
      </c>
      <c r="B281" s="146" t="str">
        <f>IF(AND(Formulario!F293&lt;&gt;"", Formulario!F293&lt;&gt;"",A281&lt;&gt;""),Formulario!F293,"")</f>
        <v/>
      </c>
      <c r="C281" s="146" t="str">
        <f>IF(AND(Formulario!D293&lt;&gt;"", Formulario!E293&lt;&gt;"",A281&lt;&gt;""),Formulario!E293,"")</f>
        <v/>
      </c>
      <c r="D281" s="55" t="str">
        <f>IF('Cond SAP'!AA293="","",'Cond SAP'!AA293)</f>
        <v/>
      </c>
      <c r="E281" t="str">
        <f>IF(AND(Formulario!G293&lt;&gt;"",Formulario!Q293&lt;&gt;"",A281&lt;&gt;""),Formulario!Q293,"")</f>
        <v/>
      </c>
      <c r="F281" t="str" cm="1">
        <f t="array" aca="1" ref="F281" ca="1">IF(OR(A281="",B281=""),"",LEFT(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1" t="str">
        <f>IF(AND(Formulario!G293&lt;&gt;"",Formulario!G293&lt;&gt;"",A281&lt;&gt;""),Formulario!G293,"")</f>
        <v/>
      </c>
      <c r="I281" t="str">
        <f>IF(AND(Formulario!D293&lt;&gt;"",A281&lt;&gt;""),"UY10","")</f>
        <v/>
      </c>
      <c r="J281" t="str">
        <f>IF(AND(Formulario!D293&lt;&gt;"",A281&lt;&gt;""),"0001","")</f>
        <v/>
      </c>
      <c r="K281" t="str">
        <f>IF(AND(Formulario!D293&lt;&gt;"",A281&lt;&gt;""),"1","")</f>
        <v/>
      </c>
    </row>
    <row r="282" spans="1:11" x14ac:dyDescent="0.3">
      <c r="A282" t="str">
        <f>IF(AND(Formulario!D294&lt;&gt;"",ISNUMBER(Formulario!D294)),Formulario!D294,"")</f>
        <v/>
      </c>
      <c r="B282" s="146" t="str">
        <f>IF(AND(Formulario!F294&lt;&gt;"", Formulario!F294&lt;&gt;"",A282&lt;&gt;""),Formulario!F294,"")</f>
        <v/>
      </c>
      <c r="C282" s="146" t="str">
        <f>IF(AND(Formulario!D294&lt;&gt;"", Formulario!E294&lt;&gt;"",A282&lt;&gt;""),Formulario!E294,"")</f>
        <v/>
      </c>
      <c r="D282" s="55" t="str">
        <f>IF('Cond SAP'!AA294="","",'Cond SAP'!AA294)</f>
        <v/>
      </c>
      <c r="E282" t="str">
        <f>IF(AND(Formulario!G294&lt;&gt;"",Formulario!Q294&lt;&gt;"",A282&lt;&gt;""),Formulario!Q294,"")</f>
        <v/>
      </c>
      <c r="F282" t="str" cm="1">
        <f t="array" aca="1" ref="F282" ca="1">IF(OR(A282="",B282=""),"",LEFT(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2" t="str">
        <f>IF(AND(Formulario!G294&lt;&gt;"",Formulario!G294&lt;&gt;"",A282&lt;&gt;""),Formulario!G294,"")</f>
        <v/>
      </c>
      <c r="I282" t="str">
        <f>IF(AND(Formulario!D294&lt;&gt;"",A282&lt;&gt;""),"UY10","")</f>
        <v/>
      </c>
      <c r="J282" t="str">
        <f>IF(AND(Formulario!D294&lt;&gt;"",A282&lt;&gt;""),"0001","")</f>
        <v/>
      </c>
      <c r="K282" t="str">
        <f>IF(AND(Formulario!D294&lt;&gt;"",A282&lt;&gt;""),"1","")</f>
        <v/>
      </c>
    </row>
    <row r="283" spans="1:11" x14ac:dyDescent="0.3">
      <c r="A283" t="str">
        <f>IF(AND(Formulario!D295&lt;&gt;"",ISNUMBER(Formulario!D295)),Formulario!D295,"")</f>
        <v/>
      </c>
      <c r="B283" s="146" t="str">
        <f>IF(AND(Formulario!F295&lt;&gt;"", Formulario!F295&lt;&gt;"",A283&lt;&gt;""),Formulario!F295,"")</f>
        <v/>
      </c>
      <c r="C283" s="146" t="str">
        <f>IF(AND(Formulario!D295&lt;&gt;"", Formulario!E295&lt;&gt;"",A283&lt;&gt;""),Formulario!E295,"")</f>
        <v/>
      </c>
      <c r="D283" s="55" t="str">
        <f>IF('Cond SAP'!AA295="","",'Cond SAP'!AA295)</f>
        <v/>
      </c>
      <c r="E283" t="str">
        <f>IF(AND(Formulario!G295&lt;&gt;"",Formulario!Q295&lt;&gt;"",A283&lt;&gt;""),Formulario!Q295,"")</f>
        <v/>
      </c>
      <c r="F283" t="str" cm="1">
        <f t="array" aca="1" ref="F283" ca="1">IF(OR(A283="",B283=""),"",LEFT(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3" t="str">
        <f>IF(AND(Formulario!G295&lt;&gt;"",Formulario!G295&lt;&gt;"",A283&lt;&gt;""),Formulario!G295,"")</f>
        <v/>
      </c>
      <c r="I283" t="str">
        <f>IF(AND(Formulario!D295&lt;&gt;"",A283&lt;&gt;""),"UY10","")</f>
        <v/>
      </c>
      <c r="J283" t="str">
        <f>IF(AND(Formulario!D295&lt;&gt;"",A283&lt;&gt;""),"0001","")</f>
        <v/>
      </c>
      <c r="K283" t="str">
        <f>IF(AND(Formulario!D295&lt;&gt;"",A283&lt;&gt;""),"1","")</f>
        <v/>
      </c>
    </row>
    <row r="284" spans="1:11" x14ac:dyDescent="0.3">
      <c r="A284" t="str">
        <f>IF(AND(Formulario!D296&lt;&gt;"",ISNUMBER(Formulario!D296)),Formulario!D296,"")</f>
        <v/>
      </c>
      <c r="B284" s="146" t="str">
        <f>IF(AND(Formulario!F296&lt;&gt;"", Formulario!F296&lt;&gt;"",A284&lt;&gt;""),Formulario!F296,"")</f>
        <v/>
      </c>
      <c r="C284" s="146" t="str">
        <f>IF(AND(Formulario!D296&lt;&gt;"", Formulario!E296&lt;&gt;"",A284&lt;&gt;""),Formulario!E296,"")</f>
        <v/>
      </c>
      <c r="D284" s="55" t="str">
        <f>IF('Cond SAP'!AA296="","",'Cond SAP'!AA296)</f>
        <v/>
      </c>
      <c r="E284" t="str">
        <f>IF(AND(Formulario!G296&lt;&gt;"",Formulario!Q296&lt;&gt;"",A284&lt;&gt;""),Formulario!Q296,"")</f>
        <v/>
      </c>
      <c r="F284" t="str" cm="1">
        <f t="array" aca="1" ref="F284" ca="1">IF(OR(A284="",B284=""),"",LEFT(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4" t="str">
        <f>IF(AND(Formulario!G296&lt;&gt;"",Formulario!G296&lt;&gt;"",A284&lt;&gt;""),Formulario!G296,"")</f>
        <v/>
      </c>
      <c r="I284" t="str">
        <f>IF(AND(Formulario!D296&lt;&gt;"",A284&lt;&gt;""),"UY10","")</f>
        <v/>
      </c>
      <c r="J284" t="str">
        <f>IF(AND(Formulario!D296&lt;&gt;"",A284&lt;&gt;""),"0001","")</f>
        <v/>
      </c>
      <c r="K284" t="str">
        <f>IF(AND(Formulario!D296&lt;&gt;"",A284&lt;&gt;""),"1","")</f>
        <v/>
      </c>
    </row>
    <row r="285" spans="1:11" x14ac:dyDescent="0.3">
      <c r="A285" t="str">
        <f>IF(AND(Formulario!D297&lt;&gt;"",ISNUMBER(Formulario!D297)),Formulario!D297,"")</f>
        <v/>
      </c>
      <c r="B285" s="146" t="str">
        <f>IF(AND(Formulario!F297&lt;&gt;"", Formulario!F297&lt;&gt;"",A285&lt;&gt;""),Formulario!F297,"")</f>
        <v/>
      </c>
      <c r="C285" s="146" t="str">
        <f>IF(AND(Formulario!D297&lt;&gt;"", Formulario!E297&lt;&gt;"",A285&lt;&gt;""),Formulario!E297,"")</f>
        <v/>
      </c>
      <c r="D285" s="55" t="str">
        <f>IF('Cond SAP'!AA297="","",'Cond SAP'!AA297)</f>
        <v/>
      </c>
      <c r="E285" t="str">
        <f>IF(AND(Formulario!G297&lt;&gt;"",Formulario!Q297&lt;&gt;"",A285&lt;&gt;""),Formulario!Q297,"")</f>
        <v/>
      </c>
      <c r="F285" t="str" cm="1">
        <f t="array" aca="1" ref="F285" ca="1">IF(OR(A285="",B285=""),"",LEFT(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5" t="str">
        <f>IF(AND(Formulario!G297&lt;&gt;"",Formulario!G297&lt;&gt;"",A285&lt;&gt;""),Formulario!G297,"")</f>
        <v/>
      </c>
      <c r="I285" t="str">
        <f>IF(AND(Formulario!D297&lt;&gt;"",A285&lt;&gt;""),"UY10","")</f>
        <v/>
      </c>
      <c r="J285" t="str">
        <f>IF(AND(Formulario!D297&lt;&gt;"",A285&lt;&gt;""),"0001","")</f>
        <v/>
      </c>
      <c r="K285" t="str">
        <f>IF(AND(Formulario!D297&lt;&gt;"",A285&lt;&gt;""),"1","")</f>
        <v/>
      </c>
    </row>
    <row r="286" spans="1:11" x14ac:dyDescent="0.3">
      <c r="A286" t="str">
        <f>IF(AND(Formulario!D298&lt;&gt;"",ISNUMBER(Formulario!D298)),Formulario!D298,"")</f>
        <v/>
      </c>
      <c r="B286" s="146" t="str">
        <f>IF(AND(Formulario!F298&lt;&gt;"", Formulario!F298&lt;&gt;"",A286&lt;&gt;""),Formulario!F298,"")</f>
        <v/>
      </c>
      <c r="C286" s="146" t="str">
        <f>IF(AND(Formulario!D298&lt;&gt;"", Formulario!E298&lt;&gt;"",A286&lt;&gt;""),Formulario!E298,"")</f>
        <v/>
      </c>
      <c r="D286" s="55" t="str">
        <f>IF('Cond SAP'!AA298="","",'Cond SAP'!AA298)</f>
        <v/>
      </c>
      <c r="E286" t="str">
        <f>IF(AND(Formulario!G298&lt;&gt;"",Formulario!Q298&lt;&gt;"",A286&lt;&gt;""),Formulario!Q298,"")</f>
        <v/>
      </c>
      <c r="F286" t="str" cm="1">
        <f t="array" aca="1" ref="F286" ca="1">IF(OR(A286="",B286=""),"",LEFT(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6" t="str">
        <f>IF(AND(Formulario!G298&lt;&gt;"",Formulario!G298&lt;&gt;"",A286&lt;&gt;""),Formulario!G298,"")</f>
        <v/>
      </c>
      <c r="I286" t="str">
        <f>IF(AND(Formulario!D298&lt;&gt;"",A286&lt;&gt;""),"UY10","")</f>
        <v/>
      </c>
      <c r="J286" t="str">
        <f>IF(AND(Formulario!D298&lt;&gt;"",A286&lt;&gt;""),"0001","")</f>
        <v/>
      </c>
      <c r="K286" t="str">
        <f>IF(AND(Formulario!D298&lt;&gt;"",A286&lt;&gt;""),"1","")</f>
        <v/>
      </c>
    </row>
    <row r="287" spans="1:11" x14ac:dyDescent="0.3">
      <c r="A287" t="str">
        <f>IF(AND(Formulario!D299&lt;&gt;"",ISNUMBER(Formulario!D299)),Formulario!D299,"")</f>
        <v/>
      </c>
      <c r="B287" s="146" t="str">
        <f>IF(AND(Formulario!F299&lt;&gt;"", Formulario!F299&lt;&gt;"",A287&lt;&gt;""),Formulario!F299,"")</f>
        <v/>
      </c>
      <c r="C287" s="146" t="str">
        <f>IF(AND(Formulario!D299&lt;&gt;"", Formulario!E299&lt;&gt;"",A287&lt;&gt;""),Formulario!E299,"")</f>
        <v/>
      </c>
      <c r="D287" s="55" t="str">
        <f>IF('Cond SAP'!AA299="","",'Cond SAP'!AA299)</f>
        <v/>
      </c>
      <c r="E287" t="str">
        <f>IF(AND(Formulario!G299&lt;&gt;"",Formulario!Q299&lt;&gt;"",A287&lt;&gt;""),Formulario!Q299,"")</f>
        <v/>
      </c>
      <c r="F287" t="str" cm="1">
        <f t="array" aca="1" ref="F287" ca="1">IF(OR(A287="",B287=""),"",LEFT(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7" t="str">
        <f>IF(AND(Formulario!G299&lt;&gt;"",Formulario!G299&lt;&gt;"",A287&lt;&gt;""),Formulario!G299,"")</f>
        <v/>
      </c>
      <c r="I287" t="str">
        <f>IF(AND(Formulario!D299&lt;&gt;"",A287&lt;&gt;""),"UY10","")</f>
        <v/>
      </c>
      <c r="J287" t="str">
        <f>IF(AND(Formulario!D299&lt;&gt;"",A287&lt;&gt;""),"0001","")</f>
        <v/>
      </c>
      <c r="K287" t="str">
        <f>IF(AND(Formulario!D299&lt;&gt;"",A287&lt;&gt;""),"1","")</f>
        <v/>
      </c>
    </row>
    <row r="288" spans="1:11" x14ac:dyDescent="0.3">
      <c r="A288" t="str">
        <f>IF(AND(Formulario!D300&lt;&gt;"",ISNUMBER(Formulario!D300)),Formulario!D300,"")</f>
        <v/>
      </c>
      <c r="B288" s="146" t="str">
        <f>IF(AND(Formulario!F300&lt;&gt;"", Formulario!F300&lt;&gt;"",A288&lt;&gt;""),Formulario!F300,"")</f>
        <v/>
      </c>
      <c r="C288" s="146" t="str">
        <f>IF(AND(Formulario!D300&lt;&gt;"", Formulario!E300&lt;&gt;"",A288&lt;&gt;""),Formulario!E300,"")</f>
        <v/>
      </c>
      <c r="D288" s="55" t="str">
        <f>IF('Cond SAP'!AA300="","",'Cond SAP'!AA300)</f>
        <v/>
      </c>
      <c r="E288" t="str">
        <f>IF(AND(Formulario!G300&lt;&gt;"",Formulario!Q300&lt;&gt;"",A288&lt;&gt;""),Formulario!Q300,"")</f>
        <v/>
      </c>
      <c r="F288" t="str" cm="1">
        <f t="array" aca="1" ref="F288" ca="1">IF(OR(A288="",B288=""),"",LEFT(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8" t="str">
        <f>IF(AND(Formulario!G300&lt;&gt;"",Formulario!G300&lt;&gt;"",A288&lt;&gt;""),Formulario!G300,"")</f>
        <v/>
      </c>
      <c r="I288" t="str">
        <f>IF(AND(Formulario!D300&lt;&gt;"",A288&lt;&gt;""),"UY10","")</f>
        <v/>
      </c>
      <c r="J288" t="str">
        <f>IF(AND(Formulario!D300&lt;&gt;"",A288&lt;&gt;""),"0001","")</f>
        <v/>
      </c>
      <c r="K288" t="str">
        <f>IF(AND(Formulario!D300&lt;&gt;"",A288&lt;&gt;""),"1","")</f>
        <v/>
      </c>
    </row>
    <row r="289" spans="1:11" x14ac:dyDescent="0.3">
      <c r="A289" t="str">
        <f>IF(AND(Formulario!D301&lt;&gt;"",ISNUMBER(Formulario!D301)),Formulario!D301,"")</f>
        <v/>
      </c>
      <c r="B289" s="146" t="str">
        <f>IF(AND(Formulario!F301&lt;&gt;"", Formulario!F301&lt;&gt;"",A289&lt;&gt;""),Formulario!F301,"")</f>
        <v/>
      </c>
      <c r="C289" s="146" t="str">
        <f>IF(AND(Formulario!D301&lt;&gt;"", Formulario!E301&lt;&gt;"",A289&lt;&gt;""),Formulario!E301,"")</f>
        <v/>
      </c>
      <c r="D289" s="55" t="str">
        <f>IF('Cond SAP'!AA301="","",'Cond SAP'!AA301)</f>
        <v/>
      </c>
      <c r="E289" t="str">
        <f>IF(AND(Formulario!G301&lt;&gt;"",Formulario!Q301&lt;&gt;"",A289&lt;&gt;""),Formulario!Q301,"")</f>
        <v/>
      </c>
      <c r="F289" t="str" cm="1">
        <f t="array" aca="1" ref="F289" ca="1">IF(OR(A289="",B289=""),"",LEFT(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89" t="str">
        <f>IF(AND(Formulario!G301&lt;&gt;"",Formulario!G301&lt;&gt;"",A289&lt;&gt;""),Formulario!G301,"")</f>
        <v/>
      </c>
      <c r="I289" t="str">
        <f>IF(AND(Formulario!D301&lt;&gt;"",A289&lt;&gt;""),"UY10","")</f>
        <v/>
      </c>
      <c r="J289" t="str">
        <f>IF(AND(Formulario!D301&lt;&gt;"",A289&lt;&gt;""),"0001","")</f>
        <v/>
      </c>
      <c r="K289" t="str">
        <f>IF(AND(Formulario!D301&lt;&gt;"",A289&lt;&gt;""),"1","")</f>
        <v/>
      </c>
    </row>
    <row r="290" spans="1:11" x14ac:dyDescent="0.3">
      <c r="A290" t="str">
        <f>IF(AND(Formulario!D302&lt;&gt;"",ISNUMBER(Formulario!D302)),Formulario!D302,"")</f>
        <v/>
      </c>
      <c r="B290" s="146" t="str">
        <f>IF(AND(Formulario!F302&lt;&gt;"", Formulario!F302&lt;&gt;"",A290&lt;&gt;""),Formulario!F302,"")</f>
        <v/>
      </c>
      <c r="C290" s="146" t="str">
        <f>IF(AND(Formulario!D302&lt;&gt;"", Formulario!E302&lt;&gt;"",A290&lt;&gt;""),Formulario!E302,"")</f>
        <v/>
      </c>
      <c r="D290" s="55" t="str">
        <f>IF('Cond SAP'!AA302="","",'Cond SAP'!AA302)</f>
        <v/>
      </c>
      <c r="E290" t="str">
        <f>IF(AND(Formulario!G302&lt;&gt;"",Formulario!Q302&lt;&gt;"",A290&lt;&gt;""),Formulario!Q302,"")</f>
        <v/>
      </c>
      <c r="F290" t="str" cm="1">
        <f t="array" aca="1" ref="F290" ca="1">IF(OR(A290="",B290=""),"",LEFT(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0" t="str">
        <f>IF(AND(Formulario!G302&lt;&gt;"",Formulario!G302&lt;&gt;"",A290&lt;&gt;""),Formulario!G302,"")</f>
        <v/>
      </c>
      <c r="I290" t="str">
        <f>IF(AND(Formulario!D302&lt;&gt;"",A290&lt;&gt;""),"UY10","")</f>
        <v/>
      </c>
      <c r="J290" t="str">
        <f>IF(AND(Formulario!D302&lt;&gt;"",A290&lt;&gt;""),"0001","")</f>
        <v/>
      </c>
      <c r="K290" t="str">
        <f>IF(AND(Formulario!D302&lt;&gt;"",A290&lt;&gt;""),"1","")</f>
        <v/>
      </c>
    </row>
    <row r="291" spans="1:11" x14ac:dyDescent="0.3">
      <c r="A291" t="str">
        <f>IF(AND(Formulario!D303&lt;&gt;"",ISNUMBER(Formulario!D303)),Formulario!D303,"")</f>
        <v/>
      </c>
      <c r="B291" s="146" t="str">
        <f>IF(AND(Formulario!F303&lt;&gt;"", Formulario!F303&lt;&gt;"",A291&lt;&gt;""),Formulario!F303,"")</f>
        <v/>
      </c>
      <c r="C291" s="146" t="str">
        <f>IF(AND(Formulario!D303&lt;&gt;"", Formulario!E303&lt;&gt;"",A291&lt;&gt;""),Formulario!E303,"")</f>
        <v/>
      </c>
      <c r="D291" s="55" t="str">
        <f>IF('Cond SAP'!AA303="","",'Cond SAP'!AA303)</f>
        <v/>
      </c>
      <c r="E291" t="str">
        <f>IF(AND(Formulario!G303&lt;&gt;"",Formulario!Q303&lt;&gt;"",A291&lt;&gt;""),Formulario!Q303,"")</f>
        <v/>
      </c>
      <c r="F291" t="str" cm="1">
        <f t="array" aca="1" ref="F291" ca="1">IF(OR(A291="",B291=""),"",LEFT(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1" t="str">
        <f>IF(AND(Formulario!G303&lt;&gt;"",Formulario!G303&lt;&gt;"",A291&lt;&gt;""),Formulario!G303,"")</f>
        <v/>
      </c>
      <c r="I291" t="str">
        <f>IF(AND(Formulario!D303&lt;&gt;"",A291&lt;&gt;""),"UY10","")</f>
        <v/>
      </c>
      <c r="J291" t="str">
        <f>IF(AND(Formulario!D303&lt;&gt;"",A291&lt;&gt;""),"0001","")</f>
        <v/>
      </c>
      <c r="K291" t="str">
        <f>IF(AND(Formulario!D303&lt;&gt;"",A291&lt;&gt;""),"1","")</f>
        <v/>
      </c>
    </row>
    <row r="292" spans="1:11" x14ac:dyDescent="0.3">
      <c r="A292" t="str">
        <f>IF(AND(Formulario!D304&lt;&gt;"",ISNUMBER(Formulario!D304)),Formulario!D304,"")</f>
        <v/>
      </c>
      <c r="B292" s="146" t="str">
        <f>IF(AND(Formulario!F304&lt;&gt;"", Formulario!F304&lt;&gt;"",A292&lt;&gt;""),Formulario!F304,"")</f>
        <v/>
      </c>
      <c r="C292" s="146" t="str">
        <f>IF(AND(Formulario!D304&lt;&gt;"", Formulario!E304&lt;&gt;"",A292&lt;&gt;""),Formulario!E304,"")</f>
        <v/>
      </c>
      <c r="D292" s="55" t="str">
        <f>IF('Cond SAP'!AA304="","",'Cond SAP'!AA304)</f>
        <v/>
      </c>
      <c r="E292" t="str">
        <f>IF(AND(Formulario!G304&lt;&gt;"",Formulario!Q304&lt;&gt;"",A292&lt;&gt;""),Formulario!Q304,"")</f>
        <v/>
      </c>
      <c r="F292" t="str" cm="1">
        <f t="array" aca="1" ref="F292" ca="1">IF(OR(A292="",B292=""),"",LEFT(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2" t="str">
        <f>IF(AND(Formulario!G304&lt;&gt;"",Formulario!G304&lt;&gt;"",A292&lt;&gt;""),Formulario!G304,"")</f>
        <v/>
      </c>
      <c r="I292" t="str">
        <f>IF(AND(Formulario!D304&lt;&gt;"",A292&lt;&gt;""),"UY10","")</f>
        <v/>
      </c>
      <c r="J292" t="str">
        <f>IF(AND(Formulario!D304&lt;&gt;"",A292&lt;&gt;""),"0001","")</f>
        <v/>
      </c>
      <c r="K292" t="str">
        <f>IF(AND(Formulario!D304&lt;&gt;"",A292&lt;&gt;""),"1","")</f>
        <v/>
      </c>
    </row>
    <row r="293" spans="1:11" x14ac:dyDescent="0.3">
      <c r="A293" t="str">
        <f>IF(AND(Formulario!D305&lt;&gt;"",ISNUMBER(Formulario!D305)),Formulario!D305,"")</f>
        <v/>
      </c>
      <c r="B293" s="146" t="str">
        <f>IF(AND(Formulario!F305&lt;&gt;"", Formulario!F305&lt;&gt;"",A293&lt;&gt;""),Formulario!F305,"")</f>
        <v/>
      </c>
      <c r="C293" s="146" t="str">
        <f>IF(AND(Formulario!D305&lt;&gt;"", Formulario!E305&lt;&gt;"",A293&lt;&gt;""),Formulario!E305,"")</f>
        <v/>
      </c>
      <c r="D293" s="55" t="str">
        <f>IF('Cond SAP'!AA305="","",'Cond SAP'!AA305)</f>
        <v/>
      </c>
      <c r="E293" t="str">
        <f>IF(AND(Formulario!G305&lt;&gt;"",Formulario!Q305&lt;&gt;"",A293&lt;&gt;""),Formulario!Q305,"")</f>
        <v/>
      </c>
      <c r="F293" t="str" cm="1">
        <f t="array" aca="1" ref="F293" ca="1">IF(OR(A293="",B293=""),"",LEFT(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3" t="str">
        <f>IF(AND(Formulario!G305&lt;&gt;"",Formulario!G305&lt;&gt;"",A293&lt;&gt;""),Formulario!G305,"")</f>
        <v/>
      </c>
      <c r="I293" t="str">
        <f>IF(AND(Formulario!D305&lt;&gt;"",A293&lt;&gt;""),"UY10","")</f>
        <v/>
      </c>
      <c r="J293" t="str">
        <f>IF(AND(Formulario!D305&lt;&gt;"",A293&lt;&gt;""),"0001","")</f>
        <v/>
      </c>
      <c r="K293" t="str">
        <f>IF(AND(Formulario!D305&lt;&gt;"",A293&lt;&gt;""),"1","")</f>
        <v/>
      </c>
    </row>
    <row r="294" spans="1:11" x14ac:dyDescent="0.3">
      <c r="A294" t="str">
        <f>IF(AND(Formulario!D306&lt;&gt;"",ISNUMBER(Formulario!D306)),Formulario!D306,"")</f>
        <v/>
      </c>
      <c r="B294" s="146" t="str">
        <f>IF(AND(Formulario!F306&lt;&gt;"", Formulario!F306&lt;&gt;"",A294&lt;&gt;""),Formulario!F306,"")</f>
        <v/>
      </c>
      <c r="C294" s="146" t="str">
        <f>IF(AND(Formulario!D306&lt;&gt;"", Formulario!E306&lt;&gt;"",A294&lt;&gt;""),Formulario!E306,"")</f>
        <v/>
      </c>
      <c r="D294" s="55" t="str">
        <f>IF('Cond SAP'!AA306="","",'Cond SAP'!AA306)</f>
        <v/>
      </c>
      <c r="E294" t="str">
        <f>IF(AND(Formulario!G306&lt;&gt;"",Formulario!Q306&lt;&gt;"",A294&lt;&gt;""),Formulario!Q306,"")</f>
        <v/>
      </c>
      <c r="F294" t="str" cm="1">
        <f t="array" aca="1" ref="F294" ca="1">IF(OR(A294="",B294=""),"",LEFT(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4" t="str">
        <f>IF(AND(Formulario!G306&lt;&gt;"",Formulario!G306&lt;&gt;"",A294&lt;&gt;""),Formulario!G306,"")</f>
        <v/>
      </c>
      <c r="I294" t="str">
        <f>IF(AND(Formulario!D306&lt;&gt;"",A294&lt;&gt;""),"UY10","")</f>
        <v/>
      </c>
      <c r="J294" t="str">
        <f>IF(AND(Formulario!D306&lt;&gt;"",A294&lt;&gt;""),"0001","")</f>
        <v/>
      </c>
      <c r="K294" t="str">
        <f>IF(AND(Formulario!D306&lt;&gt;"",A294&lt;&gt;""),"1","")</f>
        <v/>
      </c>
    </row>
    <row r="295" spans="1:11" x14ac:dyDescent="0.3">
      <c r="A295" t="str">
        <f>IF(AND(Formulario!D307&lt;&gt;"",ISNUMBER(Formulario!D307)),Formulario!D307,"")</f>
        <v/>
      </c>
      <c r="B295" s="146" t="str">
        <f>IF(AND(Formulario!F307&lt;&gt;"", Formulario!F307&lt;&gt;"",A295&lt;&gt;""),Formulario!F307,"")</f>
        <v/>
      </c>
      <c r="C295" s="146" t="str">
        <f>IF(AND(Formulario!D307&lt;&gt;"", Formulario!E307&lt;&gt;"",A295&lt;&gt;""),Formulario!E307,"")</f>
        <v/>
      </c>
      <c r="D295" s="55" t="str">
        <f>IF('Cond SAP'!AA307="","",'Cond SAP'!AA307)</f>
        <v/>
      </c>
      <c r="E295" t="str">
        <f>IF(AND(Formulario!G307&lt;&gt;"",Formulario!Q307&lt;&gt;"",A295&lt;&gt;""),Formulario!Q307,"")</f>
        <v/>
      </c>
      <c r="F295" t="str" cm="1">
        <f t="array" aca="1" ref="F295" ca="1">IF(OR(A295="",B295=""),"",LEFT(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5" t="str">
        <f>IF(AND(Formulario!G307&lt;&gt;"",Formulario!G307&lt;&gt;"",A295&lt;&gt;""),Formulario!G307,"")</f>
        <v/>
      </c>
      <c r="I295" t="str">
        <f>IF(AND(Formulario!D307&lt;&gt;"",A295&lt;&gt;""),"UY10","")</f>
        <v/>
      </c>
      <c r="J295" t="str">
        <f>IF(AND(Formulario!D307&lt;&gt;"",A295&lt;&gt;""),"0001","")</f>
        <v/>
      </c>
      <c r="K295" t="str">
        <f>IF(AND(Formulario!D307&lt;&gt;"",A295&lt;&gt;""),"1","")</f>
        <v/>
      </c>
    </row>
    <row r="296" spans="1:11" x14ac:dyDescent="0.3">
      <c r="A296" t="str">
        <f>IF(AND(Formulario!D308&lt;&gt;"",ISNUMBER(Formulario!D308)),Formulario!D308,"")</f>
        <v/>
      </c>
      <c r="B296" s="146" t="str">
        <f>IF(AND(Formulario!F308&lt;&gt;"", Formulario!F308&lt;&gt;"",A296&lt;&gt;""),Formulario!F308,"")</f>
        <v/>
      </c>
      <c r="C296" s="146" t="str">
        <f>IF(AND(Formulario!D308&lt;&gt;"", Formulario!E308&lt;&gt;"",A296&lt;&gt;""),Formulario!E308,"")</f>
        <v/>
      </c>
      <c r="D296" s="55" t="str">
        <f>IF('Cond SAP'!AA308="","",'Cond SAP'!AA308)</f>
        <v/>
      </c>
      <c r="E296" t="str">
        <f>IF(AND(Formulario!G308&lt;&gt;"",Formulario!Q308&lt;&gt;"",A296&lt;&gt;""),Formulario!Q308,"")</f>
        <v/>
      </c>
      <c r="F296" t="str" cm="1">
        <f t="array" aca="1" ref="F296" ca="1">IF(OR(A296="",B296=""),"",LEFT(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6" t="str">
        <f>IF(AND(Formulario!G308&lt;&gt;"",Formulario!G308&lt;&gt;"",A296&lt;&gt;""),Formulario!G308,"")</f>
        <v/>
      </c>
      <c r="I296" t="str">
        <f>IF(AND(Formulario!D308&lt;&gt;"",A296&lt;&gt;""),"UY10","")</f>
        <v/>
      </c>
      <c r="J296" t="str">
        <f>IF(AND(Formulario!D308&lt;&gt;"",A296&lt;&gt;""),"0001","")</f>
        <v/>
      </c>
      <c r="K296" t="str">
        <f>IF(AND(Formulario!D308&lt;&gt;"",A296&lt;&gt;""),"1","")</f>
        <v/>
      </c>
    </row>
    <row r="297" spans="1:11" x14ac:dyDescent="0.3">
      <c r="A297" t="str">
        <f>IF(AND(Formulario!D309&lt;&gt;"",ISNUMBER(Formulario!D309)),Formulario!D309,"")</f>
        <v/>
      </c>
      <c r="B297" s="146" t="str">
        <f>IF(AND(Formulario!F309&lt;&gt;"", Formulario!F309&lt;&gt;"",A297&lt;&gt;""),Formulario!F309,"")</f>
        <v/>
      </c>
      <c r="C297" s="146" t="str">
        <f>IF(AND(Formulario!D309&lt;&gt;"", Formulario!E309&lt;&gt;"",A297&lt;&gt;""),Formulario!E309,"")</f>
        <v/>
      </c>
      <c r="D297" s="55" t="str">
        <f>IF('Cond SAP'!AA309="","",'Cond SAP'!AA309)</f>
        <v/>
      </c>
      <c r="E297" t="str">
        <f>IF(AND(Formulario!G309&lt;&gt;"",Formulario!Q309&lt;&gt;"",A297&lt;&gt;""),Formulario!Q309,"")</f>
        <v/>
      </c>
      <c r="F297" t="str" cm="1">
        <f t="array" aca="1" ref="F297" ca="1">IF(OR(A297="",B297=""),"",LEFT(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7" t="str">
        <f>IF(AND(Formulario!G309&lt;&gt;"",Formulario!G309&lt;&gt;"",A297&lt;&gt;""),Formulario!G309,"")</f>
        <v/>
      </c>
      <c r="I297" t="str">
        <f>IF(AND(Formulario!D309&lt;&gt;"",A297&lt;&gt;""),"UY10","")</f>
        <v/>
      </c>
      <c r="J297" t="str">
        <f>IF(AND(Formulario!D309&lt;&gt;"",A297&lt;&gt;""),"0001","")</f>
        <v/>
      </c>
      <c r="K297" t="str">
        <f>IF(AND(Formulario!D309&lt;&gt;"",A297&lt;&gt;""),"1","")</f>
        <v/>
      </c>
    </row>
    <row r="298" spans="1:11" x14ac:dyDescent="0.3">
      <c r="A298" t="str">
        <f>IF(AND(Formulario!D310&lt;&gt;"",ISNUMBER(Formulario!D310)),Formulario!D310,"")</f>
        <v/>
      </c>
      <c r="B298" s="146" t="str">
        <f>IF(AND(Formulario!F310&lt;&gt;"", Formulario!F310&lt;&gt;"",A298&lt;&gt;""),Formulario!F310,"")</f>
        <v/>
      </c>
      <c r="C298" s="146" t="str">
        <f>IF(AND(Formulario!D310&lt;&gt;"", Formulario!E310&lt;&gt;"",A298&lt;&gt;""),Formulario!E310,"")</f>
        <v/>
      </c>
      <c r="D298" s="55" t="str">
        <f>IF('Cond SAP'!AA310="","",'Cond SAP'!AA310)</f>
        <v/>
      </c>
      <c r="E298" t="str">
        <f>IF(AND(Formulario!G310&lt;&gt;"",Formulario!Q310&lt;&gt;"",A298&lt;&gt;""),Formulario!Q310,"")</f>
        <v/>
      </c>
      <c r="F298" t="str" cm="1">
        <f t="array" aca="1" ref="F298" ca="1">IF(OR(A298="",B298=""),"",LEFT(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8" t="str">
        <f>IF(AND(Formulario!G310&lt;&gt;"",Formulario!G310&lt;&gt;"",A298&lt;&gt;""),Formulario!G310,"")</f>
        <v/>
      </c>
      <c r="I298" t="str">
        <f>IF(AND(Formulario!D310&lt;&gt;"",A298&lt;&gt;""),"UY10","")</f>
        <v/>
      </c>
      <c r="J298" t="str">
        <f>IF(AND(Formulario!D310&lt;&gt;"",A298&lt;&gt;""),"0001","")</f>
        <v/>
      </c>
      <c r="K298" t="str">
        <f>IF(AND(Formulario!D310&lt;&gt;"",A298&lt;&gt;""),"1","")</f>
        <v/>
      </c>
    </row>
    <row r="299" spans="1:11" x14ac:dyDescent="0.3">
      <c r="A299" t="str">
        <f>IF(AND(Formulario!D311&lt;&gt;"",ISNUMBER(Formulario!D311)),Formulario!D311,"")</f>
        <v/>
      </c>
      <c r="B299" s="146" t="str">
        <f>IF(AND(Formulario!F311&lt;&gt;"", Formulario!F311&lt;&gt;"",A299&lt;&gt;""),Formulario!F311,"")</f>
        <v/>
      </c>
      <c r="C299" s="146" t="str">
        <f>IF(AND(Formulario!D311&lt;&gt;"", Formulario!E311&lt;&gt;"",A299&lt;&gt;""),Formulario!E311,"")</f>
        <v/>
      </c>
      <c r="D299" s="55" t="str">
        <f>IF('Cond SAP'!AA311="","",'Cond SAP'!AA311)</f>
        <v/>
      </c>
      <c r="E299" t="str">
        <f>IF(AND(Formulario!G311&lt;&gt;"",Formulario!Q311&lt;&gt;"",A299&lt;&gt;""),Formulario!Q311,"")</f>
        <v/>
      </c>
      <c r="F299" t="str" cm="1">
        <f t="array" aca="1" ref="F299" ca="1">IF(OR(A299="",B299=""),"",LEFT(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299" t="str">
        <f>IF(AND(Formulario!G311&lt;&gt;"",Formulario!G311&lt;&gt;"",A299&lt;&gt;""),Formulario!G311,"")</f>
        <v/>
      </c>
      <c r="I299" t="str">
        <f>IF(AND(Formulario!D311&lt;&gt;"",A299&lt;&gt;""),"UY10","")</f>
        <v/>
      </c>
      <c r="J299" t="str">
        <f>IF(AND(Formulario!D311&lt;&gt;"",A299&lt;&gt;""),"0001","")</f>
        <v/>
      </c>
      <c r="K299" t="str">
        <f>IF(AND(Formulario!D311&lt;&gt;"",A299&lt;&gt;""),"1","")</f>
        <v/>
      </c>
    </row>
    <row r="300" spans="1:11" x14ac:dyDescent="0.3">
      <c r="A300" t="str">
        <f>IF(AND(Formulario!D312&lt;&gt;"",ISNUMBER(Formulario!D312)),Formulario!D312,"")</f>
        <v/>
      </c>
      <c r="B300" s="146" t="str">
        <f>IF(AND(Formulario!F312&lt;&gt;"", Formulario!F312&lt;&gt;"",A300&lt;&gt;""),Formulario!F312,"")</f>
        <v/>
      </c>
      <c r="C300" s="146" t="str">
        <f>IF(AND(Formulario!D312&lt;&gt;"", Formulario!E312&lt;&gt;"",A300&lt;&gt;""),Formulario!E312,"")</f>
        <v/>
      </c>
      <c r="D300" s="55" t="str">
        <f>IF('Cond SAP'!AA312="","",'Cond SAP'!AA312)</f>
        <v/>
      </c>
      <c r="E300" t="str">
        <f>IF(AND(Formulario!G312&lt;&gt;"",Formulario!Q312&lt;&gt;"",A300&lt;&gt;""),Formulario!Q312,"")</f>
        <v/>
      </c>
      <c r="F300" t="str" cm="1">
        <f t="array" aca="1" ref="F300" ca="1">IF(OR(A300="",B300=""),"",LEFT(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0" t="str">
        <f>IF(AND(Formulario!G312&lt;&gt;"",Formulario!G312&lt;&gt;"",A300&lt;&gt;""),Formulario!G312,"")</f>
        <v/>
      </c>
      <c r="I300" t="str">
        <f>IF(AND(Formulario!D312&lt;&gt;"",A300&lt;&gt;""),"UY10","")</f>
        <v/>
      </c>
      <c r="J300" t="str">
        <f>IF(AND(Formulario!D312&lt;&gt;"",A300&lt;&gt;""),"0001","")</f>
        <v/>
      </c>
      <c r="K300" t="str">
        <f>IF(AND(Formulario!D312&lt;&gt;"",A300&lt;&gt;""),"1","")</f>
        <v/>
      </c>
    </row>
    <row r="301" spans="1:11" x14ac:dyDescent="0.3">
      <c r="A301" t="str">
        <f>IF(AND(Formulario!D313&lt;&gt;"",ISNUMBER(Formulario!D313)),Formulario!D313,"")</f>
        <v/>
      </c>
      <c r="B301" s="146" t="str">
        <f>IF(AND(Formulario!F313&lt;&gt;"", Formulario!F313&lt;&gt;"",A301&lt;&gt;""),Formulario!F313,"")</f>
        <v/>
      </c>
      <c r="C301" s="146" t="str">
        <f>IF(AND(Formulario!D313&lt;&gt;"", Formulario!E313&lt;&gt;"",A301&lt;&gt;""),Formulario!E313,"")</f>
        <v/>
      </c>
      <c r="D301" s="55" t="str">
        <f>IF('Cond SAP'!AA313="","",'Cond SAP'!AA313)</f>
        <v/>
      </c>
      <c r="E301" t="str">
        <f>IF(AND(Formulario!G313&lt;&gt;"",Formulario!Q313&lt;&gt;"",A301&lt;&gt;""),Formulario!Q313,"")</f>
        <v/>
      </c>
      <c r="F301" t="str" cm="1">
        <f t="array" aca="1" ref="F301" ca="1">IF(OR(A301="",B301=""),"",LEFT(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1" t="str">
        <f>IF(AND(Formulario!G313&lt;&gt;"",Formulario!G313&lt;&gt;"",A301&lt;&gt;""),Formulario!G313,"")</f>
        <v/>
      </c>
      <c r="I301" t="str">
        <f>IF(AND(Formulario!D313&lt;&gt;"",A301&lt;&gt;""),"UY10","")</f>
        <v/>
      </c>
      <c r="J301" t="str">
        <f>IF(AND(Formulario!D313&lt;&gt;"",A301&lt;&gt;""),"0001","")</f>
        <v/>
      </c>
      <c r="K301" t="str">
        <f>IF(AND(Formulario!D313&lt;&gt;"",A301&lt;&gt;""),"1","")</f>
        <v/>
      </c>
    </row>
    <row r="302" spans="1:11" x14ac:dyDescent="0.3">
      <c r="A302" t="str">
        <f>IF(AND(Formulario!D314&lt;&gt;"",ISNUMBER(Formulario!D314)),Formulario!D314,"")</f>
        <v/>
      </c>
      <c r="B302" s="146" t="str">
        <f>IF(AND(Formulario!F314&lt;&gt;"", Formulario!F314&lt;&gt;"",A302&lt;&gt;""),Formulario!F314,"")</f>
        <v/>
      </c>
      <c r="C302" s="146" t="str">
        <f>IF(AND(Formulario!D314&lt;&gt;"", Formulario!E314&lt;&gt;"",A302&lt;&gt;""),Formulario!E314,"")</f>
        <v/>
      </c>
      <c r="D302" s="55" t="str">
        <f>IF('Cond SAP'!AA314="","",'Cond SAP'!AA314)</f>
        <v/>
      </c>
      <c r="E302" t="str">
        <f>IF(AND(Formulario!G314&lt;&gt;"",Formulario!Q314&lt;&gt;"",A302&lt;&gt;""),Formulario!Q314,"")</f>
        <v/>
      </c>
      <c r="F302" t="str" cm="1">
        <f t="array" aca="1" ref="F302" ca="1">IF(OR(A302="",B302=""),"",LEFT(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2" t="str">
        <f>IF(AND(Formulario!G314&lt;&gt;"",Formulario!G314&lt;&gt;"",A302&lt;&gt;""),Formulario!G314,"")</f>
        <v/>
      </c>
      <c r="I302" t="str">
        <f>IF(AND(Formulario!D314&lt;&gt;"",A302&lt;&gt;""),"UY10","")</f>
        <v/>
      </c>
      <c r="J302" t="str">
        <f>IF(AND(Formulario!D314&lt;&gt;"",A302&lt;&gt;""),"0001","")</f>
        <v/>
      </c>
      <c r="K302" t="str">
        <f>IF(AND(Formulario!D314&lt;&gt;"",A302&lt;&gt;""),"1","")</f>
        <v/>
      </c>
    </row>
    <row r="303" spans="1:11" x14ac:dyDescent="0.3">
      <c r="A303" t="str">
        <f>IF(AND(Formulario!D315&lt;&gt;"",ISNUMBER(Formulario!D315)),Formulario!D315,"")</f>
        <v/>
      </c>
      <c r="B303" s="146" t="str">
        <f>IF(AND(Formulario!F315&lt;&gt;"", Formulario!F315&lt;&gt;"",A303&lt;&gt;""),Formulario!F315,"")</f>
        <v/>
      </c>
      <c r="C303" s="146" t="str">
        <f>IF(AND(Formulario!D315&lt;&gt;"", Formulario!E315&lt;&gt;"",A303&lt;&gt;""),Formulario!E315,"")</f>
        <v/>
      </c>
      <c r="D303" s="55" t="str">
        <f>IF('Cond SAP'!AA315="","",'Cond SAP'!AA315)</f>
        <v/>
      </c>
      <c r="E303" t="str">
        <f>IF(AND(Formulario!G315&lt;&gt;"",Formulario!Q315&lt;&gt;"",A303&lt;&gt;""),Formulario!Q315,"")</f>
        <v/>
      </c>
      <c r="F303" t="str" cm="1">
        <f t="array" aca="1" ref="F303" ca="1">IF(OR(A303="",B303=""),"",LEFT(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3" t="str">
        <f>IF(AND(Formulario!G315&lt;&gt;"",Formulario!G315&lt;&gt;"",A303&lt;&gt;""),Formulario!G315,"")</f>
        <v/>
      </c>
      <c r="I303" t="str">
        <f>IF(AND(Formulario!D315&lt;&gt;"",A303&lt;&gt;""),"UY10","")</f>
        <v/>
      </c>
      <c r="J303" t="str">
        <f>IF(AND(Formulario!D315&lt;&gt;"",A303&lt;&gt;""),"0001","")</f>
        <v/>
      </c>
      <c r="K303" t="str">
        <f>IF(AND(Formulario!D315&lt;&gt;"",A303&lt;&gt;""),"1","")</f>
        <v/>
      </c>
    </row>
    <row r="304" spans="1:11" x14ac:dyDescent="0.3">
      <c r="A304" t="str">
        <f>IF(AND(Formulario!D316&lt;&gt;"",ISNUMBER(Formulario!D316)),Formulario!D316,"")</f>
        <v/>
      </c>
      <c r="B304" s="146" t="str">
        <f>IF(AND(Formulario!F316&lt;&gt;"", Formulario!F316&lt;&gt;"",A304&lt;&gt;""),Formulario!F316,"")</f>
        <v/>
      </c>
      <c r="C304" s="146" t="str">
        <f>IF(AND(Formulario!D316&lt;&gt;"", Formulario!E316&lt;&gt;"",A304&lt;&gt;""),Formulario!E316,"")</f>
        <v/>
      </c>
      <c r="D304" s="55" t="str">
        <f>IF('Cond SAP'!AA316="","",'Cond SAP'!AA316)</f>
        <v/>
      </c>
      <c r="E304" t="str">
        <f>IF(AND(Formulario!G316&lt;&gt;"",Formulario!Q316&lt;&gt;"",A304&lt;&gt;""),Formulario!Q316,"")</f>
        <v/>
      </c>
      <c r="F304" t="str" cm="1">
        <f t="array" aca="1" ref="F304" ca="1">IF(OR(A304="",B304=""),"",LEFT(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4" t="str">
        <f>IF(AND(Formulario!G316&lt;&gt;"",Formulario!G316&lt;&gt;"",A304&lt;&gt;""),Formulario!G316,"")</f>
        <v/>
      </c>
      <c r="I304" t="str">
        <f>IF(AND(Formulario!D316&lt;&gt;"",A304&lt;&gt;""),"UY10","")</f>
        <v/>
      </c>
      <c r="J304" t="str">
        <f>IF(AND(Formulario!D316&lt;&gt;"",A304&lt;&gt;""),"0001","")</f>
        <v/>
      </c>
      <c r="K304" t="str">
        <f>IF(AND(Formulario!D316&lt;&gt;"",A304&lt;&gt;""),"1","")</f>
        <v/>
      </c>
    </row>
    <row r="305" spans="1:11" x14ac:dyDescent="0.3">
      <c r="A305" t="str">
        <f>IF(AND(Formulario!D317&lt;&gt;"",ISNUMBER(Formulario!D317)),Formulario!D317,"")</f>
        <v/>
      </c>
      <c r="B305" s="146" t="str">
        <f>IF(AND(Formulario!F317&lt;&gt;"", Formulario!F317&lt;&gt;"",A305&lt;&gt;""),Formulario!F317,"")</f>
        <v/>
      </c>
      <c r="C305" s="146" t="str">
        <f>IF(AND(Formulario!D317&lt;&gt;"", Formulario!E317&lt;&gt;"",A305&lt;&gt;""),Formulario!E317,"")</f>
        <v/>
      </c>
      <c r="D305" s="55" t="str">
        <f>IF('Cond SAP'!AA317="","",'Cond SAP'!AA317)</f>
        <v/>
      </c>
      <c r="E305" t="str">
        <f>IF(AND(Formulario!G317&lt;&gt;"",Formulario!Q317&lt;&gt;"",A305&lt;&gt;""),Formulario!Q317,"")</f>
        <v/>
      </c>
      <c r="F305" t="str" cm="1">
        <f t="array" aca="1" ref="F305" ca="1">IF(OR(A305="",B305=""),"",LEFT(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5" t="str">
        <f>IF(AND(Formulario!G317&lt;&gt;"",Formulario!G317&lt;&gt;"",A305&lt;&gt;""),Formulario!G317,"")</f>
        <v/>
      </c>
      <c r="I305" t="str">
        <f>IF(AND(Formulario!D317&lt;&gt;"",A305&lt;&gt;""),"UY10","")</f>
        <v/>
      </c>
      <c r="J305" t="str">
        <f>IF(AND(Formulario!D317&lt;&gt;"",A305&lt;&gt;""),"0001","")</f>
        <v/>
      </c>
      <c r="K305" t="str">
        <f>IF(AND(Formulario!D317&lt;&gt;"",A305&lt;&gt;""),"1","")</f>
        <v/>
      </c>
    </row>
    <row r="306" spans="1:11" x14ac:dyDescent="0.3">
      <c r="A306" t="str">
        <f>IF(AND(Formulario!D318&lt;&gt;"",ISNUMBER(Formulario!D318)),Formulario!D318,"")</f>
        <v/>
      </c>
      <c r="B306" s="146" t="str">
        <f>IF(AND(Formulario!F318&lt;&gt;"", Formulario!F318&lt;&gt;"",A306&lt;&gt;""),Formulario!F318,"")</f>
        <v/>
      </c>
      <c r="C306" s="146" t="str">
        <f>IF(AND(Formulario!D318&lt;&gt;"", Formulario!E318&lt;&gt;"",A306&lt;&gt;""),Formulario!E318,"")</f>
        <v/>
      </c>
      <c r="D306" s="55" t="str">
        <f>IF('Cond SAP'!AA318="","",'Cond SAP'!AA318)</f>
        <v/>
      </c>
      <c r="E306" t="str">
        <f>IF(AND(Formulario!G318&lt;&gt;"",Formulario!Q318&lt;&gt;"",A306&lt;&gt;""),Formulario!Q318,"")</f>
        <v/>
      </c>
      <c r="F306" t="str" cm="1">
        <f t="array" aca="1" ref="F306" ca="1">IF(OR(A306="",B306=""),"",LEFT(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6" t="str">
        <f>IF(AND(Formulario!G318&lt;&gt;"",Formulario!G318&lt;&gt;"",A306&lt;&gt;""),Formulario!G318,"")</f>
        <v/>
      </c>
      <c r="I306" t="str">
        <f>IF(AND(Formulario!D318&lt;&gt;"",A306&lt;&gt;""),"UY10","")</f>
        <v/>
      </c>
      <c r="J306" t="str">
        <f>IF(AND(Formulario!D318&lt;&gt;"",A306&lt;&gt;""),"0001","")</f>
        <v/>
      </c>
      <c r="K306" t="str">
        <f>IF(AND(Formulario!D318&lt;&gt;"",A306&lt;&gt;""),"1","")</f>
        <v/>
      </c>
    </row>
    <row r="307" spans="1:11" x14ac:dyDescent="0.3">
      <c r="A307" t="str">
        <f>IF(AND(Formulario!D319&lt;&gt;"",ISNUMBER(Formulario!D319)),Formulario!D319,"")</f>
        <v/>
      </c>
      <c r="B307" s="146" t="str">
        <f>IF(AND(Formulario!F319&lt;&gt;"", Formulario!F319&lt;&gt;"",A307&lt;&gt;""),Formulario!F319,"")</f>
        <v/>
      </c>
      <c r="C307" s="146" t="str">
        <f>IF(AND(Formulario!D319&lt;&gt;"", Formulario!E319&lt;&gt;"",A307&lt;&gt;""),Formulario!E319,"")</f>
        <v/>
      </c>
      <c r="D307" s="55" t="str">
        <f>IF('Cond SAP'!AA319="","",'Cond SAP'!AA319)</f>
        <v/>
      </c>
      <c r="E307" t="str">
        <f>IF(AND(Formulario!G319&lt;&gt;"",Formulario!Q319&lt;&gt;"",A307&lt;&gt;""),Formulario!Q319,"")</f>
        <v/>
      </c>
      <c r="F307" t="str" cm="1">
        <f t="array" aca="1" ref="F307" ca="1">IF(OR(A307="",B307=""),"",LEFT(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7" t="str">
        <f>IF(AND(Formulario!G319&lt;&gt;"",Formulario!G319&lt;&gt;"",A307&lt;&gt;""),Formulario!G319,"")</f>
        <v/>
      </c>
      <c r="I307" t="str">
        <f>IF(AND(Formulario!D319&lt;&gt;"",A307&lt;&gt;""),"UY10","")</f>
        <v/>
      </c>
      <c r="J307" t="str">
        <f>IF(AND(Formulario!D319&lt;&gt;"",A307&lt;&gt;""),"0001","")</f>
        <v/>
      </c>
      <c r="K307" t="str">
        <f>IF(AND(Formulario!D319&lt;&gt;"",A307&lt;&gt;""),"1","")</f>
        <v/>
      </c>
    </row>
    <row r="308" spans="1:11" x14ac:dyDescent="0.3">
      <c r="A308" t="str">
        <f>IF(AND(Formulario!D320&lt;&gt;"",ISNUMBER(Formulario!D320)),Formulario!D320,"")</f>
        <v/>
      </c>
      <c r="B308" s="146" t="str">
        <f>IF(AND(Formulario!F320&lt;&gt;"", Formulario!F320&lt;&gt;"",A308&lt;&gt;""),Formulario!F320,"")</f>
        <v/>
      </c>
      <c r="C308" s="146" t="str">
        <f>IF(AND(Formulario!D320&lt;&gt;"", Formulario!E320&lt;&gt;"",A308&lt;&gt;""),Formulario!E320,"")</f>
        <v/>
      </c>
      <c r="D308" s="55" t="str">
        <f>IF('Cond SAP'!AA320="","",'Cond SAP'!AA320)</f>
        <v/>
      </c>
      <c r="E308" t="str">
        <f>IF(AND(Formulario!G320&lt;&gt;"",Formulario!Q320&lt;&gt;"",A308&lt;&gt;""),Formulario!Q320,"")</f>
        <v/>
      </c>
      <c r="F308" t="str" cm="1">
        <f t="array" aca="1" ref="F308" ca="1">IF(OR(A308="",B308=""),"",LEFT(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8" t="str">
        <f>IF(AND(Formulario!G320&lt;&gt;"",Formulario!G320&lt;&gt;"",A308&lt;&gt;""),Formulario!G320,"")</f>
        <v/>
      </c>
      <c r="I308" t="str">
        <f>IF(AND(Formulario!D320&lt;&gt;"",A308&lt;&gt;""),"UY10","")</f>
        <v/>
      </c>
      <c r="J308" t="str">
        <f>IF(AND(Formulario!D320&lt;&gt;"",A308&lt;&gt;""),"0001","")</f>
        <v/>
      </c>
      <c r="K308" t="str">
        <f>IF(AND(Formulario!D320&lt;&gt;"",A308&lt;&gt;""),"1","")</f>
        <v/>
      </c>
    </row>
    <row r="309" spans="1:11" x14ac:dyDescent="0.3">
      <c r="A309" t="str">
        <f>IF(AND(Formulario!D321&lt;&gt;"",ISNUMBER(Formulario!D321)),Formulario!D321,"")</f>
        <v/>
      </c>
      <c r="B309" s="146" t="str">
        <f>IF(AND(Formulario!F321&lt;&gt;"", Formulario!F321&lt;&gt;"",A309&lt;&gt;""),Formulario!F321,"")</f>
        <v/>
      </c>
      <c r="C309" s="146" t="str">
        <f>IF(AND(Formulario!D321&lt;&gt;"", Formulario!E321&lt;&gt;"",A309&lt;&gt;""),Formulario!E321,"")</f>
        <v/>
      </c>
      <c r="D309" s="55" t="str">
        <f>IF('Cond SAP'!AA321="","",'Cond SAP'!AA321)</f>
        <v/>
      </c>
      <c r="E309" t="str">
        <f>IF(AND(Formulario!G321&lt;&gt;"",Formulario!Q321&lt;&gt;"",A309&lt;&gt;""),Formulario!Q321,"")</f>
        <v/>
      </c>
      <c r="F309" t="str" cm="1">
        <f t="array" aca="1" ref="F309" ca="1">IF(OR(A309="",B309=""),"",LEFT(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09" t="str">
        <f>IF(AND(Formulario!G321&lt;&gt;"",Formulario!G321&lt;&gt;"",A309&lt;&gt;""),Formulario!G321,"")</f>
        <v/>
      </c>
      <c r="I309" t="str">
        <f>IF(AND(Formulario!D321&lt;&gt;"",A309&lt;&gt;""),"UY10","")</f>
        <v/>
      </c>
      <c r="J309" t="str">
        <f>IF(AND(Formulario!D321&lt;&gt;"",A309&lt;&gt;""),"0001","")</f>
        <v/>
      </c>
      <c r="K309" t="str">
        <f>IF(AND(Formulario!D321&lt;&gt;"",A309&lt;&gt;""),"1","")</f>
        <v/>
      </c>
    </row>
    <row r="310" spans="1:11" x14ac:dyDescent="0.3">
      <c r="A310" t="str">
        <f>IF(AND(Formulario!D322&lt;&gt;"",ISNUMBER(Formulario!D322)),Formulario!D322,"")</f>
        <v/>
      </c>
      <c r="B310" s="146" t="str">
        <f>IF(AND(Formulario!F322&lt;&gt;"", Formulario!F322&lt;&gt;"",A310&lt;&gt;""),Formulario!F322,"")</f>
        <v/>
      </c>
      <c r="C310" s="146" t="str">
        <f>IF(AND(Formulario!D322&lt;&gt;"", Formulario!E322&lt;&gt;"",A310&lt;&gt;""),Formulario!E322,"")</f>
        <v/>
      </c>
      <c r="D310" s="55" t="str">
        <f>IF('Cond SAP'!AA322="","",'Cond SAP'!AA322)</f>
        <v/>
      </c>
      <c r="E310" t="str">
        <f>IF(AND(Formulario!G322&lt;&gt;"",Formulario!Q322&lt;&gt;"",A310&lt;&gt;""),Formulario!Q322,"")</f>
        <v/>
      </c>
      <c r="F310" t="str" cm="1">
        <f t="array" aca="1" ref="F310" ca="1">IF(OR(A310="",B310=""),"",LEFT(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0" t="str">
        <f>IF(AND(Formulario!G322&lt;&gt;"",Formulario!G322&lt;&gt;"",A310&lt;&gt;""),Formulario!G322,"")</f>
        <v/>
      </c>
      <c r="I310" t="str">
        <f>IF(AND(Formulario!D322&lt;&gt;"",A310&lt;&gt;""),"UY10","")</f>
        <v/>
      </c>
      <c r="J310" t="str">
        <f>IF(AND(Formulario!D322&lt;&gt;"",A310&lt;&gt;""),"0001","")</f>
        <v/>
      </c>
      <c r="K310" t="str">
        <f>IF(AND(Formulario!D322&lt;&gt;"",A310&lt;&gt;""),"1","")</f>
        <v/>
      </c>
    </row>
    <row r="311" spans="1:11" x14ac:dyDescent="0.3">
      <c r="A311" t="str">
        <f>IF(AND(Formulario!D323&lt;&gt;"",ISNUMBER(Formulario!D323)),Formulario!D323,"")</f>
        <v/>
      </c>
      <c r="B311" s="146" t="str">
        <f>IF(AND(Formulario!F323&lt;&gt;"", Formulario!F323&lt;&gt;"",A311&lt;&gt;""),Formulario!F323,"")</f>
        <v/>
      </c>
      <c r="C311" s="146" t="str">
        <f>IF(AND(Formulario!D323&lt;&gt;"", Formulario!E323&lt;&gt;"",A311&lt;&gt;""),Formulario!E323,"")</f>
        <v/>
      </c>
      <c r="D311" s="55" t="str">
        <f>IF('Cond SAP'!AA323="","",'Cond SAP'!AA323)</f>
        <v/>
      </c>
      <c r="E311" t="str">
        <f>IF(AND(Formulario!G323&lt;&gt;"",Formulario!Q323&lt;&gt;"",A311&lt;&gt;""),Formulario!Q323,"")</f>
        <v/>
      </c>
      <c r="F311" t="str" cm="1">
        <f t="array" aca="1" ref="F311" ca="1">IF(OR(A311="",B311=""),"",LEFT(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1" t="str">
        <f>IF(AND(Formulario!G323&lt;&gt;"",Formulario!G323&lt;&gt;"",A311&lt;&gt;""),Formulario!G323,"")</f>
        <v/>
      </c>
      <c r="I311" t="str">
        <f>IF(AND(Formulario!D323&lt;&gt;"",A311&lt;&gt;""),"UY10","")</f>
        <v/>
      </c>
      <c r="J311" t="str">
        <f>IF(AND(Formulario!D323&lt;&gt;"",A311&lt;&gt;""),"0001","")</f>
        <v/>
      </c>
      <c r="K311" t="str">
        <f>IF(AND(Formulario!D323&lt;&gt;"",A311&lt;&gt;""),"1","")</f>
        <v/>
      </c>
    </row>
    <row r="312" spans="1:11" x14ac:dyDescent="0.3">
      <c r="A312" t="str">
        <f>IF(AND(Formulario!D324&lt;&gt;"",ISNUMBER(Formulario!D324)),Formulario!D324,"")</f>
        <v/>
      </c>
      <c r="B312" s="146" t="str">
        <f>IF(AND(Formulario!F324&lt;&gt;"", Formulario!F324&lt;&gt;"",A312&lt;&gt;""),Formulario!F324,"")</f>
        <v/>
      </c>
      <c r="C312" s="146" t="str">
        <f>IF(AND(Formulario!D324&lt;&gt;"", Formulario!E324&lt;&gt;"",A312&lt;&gt;""),Formulario!E324,"")</f>
        <v/>
      </c>
      <c r="D312" s="55" t="str">
        <f>IF('Cond SAP'!AA324="","",'Cond SAP'!AA324)</f>
        <v/>
      </c>
      <c r="E312" t="str">
        <f>IF(AND(Formulario!G324&lt;&gt;"",Formulario!Q324&lt;&gt;"",A312&lt;&gt;""),Formulario!Q324,"")</f>
        <v/>
      </c>
      <c r="F312" t="str" cm="1">
        <f t="array" aca="1" ref="F312" ca="1">IF(OR(A312="",B312=""),"",LEFT(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2" t="str">
        <f>IF(AND(Formulario!G324&lt;&gt;"",Formulario!G324&lt;&gt;"",A312&lt;&gt;""),Formulario!G324,"")</f>
        <v/>
      </c>
      <c r="I312" t="str">
        <f>IF(AND(Formulario!D324&lt;&gt;"",A312&lt;&gt;""),"UY10","")</f>
        <v/>
      </c>
      <c r="J312" t="str">
        <f>IF(AND(Formulario!D324&lt;&gt;"",A312&lt;&gt;""),"0001","")</f>
        <v/>
      </c>
      <c r="K312" t="str">
        <f>IF(AND(Formulario!D324&lt;&gt;"",A312&lt;&gt;""),"1","")</f>
        <v/>
      </c>
    </row>
    <row r="313" spans="1:11" x14ac:dyDescent="0.3">
      <c r="A313" t="str">
        <f>IF(AND(Formulario!D325&lt;&gt;"",ISNUMBER(Formulario!D325)),Formulario!D325,"")</f>
        <v/>
      </c>
      <c r="B313" s="146" t="str">
        <f>IF(AND(Formulario!F325&lt;&gt;"", Formulario!F325&lt;&gt;"",A313&lt;&gt;""),Formulario!F325,"")</f>
        <v/>
      </c>
      <c r="C313" s="146" t="str">
        <f>IF(AND(Formulario!D325&lt;&gt;"", Formulario!E325&lt;&gt;"",A313&lt;&gt;""),Formulario!E325,"")</f>
        <v/>
      </c>
      <c r="D313" s="55" t="str">
        <f>IF('Cond SAP'!AA325="","",'Cond SAP'!AA325)</f>
        <v/>
      </c>
      <c r="E313" t="str">
        <f>IF(AND(Formulario!G325&lt;&gt;"",Formulario!Q325&lt;&gt;"",A313&lt;&gt;""),Formulario!Q325,"")</f>
        <v/>
      </c>
      <c r="F313" t="str" cm="1">
        <f t="array" aca="1" ref="F313" ca="1">IF(OR(A313="",B313=""),"",LEFT(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3" t="str">
        <f>IF(AND(Formulario!G325&lt;&gt;"",Formulario!G325&lt;&gt;"",A313&lt;&gt;""),Formulario!G325,"")</f>
        <v/>
      </c>
      <c r="I313" t="str">
        <f>IF(AND(Formulario!D325&lt;&gt;"",A313&lt;&gt;""),"UY10","")</f>
        <v/>
      </c>
      <c r="J313" t="str">
        <f>IF(AND(Formulario!D325&lt;&gt;"",A313&lt;&gt;""),"0001","")</f>
        <v/>
      </c>
      <c r="K313" t="str">
        <f>IF(AND(Formulario!D325&lt;&gt;"",A313&lt;&gt;""),"1","")</f>
        <v/>
      </c>
    </row>
    <row r="314" spans="1:11" x14ac:dyDescent="0.3">
      <c r="A314" t="str">
        <f>IF(AND(Formulario!D326&lt;&gt;"",ISNUMBER(Formulario!D326)),Formulario!D326,"")</f>
        <v/>
      </c>
      <c r="B314" s="146" t="str">
        <f>IF(AND(Formulario!F326&lt;&gt;"", Formulario!F326&lt;&gt;"",A314&lt;&gt;""),Formulario!F326,"")</f>
        <v/>
      </c>
      <c r="C314" s="146" t="str">
        <f>IF(AND(Formulario!D326&lt;&gt;"", Formulario!E326&lt;&gt;"",A314&lt;&gt;""),Formulario!E326,"")</f>
        <v/>
      </c>
      <c r="D314" s="55" t="str">
        <f>IF('Cond SAP'!AA326="","",'Cond SAP'!AA326)</f>
        <v/>
      </c>
      <c r="E314" t="str">
        <f>IF(AND(Formulario!G326&lt;&gt;"",Formulario!Q326&lt;&gt;"",A314&lt;&gt;""),Formulario!Q326,"")</f>
        <v/>
      </c>
      <c r="F314" t="str" cm="1">
        <f t="array" aca="1" ref="F314" ca="1">IF(OR(A314="",B314=""),"",LEFT(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4" t="str">
        <f>IF(AND(Formulario!G326&lt;&gt;"",Formulario!G326&lt;&gt;"",A314&lt;&gt;""),Formulario!G326,"")</f>
        <v/>
      </c>
      <c r="I314" t="str">
        <f>IF(AND(Formulario!D326&lt;&gt;"",A314&lt;&gt;""),"UY10","")</f>
        <v/>
      </c>
      <c r="J314" t="str">
        <f>IF(AND(Formulario!D326&lt;&gt;"",A314&lt;&gt;""),"0001","")</f>
        <v/>
      </c>
      <c r="K314" t="str">
        <f>IF(AND(Formulario!D326&lt;&gt;"",A314&lt;&gt;""),"1","")</f>
        <v/>
      </c>
    </row>
    <row r="315" spans="1:11" x14ac:dyDescent="0.3">
      <c r="A315" t="str">
        <f>IF(AND(Formulario!D327&lt;&gt;"",ISNUMBER(Formulario!D327)),Formulario!D327,"")</f>
        <v/>
      </c>
      <c r="B315" s="146" t="str">
        <f>IF(AND(Formulario!F327&lt;&gt;"", Formulario!F327&lt;&gt;"",A315&lt;&gt;""),Formulario!F327,"")</f>
        <v/>
      </c>
      <c r="C315" s="146" t="str">
        <f>IF(AND(Formulario!D327&lt;&gt;"", Formulario!E327&lt;&gt;"",A315&lt;&gt;""),Formulario!E327,"")</f>
        <v/>
      </c>
      <c r="D315" s="55" t="str">
        <f>IF('Cond SAP'!AA327="","",'Cond SAP'!AA327)</f>
        <v/>
      </c>
      <c r="E315" t="str">
        <f>IF(AND(Formulario!G327&lt;&gt;"",Formulario!Q327&lt;&gt;"",A315&lt;&gt;""),Formulario!Q327,"")</f>
        <v/>
      </c>
      <c r="F315" t="str" cm="1">
        <f t="array" aca="1" ref="F315" ca="1">IF(OR(A315="",B315=""),"",LEFT(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5" t="str">
        <f>IF(AND(Formulario!G327&lt;&gt;"",Formulario!G327&lt;&gt;"",A315&lt;&gt;""),Formulario!G327,"")</f>
        <v/>
      </c>
      <c r="I315" t="str">
        <f>IF(AND(Formulario!D327&lt;&gt;"",A315&lt;&gt;""),"UY10","")</f>
        <v/>
      </c>
      <c r="J315" t="str">
        <f>IF(AND(Formulario!D327&lt;&gt;"",A315&lt;&gt;""),"0001","")</f>
        <v/>
      </c>
      <c r="K315" t="str">
        <f>IF(AND(Formulario!D327&lt;&gt;"",A315&lt;&gt;""),"1","")</f>
        <v/>
      </c>
    </row>
    <row r="316" spans="1:11" x14ac:dyDescent="0.3">
      <c r="A316" t="str">
        <f>IF(AND(Formulario!D328&lt;&gt;"",ISNUMBER(Formulario!D328)),Formulario!D328,"")</f>
        <v/>
      </c>
      <c r="B316" s="146" t="str">
        <f>IF(AND(Formulario!F328&lt;&gt;"", Formulario!F328&lt;&gt;"",A316&lt;&gt;""),Formulario!F328,"")</f>
        <v/>
      </c>
      <c r="C316" s="146" t="str">
        <f>IF(AND(Formulario!D328&lt;&gt;"", Formulario!E328&lt;&gt;"",A316&lt;&gt;""),Formulario!E328,"")</f>
        <v/>
      </c>
      <c r="D316" s="55" t="str">
        <f>IF('Cond SAP'!AA328="","",'Cond SAP'!AA328)</f>
        <v/>
      </c>
      <c r="E316" t="str">
        <f>IF(AND(Formulario!G328&lt;&gt;"",Formulario!Q328&lt;&gt;"",A316&lt;&gt;""),Formulario!Q328,"")</f>
        <v/>
      </c>
      <c r="F316" t="str" cm="1">
        <f t="array" aca="1" ref="F316" ca="1">IF(OR(A316="",B316=""),"",LEFT(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6" t="str">
        <f>IF(AND(Formulario!G328&lt;&gt;"",Formulario!G328&lt;&gt;"",A316&lt;&gt;""),Formulario!G328,"")</f>
        <v/>
      </c>
      <c r="I316" t="str">
        <f>IF(AND(Formulario!D328&lt;&gt;"",A316&lt;&gt;""),"UY10","")</f>
        <v/>
      </c>
      <c r="J316" t="str">
        <f>IF(AND(Formulario!D328&lt;&gt;"",A316&lt;&gt;""),"0001","")</f>
        <v/>
      </c>
      <c r="K316" t="str">
        <f>IF(AND(Formulario!D328&lt;&gt;"",A316&lt;&gt;""),"1","")</f>
        <v/>
      </c>
    </row>
    <row r="317" spans="1:11" x14ac:dyDescent="0.3">
      <c r="A317" t="str">
        <f>IF(AND(Formulario!D329&lt;&gt;"",ISNUMBER(Formulario!D329)),Formulario!D329,"")</f>
        <v/>
      </c>
      <c r="B317" s="146" t="str">
        <f>IF(AND(Formulario!F329&lt;&gt;"", Formulario!F329&lt;&gt;"",A317&lt;&gt;""),Formulario!F329,"")</f>
        <v/>
      </c>
      <c r="C317" s="146" t="str">
        <f>IF(AND(Formulario!D329&lt;&gt;"", Formulario!E329&lt;&gt;"",A317&lt;&gt;""),Formulario!E329,"")</f>
        <v/>
      </c>
      <c r="D317" s="55" t="str">
        <f>IF('Cond SAP'!AA329="","",'Cond SAP'!AA329)</f>
        <v/>
      </c>
      <c r="E317" t="str">
        <f>IF(AND(Formulario!G329&lt;&gt;"",Formulario!Q329&lt;&gt;"",A317&lt;&gt;""),Formulario!Q329,"")</f>
        <v/>
      </c>
      <c r="F317" t="str" cm="1">
        <f t="array" aca="1" ref="F317" ca="1">IF(OR(A317="",B317=""),"",LEFT(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7" t="str">
        <f>IF(AND(Formulario!G329&lt;&gt;"",Formulario!G329&lt;&gt;"",A317&lt;&gt;""),Formulario!G329,"")</f>
        <v/>
      </c>
      <c r="I317" t="str">
        <f>IF(AND(Formulario!D329&lt;&gt;"",A317&lt;&gt;""),"UY10","")</f>
        <v/>
      </c>
      <c r="J317" t="str">
        <f>IF(AND(Formulario!D329&lt;&gt;"",A317&lt;&gt;""),"0001","")</f>
        <v/>
      </c>
      <c r="K317" t="str">
        <f>IF(AND(Formulario!D329&lt;&gt;"",A317&lt;&gt;""),"1","")</f>
        <v/>
      </c>
    </row>
    <row r="318" spans="1:11" x14ac:dyDescent="0.3">
      <c r="A318" t="str">
        <f>IF(AND(Formulario!D330&lt;&gt;"",ISNUMBER(Formulario!D330)),Formulario!D330,"")</f>
        <v/>
      </c>
      <c r="B318" s="146" t="str">
        <f>IF(AND(Formulario!F330&lt;&gt;"", Formulario!F330&lt;&gt;"",A318&lt;&gt;""),Formulario!F330,"")</f>
        <v/>
      </c>
      <c r="C318" s="146" t="str">
        <f>IF(AND(Formulario!D330&lt;&gt;"", Formulario!E330&lt;&gt;"",A318&lt;&gt;""),Formulario!E330,"")</f>
        <v/>
      </c>
      <c r="D318" s="55" t="str">
        <f>IF('Cond SAP'!AA330="","",'Cond SAP'!AA330)</f>
        <v/>
      </c>
      <c r="E318" t="str">
        <f>IF(AND(Formulario!G330&lt;&gt;"",Formulario!Q330&lt;&gt;"",A318&lt;&gt;""),Formulario!Q330,"")</f>
        <v/>
      </c>
      <c r="F318" t="str" cm="1">
        <f t="array" aca="1" ref="F318" ca="1">IF(OR(A318="",B318=""),"",LEFT(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8" t="str">
        <f>IF(AND(Formulario!G330&lt;&gt;"",Formulario!G330&lt;&gt;"",A318&lt;&gt;""),Formulario!G330,"")</f>
        <v/>
      </c>
      <c r="I318" t="str">
        <f>IF(AND(Formulario!D330&lt;&gt;"",A318&lt;&gt;""),"UY10","")</f>
        <v/>
      </c>
      <c r="J318" t="str">
        <f>IF(AND(Formulario!D330&lt;&gt;"",A318&lt;&gt;""),"0001","")</f>
        <v/>
      </c>
      <c r="K318" t="str">
        <f>IF(AND(Formulario!D330&lt;&gt;"",A318&lt;&gt;""),"1","")</f>
        <v/>
      </c>
    </row>
    <row r="319" spans="1:11" x14ac:dyDescent="0.3">
      <c r="A319" t="str">
        <f>IF(AND(Formulario!D331&lt;&gt;"",ISNUMBER(Formulario!D331)),Formulario!D331,"")</f>
        <v/>
      </c>
      <c r="B319" s="146" t="str">
        <f>IF(AND(Formulario!F331&lt;&gt;"", Formulario!F331&lt;&gt;"",A319&lt;&gt;""),Formulario!F331,"")</f>
        <v/>
      </c>
      <c r="C319" s="146" t="str">
        <f>IF(AND(Formulario!D331&lt;&gt;"", Formulario!E331&lt;&gt;"",A319&lt;&gt;""),Formulario!E331,"")</f>
        <v/>
      </c>
      <c r="D319" s="55" t="str">
        <f>IF('Cond SAP'!AA331="","",'Cond SAP'!AA331)</f>
        <v/>
      </c>
      <c r="E319" t="str">
        <f>IF(AND(Formulario!G331&lt;&gt;"",Formulario!Q331&lt;&gt;"",A319&lt;&gt;""),Formulario!Q331,"")</f>
        <v/>
      </c>
      <c r="F319" t="str" cm="1">
        <f t="array" aca="1" ref="F319" ca="1">IF(OR(A319="",B319=""),"",LEFT(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19" t="str">
        <f>IF(AND(Formulario!G331&lt;&gt;"",Formulario!G331&lt;&gt;"",A319&lt;&gt;""),Formulario!G331,"")</f>
        <v/>
      </c>
      <c r="I319" t="str">
        <f>IF(AND(Formulario!D331&lt;&gt;"",A319&lt;&gt;""),"UY10","")</f>
        <v/>
      </c>
      <c r="J319" t="str">
        <f>IF(AND(Formulario!D331&lt;&gt;"",A319&lt;&gt;""),"0001","")</f>
        <v/>
      </c>
      <c r="K319" t="str">
        <f>IF(AND(Formulario!D331&lt;&gt;"",A319&lt;&gt;""),"1","")</f>
        <v/>
      </c>
    </row>
    <row r="320" spans="1:11" x14ac:dyDescent="0.3">
      <c r="A320" t="str">
        <f>IF(AND(Formulario!D332&lt;&gt;"",ISNUMBER(Formulario!D332)),Formulario!D332,"")</f>
        <v/>
      </c>
      <c r="B320" s="146" t="str">
        <f>IF(AND(Formulario!F332&lt;&gt;"", Formulario!F332&lt;&gt;"",A320&lt;&gt;""),Formulario!F332,"")</f>
        <v/>
      </c>
      <c r="C320" s="146" t="str">
        <f>IF(AND(Formulario!D332&lt;&gt;"", Formulario!E332&lt;&gt;"",A320&lt;&gt;""),Formulario!E332,"")</f>
        <v/>
      </c>
      <c r="D320" s="55" t="str">
        <f>IF('Cond SAP'!AA332="","",'Cond SAP'!AA332)</f>
        <v/>
      </c>
      <c r="E320" t="str">
        <f>IF(AND(Formulario!G332&lt;&gt;"",Formulario!Q332&lt;&gt;"",A320&lt;&gt;""),Formulario!Q332,"")</f>
        <v/>
      </c>
      <c r="F320" t="str" cm="1">
        <f t="array" aca="1" ref="F320" ca="1">IF(OR(A320="",B320=""),"",LEFT(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0" t="str">
        <f>IF(AND(Formulario!G332&lt;&gt;"",Formulario!G332&lt;&gt;"",A320&lt;&gt;""),Formulario!G332,"")</f>
        <v/>
      </c>
      <c r="I320" t="str">
        <f>IF(AND(Formulario!D332&lt;&gt;"",A320&lt;&gt;""),"UY10","")</f>
        <v/>
      </c>
      <c r="J320" t="str">
        <f>IF(AND(Formulario!D332&lt;&gt;"",A320&lt;&gt;""),"0001","")</f>
        <v/>
      </c>
      <c r="K320" t="str">
        <f>IF(AND(Formulario!D332&lt;&gt;"",A320&lt;&gt;""),"1","")</f>
        <v/>
      </c>
    </row>
    <row r="321" spans="1:11" x14ac:dyDescent="0.3">
      <c r="A321" t="str">
        <f>IF(AND(Formulario!D333&lt;&gt;"",ISNUMBER(Formulario!D333)),Formulario!D333,"")</f>
        <v/>
      </c>
      <c r="B321" s="146" t="str">
        <f>IF(AND(Formulario!F333&lt;&gt;"", Formulario!F333&lt;&gt;"",A321&lt;&gt;""),Formulario!F333,"")</f>
        <v/>
      </c>
      <c r="C321" s="146" t="str">
        <f>IF(AND(Formulario!D333&lt;&gt;"", Formulario!E333&lt;&gt;"",A321&lt;&gt;""),Formulario!E333,"")</f>
        <v/>
      </c>
      <c r="D321" s="55" t="str">
        <f>IF('Cond SAP'!AA333="","",'Cond SAP'!AA333)</f>
        <v/>
      </c>
      <c r="E321" t="str">
        <f>IF(AND(Formulario!G333&lt;&gt;"",Formulario!Q333&lt;&gt;"",A321&lt;&gt;""),Formulario!Q333,"")</f>
        <v/>
      </c>
      <c r="F321" t="str" cm="1">
        <f t="array" aca="1" ref="F321" ca="1">IF(OR(A321="",B321=""),"",LEFT(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1" t="str">
        <f>IF(AND(Formulario!G333&lt;&gt;"",Formulario!G333&lt;&gt;"",A321&lt;&gt;""),Formulario!G333,"")</f>
        <v/>
      </c>
      <c r="I321" t="str">
        <f>IF(AND(Formulario!D333&lt;&gt;"",A321&lt;&gt;""),"UY10","")</f>
        <v/>
      </c>
      <c r="J321" t="str">
        <f>IF(AND(Formulario!D333&lt;&gt;"",A321&lt;&gt;""),"0001","")</f>
        <v/>
      </c>
      <c r="K321" t="str">
        <f>IF(AND(Formulario!D333&lt;&gt;"",A321&lt;&gt;""),"1","")</f>
        <v/>
      </c>
    </row>
    <row r="322" spans="1:11" x14ac:dyDescent="0.3">
      <c r="A322" t="str">
        <f>IF(AND(Formulario!D334&lt;&gt;"",ISNUMBER(Formulario!D334)),Formulario!D334,"")</f>
        <v/>
      </c>
      <c r="B322" s="146" t="str">
        <f>IF(AND(Formulario!F334&lt;&gt;"", Formulario!F334&lt;&gt;"",A322&lt;&gt;""),Formulario!F334,"")</f>
        <v/>
      </c>
      <c r="C322" s="146" t="str">
        <f>IF(AND(Formulario!D334&lt;&gt;"", Formulario!E334&lt;&gt;"",A322&lt;&gt;""),Formulario!E334,"")</f>
        <v/>
      </c>
      <c r="D322" s="55" t="str">
        <f>IF('Cond SAP'!AA334="","",'Cond SAP'!AA334)</f>
        <v/>
      </c>
      <c r="E322" t="str">
        <f>IF(AND(Formulario!G334&lt;&gt;"",Formulario!Q334&lt;&gt;"",A322&lt;&gt;""),Formulario!Q334,"")</f>
        <v/>
      </c>
      <c r="F322" t="str" cm="1">
        <f t="array" aca="1" ref="F322" ca="1">IF(OR(A322="",B322=""),"",LEFT(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2" t="str">
        <f>IF(AND(Formulario!G334&lt;&gt;"",Formulario!G334&lt;&gt;"",A322&lt;&gt;""),Formulario!G334,"")</f>
        <v/>
      </c>
      <c r="I322" t="str">
        <f>IF(AND(Formulario!D334&lt;&gt;"",A322&lt;&gt;""),"UY10","")</f>
        <v/>
      </c>
      <c r="J322" t="str">
        <f>IF(AND(Formulario!D334&lt;&gt;"",A322&lt;&gt;""),"0001","")</f>
        <v/>
      </c>
      <c r="K322" t="str">
        <f>IF(AND(Formulario!D334&lt;&gt;"",A322&lt;&gt;""),"1","")</f>
        <v/>
      </c>
    </row>
    <row r="323" spans="1:11" x14ac:dyDescent="0.3">
      <c r="A323" t="str">
        <f>IF(AND(Formulario!D335&lt;&gt;"",ISNUMBER(Formulario!D335)),Formulario!D335,"")</f>
        <v/>
      </c>
      <c r="B323" s="146" t="str">
        <f>IF(AND(Formulario!F335&lt;&gt;"", Formulario!F335&lt;&gt;"",A323&lt;&gt;""),Formulario!F335,"")</f>
        <v/>
      </c>
      <c r="C323" s="146" t="str">
        <f>IF(AND(Formulario!D335&lt;&gt;"", Formulario!E335&lt;&gt;"",A323&lt;&gt;""),Formulario!E335,"")</f>
        <v/>
      </c>
      <c r="D323" s="55" t="str">
        <f>IF('Cond SAP'!AA335="","",'Cond SAP'!AA335)</f>
        <v/>
      </c>
      <c r="E323" t="str">
        <f>IF(AND(Formulario!G335&lt;&gt;"",Formulario!Q335&lt;&gt;"",A323&lt;&gt;""),Formulario!Q335,"")</f>
        <v/>
      </c>
      <c r="F323" t="str" cm="1">
        <f t="array" aca="1" ref="F323" ca="1">IF(OR(A323="",B323=""),"",LEFT(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3" t="str">
        <f>IF(AND(Formulario!G335&lt;&gt;"",Formulario!G335&lt;&gt;"",A323&lt;&gt;""),Formulario!G335,"")</f>
        <v/>
      </c>
      <c r="I323" t="str">
        <f>IF(AND(Formulario!D335&lt;&gt;"",A323&lt;&gt;""),"UY10","")</f>
        <v/>
      </c>
      <c r="J323" t="str">
        <f>IF(AND(Formulario!D335&lt;&gt;"",A323&lt;&gt;""),"0001","")</f>
        <v/>
      </c>
      <c r="K323" t="str">
        <f>IF(AND(Formulario!D335&lt;&gt;"",A323&lt;&gt;""),"1","")</f>
        <v/>
      </c>
    </row>
    <row r="324" spans="1:11" x14ac:dyDescent="0.3">
      <c r="A324" t="str">
        <f>IF(AND(Formulario!D336&lt;&gt;"",ISNUMBER(Formulario!D336)),Formulario!D336,"")</f>
        <v/>
      </c>
      <c r="B324" s="146" t="str">
        <f>IF(AND(Formulario!F336&lt;&gt;"", Formulario!F336&lt;&gt;"",A324&lt;&gt;""),Formulario!F336,"")</f>
        <v/>
      </c>
      <c r="C324" s="146" t="str">
        <f>IF(AND(Formulario!D336&lt;&gt;"", Formulario!E336&lt;&gt;"",A324&lt;&gt;""),Formulario!E336,"")</f>
        <v/>
      </c>
      <c r="D324" s="55" t="str">
        <f>IF('Cond SAP'!AA336="","",'Cond SAP'!AA336)</f>
        <v/>
      </c>
      <c r="E324" t="str">
        <f>IF(AND(Formulario!G336&lt;&gt;"",Formulario!Q336&lt;&gt;"",A324&lt;&gt;""),Formulario!Q336,"")</f>
        <v/>
      </c>
      <c r="F324" t="str" cm="1">
        <f t="array" aca="1" ref="F324" ca="1">IF(OR(A324="",B324=""),"",LEFT(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4" t="str">
        <f>IF(AND(Formulario!G336&lt;&gt;"",Formulario!G336&lt;&gt;"",A324&lt;&gt;""),Formulario!G336,"")</f>
        <v/>
      </c>
      <c r="I324" t="str">
        <f>IF(AND(Formulario!D336&lt;&gt;"",A324&lt;&gt;""),"UY10","")</f>
        <v/>
      </c>
      <c r="J324" t="str">
        <f>IF(AND(Formulario!D336&lt;&gt;"",A324&lt;&gt;""),"0001","")</f>
        <v/>
      </c>
      <c r="K324" t="str">
        <f>IF(AND(Formulario!D336&lt;&gt;"",A324&lt;&gt;""),"1","")</f>
        <v/>
      </c>
    </row>
    <row r="325" spans="1:11" x14ac:dyDescent="0.3">
      <c r="A325" t="str">
        <f>IF(AND(Formulario!D337&lt;&gt;"",ISNUMBER(Formulario!D337)),Formulario!D337,"")</f>
        <v/>
      </c>
      <c r="B325" s="146" t="str">
        <f>IF(AND(Formulario!F337&lt;&gt;"", Formulario!F337&lt;&gt;"",A325&lt;&gt;""),Formulario!F337,"")</f>
        <v/>
      </c>
      <c r="C325" s="146" t="str">
        <f>IF(AND(Formulario!D337&lt;&gt;"", Formulario!E337&lt;&gt;"",A325&lt;&gt;""),Formulario!E337,"")</f>
        <v/>
      </c>
      <c r="D325" s="55" t="str">
        <f>IF('Cond SAP'!AA337="","",'Cond SAP'!AA337)</f>
        <v/>
      </c>
      <c r="E325" t="str">
        <f>IF(AND(Formulario!G337&lt;&gt;"",Formulario!Q337&lt;&gt;"",A325&lt;&gt;""),Formulario!Q337,"")</f>
        <v/>
      </c>
      <c r="F325" t="str" cm="1">
        <f t="array" aca="1" ref="F325" ca="1">IF(OR(A325="",B325=""),"",LEFT(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5" t="str">
        <f>IF(AND(Formulario!G337&lt;&gt;"",Formulario!G337&lt;&gt;"",A325&lt;&gt;""),Formulario!G337,"")</f>
        <v/>
      </c>
      <c r="I325" t="str">
        <f>IF(AND(Formulario!D337&lt;&gt;"",A325&lt;&gt;""),"UY10","")</f>
        <v/>
      </c>
      <c r="J325" t="str">
        <f>IF(AND(Formulario!D337&lt;&gt;"",A325&lt;&gt;""),"0001","")</f>
        <v/>
      </c>
      <c r="K325" t="str">
        <f>IF(AND(Formulario!D337&lt;&gt;"",A325&lt;&gt;""),"1","")</f>
        <v/>
      </c>
    </row>
    <row r="326" spans="1:11" x14ac:dyDescent="0.3">
      <c r="A326" t="str">
        <f>IF(AND(Formulario!D338&lt;&gt;"",ISNUMBER(Formulario!D338)),Formulario!D338,"")</f>
        <v/>
      </c>
      <c r="B326" s="146" t="str">
        <f>IF(AND(Formulario!F338&lt;&gt;"", Formulario!F338&lt;&gt;"",A326&lt;&gt;""),Formulario!F338,"")</f>
        <v/>
      </c>
      <c r="C326" s="146" t="str">
        <f>IF(AND(Formulario!D338&lt;&gt;"", Formulario!E338&lt;&gt;"",A326&lt;&gt;""),Formulario!E338,"")</f>
        <v/>
      </c>
      <c r="D326" s="55" t="str">
        <f>IF('Cond SAP'!AA338="","",'Cond SAP'!AA338)</f>
        <v/>
      </c>
      <c r="E326" t="str">
        <f>IF(AND(Formulario!G338&lt;&gt;"",Formulario!Q338&lt;&gt;"",A326&lt;&gt;""),Formulario!Q338,"")</f>
        <v/>
      </c>
      <c r="F326" t="str" cm="1">
        <f t="array" aca="1" ref="F326" ca="1">IF(OR(A326="",B326=""),"",LEFT(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6" t="str">
        <f>IF(AND(Formulario!G338&lt;&gt;"",Formulario!G338&lt;&gt;"",A326&lt;&gt;""),Formulario!G338,"")</f>
        <v/>
      </c>
      <c r="I326" t="str">
        <f>IF(AND(Formulario!D338&lt;&gt;"",A326&lt;&gt;""),"UY10","")</f>
        <v/>
      </c>
      <c r="J326" t="str">
        <f>IF(AND(Formulario!D338&lt;&gt;"",A326&lt;&gt;""),"0001","")</f>
        <v/>
      </c>
      <c r="K326" t="str">
        <f>IF(AND(Formulario!D338&lt;&gt;"",A326&lt;&gt;""),"1","")</f>
        <v/>
      </c>
    </row>
    <row r="327" spans="1:11" x14ac:dyDescent="0.3">
      <c r="A327" t="str">
        <f>IF(AND(Formulario!D339&lt;&gt;"",ISNUMBER(Formulario!D339)),Formulario!D339,"")</f>
        <v/>
      </c>
      <c r="B327" s="146" t="str">
        <f>IF(AND(Formulario!F339&lt;&gt;"", Formulario!F339&lt;&gt;"",A327&lt;&gt;""),Formulario!F339,"")</f>
        <v/>
      </c>
      <c r="C327" s="146" t="str">
        <f>IF(AND(Formulario!D339&lt;&gt;"", Formulario!E339&lt;&gt;"",A327&lt;&gt;""),Formulario!E339,"")</f>
        <v/>
      </c>
      <c r="D327" s="55" t="str">
        <f>IF('Cond SAP'!AA339="","",'Cond SAP'!AA339)</f>
        <v/>
      </c>
      <c r="E327" t="str">
        <f>IF(AND(Formulario!G339&lt;&gt;"",Formulario!Q339&lt;&gt;"",A327&lt;&gt;""),Formulario!Q339,"")</f>
        <v/>
      </c>
      <c r="F327" t="str" cm="1">
        <f t="array" aca="1" ref="F327" ca="1">IF(OR(A327="",B327=""),"",LEFT(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7" t="str">
        <f>IF(AND(Formulario!G339&lt;&gt;"",Formulario!G339&lt;&gt;"",A327&lt;&gt;""),Formulario!G339,"")</f>
        <v/>
      </c>
      <c r="I327" t="str">
        <f>IF(AND(Formulario!D339&lt;&gt;"",A327&lt;&gt;""),"UY10","")</f>
        <v/>
      </c>
      <c r="J327" t="str">
        <f>IF(AND(Formulario!D339&lt;&gt;"",A327&lt;&gt;""),"0001","")</f>
        <v/>
      </c>
      <c r="K327" t="str">
        <f>IF(AND(Formulario!D339&lt;&gt;"",A327&lt;&gt;""),"1","")</f>
        <v/>
      </c>
    </row>
    <row r="328" spans="1:11" x14ac:dyDescent="0.3">
      <c r="A328" t="str">
        <f>IF(AND(Formulario!D340&lt;&gt;"",ISNUMBER(Formulario!D340)),Formulario!D340,"")</f>
        <v/>
      </c>
      <c r="B328" s="146" t="str">
        <f>IF(AND(Formulario!F340&lt;&gt;"", Formulario!F340&lt;&gt;"",A328&lt;&gt;""),Formulario!F340,"")</f>
        <v/>
      </c>
      <c r="C328" s="146" t="str">
        <f>IF(AND(Formulario!D340&lt;&gt;"", Formulario!E340&lt;&gt;"",A328&lt;&gt;""),Formulario!E340,"")</f>
        <v/>
      </c>
      <c r="D328" s="55" t="str">
        <f>IF('Cond SAP'!AA340="","",'Cond SAP'!AA340)</f>
        <v/>
      </c>
      <c r="E328" t="str">
        <f>IF(AND(Formulario!G340&lt;&gt;"",Formulario!Q340&lt;&gt;"",A328&lt;&gt;""),Formulario!Q340,"")</f>
        <v/>
      </c>
      <c r="F328" t="str" cm="1">
        <f t="array" aca="1" ref="F328" ca="1">IF(OR(A328="",B328=""),"",LEFT(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8" t="str">
        <f>IF(AND(Formulario!G340&lt;&gt;"",Formulario!G340&lt;&gt;"",A328&lt;&gt;""),Formulario!G340,"")</f>
        <v/>
      </c>
      <c r="I328" t="str">
        <f>IF(AND(Formulario!D340&lt;&gt;"",A328&lt;&gt;""),"UY10","")</f>
        <v/>
      </c>
      <c r="J328" t="str">
        <f>IF(AND(Formulario!D340&lt;&gt;"",A328&lt;&gt;""),"0001","")</f>
        <v/>
      </c>
      <c r="K328" t="str">
        <f>IF(AND(Formulario!D340&lt;&gt;"",A328&lt;&gt;""),"1","")</f>
        <v/>
      </c>
    </row>
    <row r="329" spans="1:11" x14ac:dyDescent="0.3">
      <c r="A329" t="str">
        <f>IF(AND(Formulario!D341&lt;&gt;"",ISNUMBER(Formulario!D341)),Formulario!D341,"")</f>
        <v/>
      </c>
      <c r="B329" s="146" t="str">
        <f>IF(AND(Formulario!F341&lt;&gt;"", Formulario!F341&lt;&gt;"",A329&lt;&gt;""),Formulario!F341,"")</f>
        <v/>
      </c>
      <c r="C329" s="146" t="str">
        <f>IF(AND(Formulario!D341&lt;&gt;"", Formulario!E341&lt;&gt;"",A329&lt;&gt;""),Formulario!E341,"")</f>
        <v/>
      </c>
      <c r="D329" s="55" t="str">
        <f>IF('Cond SAP'!AA341="","",'Cond SAP'!AA341)</f>
        <v/>
      </c>
      <c r="E329" t="str">
        <f>IF(AND(Formulario!G341&lt;&gt;"",Formulario!Q341&lt;&gt;"",A329&lt;&gt;""),Formulario!Q341,"")</f>
        <v/>
      </c>
      <c r="F329" t="str" cm="1">
        <f t="array" aca="1" ref="F329" ca="1">IF(OR(A329="",B329=""),"",LEFT(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29" t="str">
        <f>IF(AND(Formulario!G341&lt;&gt;"",Formulario!G341&lt;&gt;"",A329&lt;&gt;""),Formulario!G341,"")</f>
        <v/>
      </c>
      <c r="I329" t="str">
        <f>IF(AND(Formulario!D341&lt;&gt;"",A329&lt;&gt;""),"UY10","")</f>
        <v/>
      </c>
      <c r="J329" t="str">
        <f>IF(AND(Formulario!D341&lt;&gt;"",A329&lt;&gt;""),"0001","")</f>
        <v/>
      </c>
      <c r="K329" t="str">
        <f>IF(AND(Formulario!D341&lt;&gt;"",A329&lt;&gt;""),"1","")</f>
        <v/>
      </c>
    </row>
    <row r="330" spans="1:11" x14ac:dyDescent="0.3">
      <c r="A330" t="str">
        <f>IF(AND(Formulario!D342&lt;&gt;"",ISNUMBER(Formulario!D342)),Formulario!D342,"")</f>
        <v/>
      </c>
      <c r="B330" s="146" t="str">
        <f>IF(AND(Formulario!F342&lt;&gt;"", Formulario!F342&lt;&gt;"",A330&lt;&gt;""),Formulario!F342,"")</f>
        <v/>
      </c>
      <c r="C330" s="146" t="str">
        <f>IF(AND(Formulario!D342&lt;&gt;"", Formulario!E342&lt;&gt;"",A330&lt;&gt;""),Formulario!E342,"")</f>
        <v/>
      </c>
      <c r="D330" s="55" t="str">
        <f>IF('Cond SAP'!AA342="","",'Cond SAP'!AA342)</f>
        <v/>
      </c>
      <c r="E330" t="str">
        <f>IF(AND(Formulario!G342&lt;&gt;"",Formulario!Q342&lt;&gt;"",A330&lt;&gt;""),Formulario!Q342,"")</f>
        <v/>
      </c>
      <c r="F330" t="str" cm="1">
        <f t="array" aca="1" ref="F330" ca="1">IF(OR(A330="",B330=""),"",LEFT(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0" t="str">
        <f>IF(AND(Formulario!G342&lt;&gt;"",Formulario!G342&lt;&gt;"",A330&lt;&gt;""),Formulario!G342,"")</f>
        <v/>
      </c>
      <c r="I330" t="str">
        <f>IF(AND(Formulario!D342&lt;&gt;"",A330&lt;&gt;""),"UY10","")</f>
        <v/>
      </c>
      <c r="J330" t="str">
        <f>IF(AND(Formulario!D342&lt;&gt;"",A330&lt;&gt;""),"0001","")</f>
        <v/>
      </c>
      <c r="K330" t="str">
        <f>IF(AND(Formulario!D342&lt;&gt;"",A330&lt;&gt;""),"1","")</f>
        <v/>
      </c>
    </row>
    <row r="331" spans="1:11" x14ac:dyDescent="0.3">
      <c r="A331" t="str">
        <f>IF(AND(Formulario!D343&lt;&gt;"",ISNUMBER(Formulario!D343)),Formulario!D343,"")</f>
        <v/>
      </c>
      <c r="B331" s="146" t="str">
        <f>IF(AND(Formulario!F343&lt;&gt;"", Formulario!F343&lt;&gt;"",A331&lt;&gt;""),Formulario!F343,"")</f>
        <v/>
      </c>
      <c r="C331" s="146" t="str">
        <f>IF(AND(Formulario!D343&lt;&gt;"", Formulario!E343&lt;&gt;"",A331&lt;&gt;""),Formulario!E343,"")</f>
        <v/>
      </c>
      <c r="D331" s="55" t="str">
        <f>IF('Cond SAP'!AA343="","",'Cond SAP'!AA343)</f>
        <v/>
      </c>
      <c r="E331" t="str">
        <f>IF(AND(Formulario!G343&lt;&gt;"",Formulario!Q343&lt;&gt;"",A331&lt;&gt;""),Formulario!Q343,"")</f>
        <v/>
      </c>
      <c r="F331" t="str" cm="1">
        <f t="array" aca="1" ref="F331" ca="1">IF(OR(A331="",B331=""),"",LEFT(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1" t="str">
        <f>IF(AND(Formulario!G343&lt;&gt;"",Formulario!G343&lt;&gt;"",A331&lt;&gt;""),Formulario!G343,"")</f>
        <v/>
      </c>
      <c r="I331" t="str">
        <f>IF(AND(Formulario!D343&lt;&gt;"",A331&lt;&gt;""),"UY10","")</f>
        <v/>
      </c>
      <c r="J331" t="str">
        <f>IF(AND(Formulario!D343&lt;&gt;"",A331&lt;&gt;""),"0001","")</f>
        <v/>
      </c>
      <c r="K331" t="str">
        <f>IF(AND(Formulario!D343&lt;&gt;"",A331&lt;&gt;""),"1","")</f>
        <v/>
      </c>
    </row>
    <row r="332" spans="1:11" x14ac:dyDescent="0.3">
      <c r="A332" t="str">
        <f>IF(AND(Formulario!D344&lt;&gt;"",ISNUMBER(Formulario!D344)),Formulario!D344,"")</f>
        <v/>
      </c>
      <c r="B332" s="146" t="str">
        <f>IF(AND(Formulario!F344&lt;&gt;"", Formulario!F344&lt;&gt;"",A332&lt;&gt;""),Formulario!F344,"")</f>
        <v/>
      </c>
      <c r="C332" s="146" t="str">
        <f>IF(AND(Formulario!D344&lt;&gt;"", Formulario!E344&lt;&gt;"",A332&lt;&gt;""),Formulario!E344,"")</f>
        <v/>
      </c>
      <c r="D332" s="55" t="str">
        <f>IF('Cond SAP'!AA344="","",'Cond SAP'!AA344)</f>
        <v/>
      </c>
      <c r="E332" t="str">
        <f>IF(AND(Formulario!G344&lt;&gt;"",Formulario!Q344&lt;&gt;"",A332&lt;&gt;""),Formulario!Q344,"")</f>
        <v/>
      </c>
      <c r="F332" t="str" cm="1">
        <f t="array" aca="1" ref="F332" ca="1">IF(OR(A332="",B332=""),"",LEFT(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2" t="str">
        <f>IF(AND(Formulario!G344&lt;&gt;"",Formulario!G344&lt;&gt;"",A332&lt;&gt;""),Formulario!G344,"")</f>
        <v/>
      </c>
      <c r="I332" t="str">
        <f>IF(AND(Formulario!D344&lt;&gt;"",A332&lt;&gt;""),"UY10","")</f>
        <v/>
      </c>
      <c r="J332" t="str">
        <f>IF(AND(Formulario!D344&lt;&gt;"",A332&lt;&gt;""),"0001","")</f>
        <v/>
      </c>
      <c r="K332" t="str">
        <f>IF(AND(Formulario!D344&lt;&gt;"",A332&lt;&gt;""),"1","")</f>
        <v/>
      </c>
    </row>
    <row r="333" spans="1:11" x14ac:dyDescent="0.3">
      <c r="A333" t="str">
        <f>IF(AND(Formulario!D345&lt;&gt;"",ISNUMBER(Formulario!D345)),Formulario!D345,"")</f>
        <v/>
      </c>
      <c r="B333" s="146" t="str">
        <f>IF(AND(Formulario!F345&lt;&gt;"", Formulario!F345&lt;&gt;"",A333&lt;&gt;""),Formulario!F345,"")</f>
        <v/>
      </c>
      <c r="C333" s="146" t="str">
        <f>IF(AND(Formulario!D345&lt;&gt;"", Formulario!E345&lt;&gt;"",A333&lt;&gt;""),Formulario!E345,"")</f>
        <v/>
      </c>
      <c r="D333" s="55" t="str">
        <f>IF('Cond SAP'!AA345="","",'Cond SAP'!AA345)</f>
        <v/>
      </c>
      <c r="E333" t="str">
        <f>IF(AND(Formulario!G345&lt;&gt;"",Formulario!Q345&lt;&gt;"",A333&lt;&gt;""),Formulario!Q345,"")</f>
        <v/>
      </c>
      <c r="F333" t="str" cm="1">
        <f t="array" aca="1" ref="F333" ca="1">IF(OR(A333="",B333=""),"",LEFT(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3" t="str">
        <f>IF(AND(Formulario!G345&lt;&gt;"",Formulario!G345&lt;&gt;"",A333&lt;&gt;""),Formulario!G345,"")</f>
        <v/>
      </c>
      <c r="I333" t="str">
        <f>IF(AND(Formulario!D345&lt;&gt;"",A333&lt;&gt;""),"UY10","")</f>
        <v/>
      </c>
      <c r="J333" t="str">
        <f>IF(AND(Formulario!D345&lt;&gt;"",A333&lt;&gt;""),"0001","")</f>
        <v/>
      </c>
      <c r="K333" t="str">
        <f>IF(AND(Formulario!D345&lt;&gt;"",A333&lt;&gt;""),"1","")</f>
        <v/>
      </c>
    </row>
    <row r="334" spans="1:11" x14ac:dyDescent="0.3">
      <c r="A334" t="str">
        <f>IF(AND(Formulario!D346&lt;&gt;"",ISNUMBER(Formulario!D346)),Formulario!D346,"")</f>
        <v/>
      </c>
      <c r="B334" s="146" t="str">
        <f>IF(AND(Formulario!F346&lt;&gt;"", Formulario!F346&lt;&gt;"",A334&lt;&gt;""),Formulario!F346,"")</f>
        <v/>
      </c>
      <c r="C334" s="146" t="str">
        <f>IF(AND(Formulario!D346&lt;&gt;"", Formulario!E346&lt;&gt;"",A334&lt;&gt;""),Formulario!E346,"")</f>
        <v/>
      </c>
      <c r="D334" s="55" t="str">
        <f>IF('Cond SAP'!AA346="","",'Cond SAP'!AA346)</f>
        <v/>
      </c>
      <c r="E334" t="str">
        <f>IF(AND(Formulario!G346&lt;&gt;"",Formulario!Q346&lt;&gt;"",A334&lt;&gt;""),Formulario!Q346,"")</f>
        <v/>
      </c>
      <c r="F334" t="str" cm="1">
        <f t="array" aca="1" ref="F334" ca="1">IF(OR(A334="",B334=""),"",LEFT(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4" t="str">
        <f>IF(AND(Formulario!G346&lt;&gt;"",Formulario!G346&lt;&gt;"",A334&lt;&gt;""),Formulario!G346,"")</f>
        <v/>
      </c>
      <c r="I334" t="str">
        <f>IF(AND(Formulario!D346&lt;&gt;"",A334&lt;&gt;""),"UY10","")</f>
        <v/>
      </c>
      <c r="J334" t="str">
        <f>IF(AND(Formulario!D346&lt;&gt;"",A334&lt;&gt;""),"0001","")</f>
        <v/>
      </c>
      <c r="K334" t="str">
        <f>IF(AND(Formulario!D346&lt;&gt;"",A334&lt;&gt;""),"1","")</f>
        <v/>
      </c>
    </row>
    <row r="335" spans="1:11" x14ac:dyDescent="0.3">
      <c r="A335" t="str">
        <f>IF(AND(Formulario!D347&lt;&gt;"",ISNUMBER(Formulario!D347)),Formulario!D347,"")</f>
        <v/>
      </c>
      <c r="B335" s="146" t="str">
        <f>IF(AND(Formulario!F347&lt;&gt;"", Formulario!F347&lt;&gt;"",A335&lt;&gt;""),Formulario!F347,"")</f>
        <v/>
      </c>
      <c r="C335" s="146" t="str">
        <f>IF(AND(Formulario!D347&lt;&gt;"", Formulario!E347&lt;&gt;"",A335&lt;&gt;""),Formulario!E347,"")</f>
        <v/>
      </c>
      <c r="D335" s="55" t="str">
        <f>IF('Cond SAP'!AA347="","",'Cond SAP'!AA347)</f>
        <v/>
      </c>
      <c r="E335" t="str">
        <f>IF(AND(Formulario!G347&lt;&gt;"",Formulario!Q347&lt;&gt;"",A335&lt;&gt;""),Formulario!Q347,"")</f>
        <v/>
      </c>
      <c r="F335" t="str" cm="1">
        <f t="array" aca="1" ref="F335" ca="1">IF(OR(A335="",B335=""),"",LEFT(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5" t="str">
        <f>IF(AND(Formulario!G347&lt;&gt;"",Formulario!G347&lt;&gt;"",A335&lt;&gt;""),Formulario!G347,"")</f>
        <v/>
      </c>
      <c r="I335" t="str">
        <f>IF(AND(Formulario!D347&lt;&gt;"",A335&lt;&gt;""),"UY10","")</f>
        <v/>
      </c>
      <c r="J335" t="str">
        <f>IF(AND(Formulario!D347&lt;&gt;"",A335&lt;&gt;""),"0001","")</f>
        <v/>
      </c>
      <c r="K335" t="str">
        <f>IF(AND(Formulario!D347&lt;&gt;"",A335&lt;&gt;""),"1","")</f>
        <v/>
      </c>
    </row>
    <row r="336" spans="1:11" x14ac:dyDescent="0.3">
      <c r="A336" t="str">
        <f>IF(AND(Formulario!D348&lt;&gt;"",ISNUMBER(Formulario!D348)),Formulario!D348,"")</f>
        <v/>
      </c>
      <c r="B336" s="146" t="str">
        <f>IF(AND(Formulario!F348&lt;&gt;"", Formulario!F348&lt;&gt;"",A336&lt;&gt;""),Formulario!F348,"")</f>
        <v/>
      </c>
      <c r="C336" s="146" t="str">
        <f>IF(AND(Formulario!D348&lt;&gt;"", Formulario!E348&lt;&gt;"",A336&lt;&gt;""),Formulario!E348,"")</f>
        <v/>
      </c>
      <c r="D336" s="55" t="str">
        <f>IF('Cond SAP'!AA348="","",'Cond SAP'!AA348)</f>
        <v/>
      </c>
      <c r="E336" t="str">
        <f>IF(AND(Formulario!G348&lt;&gt;"",Formulario!Q348&lt;&gt;"",A336&lt;&gt;""),Formulario!Q348,"")</f>
        <v/>
      </c>
      <c r="F336" t="str" cm="1">
        <f t="array" aca="1" ref="F336" ca="1">IF(OR(A336="",B336=""),"",LEFT(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6" t="str">
        <f>IF(AND(Formulario!G348&lt;&gt;"",Formulario!G348&lt;&gt;"",A336&lt;&gt;""),Formulario!G348,"")</f>
        <v/>
      </c>
      <c r="I336" t="str">
        <f>IF(AND(Formulario!D348&lt;&gt;"",A336&lt;&gt;""),"UY10","")</f>
        <v/>
      </c>
      <c r="J336" t="str">
        <f>IF(AND(Formulario!D348&lt;&gt;"",A336&lt;&gt;""),"0001","")</f>
        <v/>
      </c>
      <c r="K336" t="str">
        <f>IF(AND(Formulario!D348&lt;&gt;"",A336&lt;&gt;""),"1","")</f>
        <v/>
      </c>
    </row>
    <row r="337" spans="1:11" x14ac:dyDescent="0.3">
      <c r="A337" t="str">
        <f>IF(AND(Formulario!D349&lt;&gt;"",ISNUMBER(Formulario!D349)),Formulario!D349,"")</f>
        <v/>
      </c>
      <c r="B337" s="146" t="str">
        <f>IF(AND(Formulario!F349&lt;&gt;"", Formulario!F349&lt;&gt;"",A337&lt;&gt;""),Formulario!F349,"")</f>
        <v/>
      </c>
      <c r="C337" s="146" t="str">
        <f>IF(AND(Formulario!D349&lt;&gt;"", Formulario!E349&lt;&gt;"",A337&lt;&gt;""),Formulario!E349,"")</f>
        <v/>
      </c>
      <c r="D337" s="55" t="str">
        <f>IF('Cond SAP'!AA349="","",'Cond SAP'!AA349)</f>
        <v/>
      </c>
      <c r="E337" t="str">
        <f>IF(AND(Formulario!G349&lt;&gt;"",Formulario!Q349&lt;&gt;"",A337&lt;&gt;""),Formulario!Q349,"")</f>
        <v/>
      </c>
      <c r="F337" t="str" cm="1">
        <f t="array" aca="1" ref="F337" ca="1">IF(OR(A337="",B337=""),"",LEFT(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7" t="str">
        <f>IF(AND(Formulario!G349&lt;&gt;"",Formulario!G349&lt;&gt;"",A337&lt;&gt;""),Formulario!G349,"")</f>
        <v/>
      </c>
      <c r="I337" t="str">
        <f>IF(AND(Formulario!D349&lt;&gt;"",A337&lt;&gt;""),"UY10","")</f>
        <v/>
      </c>
      <c r="J337" t="str">
        <f>IF(AND(Formulario!D349&lt;&gt;"",A337&lt;&gt;""),"0001","")</f>
        <v/>
      </c>
      <c r="K337" t="str">
        <f>IF(AND(Formulario!D349&lt;&gt;"",A337&lt;&gt;""),"1","")</f>
        <v/>
      </c>
    </row>
    <row r="338" spans="1:11" x14ac:dyDescent="0.3">
      <c r="A338" t="str">
        <f>IF(AND(Formulario!D350&lt;&gt;"",ISNUMBER(Formulario!D350)),Formulario!D350,"")</f>
        <v/>
      </c>
      <c r="B338" s="146" t="str">
        <f>IF(AND(Formulario!F350&lt;&gt;"", Formulario!F350&lt;&gt;"",A338&lt;&gt;""),Formulario!F350,"")</f>
        <v/>
      </c>
      <c r="C338" s="146" t="str">
        <f>IF(AND(Formulario!D350&lt;&gt;"", Formulario!E350&lt;&gt;"",A338&lt;&gt;""),Formulario!E350,"")</f>
        <v/>
      </c>
      <c r="D338" s="55" t="str">
        <f>IF('Cond SAP'!AA350="","",'Cond SAP'!AA350)</f>
        <v/>
      </c>
      <c r="E338" t="str">
        <f>IF(AND(Formulario!G350&lt;&gt;"",Formulario!Q350&lt;&gt;"",A338&lt;&gt;""),Formulario!Q350,"")</f>
        <v/>
      </c>
      <c r="F338" t="str" cm="1">
        <f t="array" aca="1" ref="F338" ca="1">IF(OR(A338="",B338=""),"",LEFT(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8" t="str">
        <f>IF(AND(Formulario!G350&lt;&gt;"",Formulario!G350&lt;&gt;"",A338&lt;&gt;""),Formulario!G350,"")</f>
        <v/>
      </c>
      <c r="I338" t="str">
        <f>IF(AND(Formulario!D350&lt;&gt;"",A338&lt;&gt;""),"UY10","")</f>
        <v/>
      </c>
      <c r="J338" t="str">
        <f>IF(AND(Formulario!D350&lt;&gt;"",A338&lt;&gt;""),"0001","")</f>
        <v/>
      </c>
      <c r="K338" t="str">
        <f>IF(AND(Formulario!D350&lt;&gt;"",A338&lt;&gt;""),"1","")</f>
        <v/>
      </c>
    </row>
    <row r="339" spans="1:11" x14ac:dyDescent="0.3">
      <c r="A339" t="str">
        <f>IF(AND(Formulario!D351&lt;&gt;"",ISNUMBER(Formulario!D351)),Formulario!D351,"")</f>
        <v/>
      </c>
      <c r="B339" s="146" t="str">
        <f>IF(AND(Formulario!F351&lt;&gt;"", Formulario!F351&lt;&gt;"",A339&lt;&gt;""),Formulario!F351,"")</f>
        <v/>
      </c>
      <c r="C339" s="146" t="str">
        <f>IF(AND(Formulario!D351&lt;&gt;"", Formulario!E351&lt;&gt;"",A339&lt;&gt;""),Formulario!E351,"")</f>
        <v/>
      </c>
      <c r="D339" s="55" t="str">
        <f>IF('Cond SAP'!AA351="","",'Cond SAP'!AA351)</f>
        <v/>
      </c>
      <c r="E339" t="str">
        <f>IF(AND(Formulario!G351&lt;&gt;"",Formulario!Q351&lt;&gt;"",A339&lt;&gt;""),Formulario!Q351,"")</f>
        <v/>
      </c>
      <c r="F339" t="str" cm="1">
        <f t="array" aca="1" ref="F339" ca="1">IF(OR(A339="",B339=""),"",LEFT(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39" t="str">
        <f>IF(AND(Formulario!G351&lt;&gt;"",Formulario!G351&lt;&gt;"",A339&lt;&gt;""),Formulario!G351,"")</f>
        <v/>
      </c>
      <c r="I339" t="str">
        <f>IF(AND(Formulario!D351&lt;&gt;"",A339&lt;&gt;""),"UY10","")</f>
        <v/>
      </c>
      <c r="J339" t="str">
        <f>IF(AND(Formulario!D351&lt;&gt;"",A339&lt;&gt;""),"0001","")</f>
        <v/>
      </c>
      <c r="K339" t="str">
        <f>IF(AND(Formulario!D351&lt;&gt;"",A339&lt;&gt;""),"1","")</f>
        <v/>
      </c>
    </row>
    <row r="340" spans="1:11" x14ac:dyDescent="0.3">
      <c r="A340" t="str">
        <f>IF(AND(Formulario!D352&lt;&gt;"",ISNUMBER(Formulario!D352)),Formulario!D352,"")</f>
        <v/>
      </c>
      <c r="B340" s="146" t="str">
        <f>IF(AND(Formulario!F352&lt;&gt;"", Formulario!F352&lt;&gt;"",A340&lt;&gt;""),Formulario!F352,"")</f>
        <v/>
      </c>
      <c r="C340" s="146" t="str">
        <f>IF(AND(Formulario!D352&lt;&gt;"", Formulario!E352&lt;&gt;"",A340&lt;&gt;""),Formulario!E352,"")</f>
        <v/>
      </c>
      <c r="D340" s="55" t="str">
        <f>IF('Cond SAP'!AA352="","",'Cond SAP'!AA352)</f>
        <v/>
      </c>
      <c r="E340" t="str">
        <f>IF(AND(Formulario!G352&lt;&gt;"",Formulario!Q352&lt;&gt;"",A340&lt;&gt;""),Formulario!Q352,"")</f>
        <v/>
      </c>
      <c r="F340" t="str" cm="1">
        <f t="array" aca="1" ref="F340" ca="1">IF(OR(A340="",B340=""),"",LEFT(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0" t="str">
        <f>IF(AND(Formulario!G352&lt;&gt;"",Formulario!G352&lt;&gt;"",A340&lt;&gt;""),Formulario!G352,"")</f>
        <v/>
      </c>
      <c r="I340" t="str">
        <f>IF(AND(Formulario!D352&lt;&gt;"",A340&lt;&gt;""),"UY10","")</f>
        <v/>
      </c>
      <c r="J340" t="str">
        <f>IF(AND(Formulario!D352&lt;&gt;"",A340&lt;&gt;""),"0001","")</f>
        <v/>
      </c>
      <c r="K340" t="str">
        <f>IF(AND(Formulario!D352&lt;&gt;"",A340&lt;&gt;""),"1","")</f>
        <v/>
      </c>
    </row>
    <row r="341" spans="1:11" x14ac:dyDescent="0.3">
      <c r="A341" t="str">
        <f>IF(AND(Formulario!D353&lt;&gt;"",ISNUMBER(Formulario!D353)),Formulario!D353,"")</f>
        <v/>
      </c>
      <c r="B341" s="146" t="str">
        <f>IF(AND(Formulario!F353&lt;&gt;"", Formulario!F353&lt;&gt;"",A341&lt;&gt;""),Formulario!F353,"")</f>
        <v/>
      </c>
      <c r="C341" s="146" t="str">
        <f>IF(AND(Formulario!D353&lt;&gt;"", Formulario!E353&lt;&gt;"",A341&lt;&gt;""),Formulario!E353,"")</f>
        <v/>
      </c>
      <c r="D341" s="55" t="str">
        <f>IF('Cond SAP'!AA353="","",'Cond SAP'!AA353)</f>
        <v/>
      </c>
      <c r="E341" t="str">
        <f>IF(AND(Formulario!G353&lt;&gt;"",Formulario!Q353&lt;&gt;"",A341&lt;&gt;""),Formulario!Q353,"")</f>
        <v/>
      </c>
      <c r="F341" t="str" cm="1">
        <f t="array" aca="1" ref="F341" ca="1">IF(OR(A341="",B341=""),"",LEFT(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1" t="str">
        <f>IF(AND(Formulario!G353&lt;&gt;"",Formulario!G353&lt;&gt;"",A341&lt;&gt;""),Formulario!G353,"")</f>
        <v/>
      </c>
      <c r="I341" t="str">
        <f>IF(AND(Formulario!D353&lt;&gt;"",A341&lt;&gt;""),"UY10","")</f>
        <v/>
      </c>
      <c r="J341" t="str">
        <f>IF(AND(Formulario!D353&lt;&gt;"",A341&lt;&gt;""),"0001","")</f>
        <v/>
      </c>
      <c r="K341" t="str">
        <f>IF(AND(Formulario!D353&lt;&gt;"",A341&lt;&gt;""),"1","")</f>
        <v/>
      </c>
    </row>
    <row r="342" spans="1:11" x14ac:dyDescent="0.3">
      <c r="A342" t="str">
        <f>IF(AND(Formulario!D354&lt;&gt;"",ISNUMBER(Formulario!D354)),Formulario!D354,"")</f>
        <v/>
      </c>
      <c r="B342" s="146" t="str">
        <f>IF(AND(Formulario!F354&lt;&gt;"", Formulario!F354&lt;&gt;"",A342&lt;&gt;""),Formulario!F354,"")</f>
        <v/>
      </c>
      <c r="C342" s="146" t="str">
        <f>IF(AND(Formulario!D354&lt;&gt;"", Formulario!E354&lt;&gt;"",A342&lt;&gt;""),Formulario!E354,"")</f>
        <v/>
      </c>
      <c r="D342" s="55" t="str">
        <f>IF('Cond SAP'!AA354="","",'Cond SAP'!AA354)</f>
        <v/>
      </c>
      <c r="E342" t="str">
        <f>IF(AND(Formulario!G354&lt;&gt;"",Formulario!Q354&lt;&gt;"",A342&lt;&gt;""),Formulario!Q354,"")</f>
        <v/>
      </c>
      <c r="F342" t="str" cm="1">
        <f t="array" aca="1" ref="F342" ca="1">IF(OR(A342="",B342=""),"",LEFT(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2" t="str">
        <f>IF(AND(Formulario!G354&lt;&gt;"",Formulario!G354&lt;&gt;"",A342&lt;&gt;""),Formulario!G354,"")</f>
        <v/>
      </c>
      <c r="I342" t="str">
        <f>IF(AND(Formulario!D354&lt;&gt;"",A342&lt;&gt;""),"UY10","")</f>
        <v/>
      </c>
      <c r="J342" t="str">
        <f>IF(AND(Formulario!D354&lt;&gt;"",A342&lt;&gt;""),"0001","")</f>
        <v/>
      </c>
      <c r="K342" t="str">
        <f>IF(AND(Formulario!D354&lt;&gt;"",A342&lt;&gt;""),"1","")</f>
        <v/>
      </c>
    </row>
    <row r="343" spans="1:11" x14ac:dyDescent="0.3">
      <c r="A343" t="str">
        <f>IF(AND(Formulario!D355&lt;&gt;"",ISNUMBER(Formulario!D355)),Formulario!D355,"")</f>
        <v/>
      </c>
      <c r="B343" s="146" t="str">
        <f>IF(AND(Formulario!F355&lt;&gt;"", Formulario!F355&lt;&gt;"",A343&lt;&gt;""),Formulario!F355,"")</f>
        <v/>
      </c>
      <c r="C343" s="146" t="str">
        <f>IF(AND(Formulario!D355&lt;&gt;"", Formulario!E355&lt;&gt;"",A343&lt;&gt;""),Formulario!E355,"")</f>
        <v/>
      </c>
      <c r="D343" s="55" t="str">
        <f>IF('Cond SAP'!AA355="","",'Cond SAP'!AA355)</f>
        <v/>
      </c>
      <c r="E343" t="str">
        <f>IF(AND(Formulario!G355&lt;&gt;"",Formulario!Q355&lt;&gt;"",A343&lt;&gt;""),Formulario!Q355,"")</f>
        <v/>
      </c>
      <c r="F343" t="str" cm="1">
        <f t="array" aca="1" ref="F343" ca="1">IF(OR(A343="",B343=""),"",LEFT(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3" t="str">
        <f>IF(AND(Formulario!G355&lt;&gt;"",Formulario!G355&lt;&gt;"",A343&lt;&gt;""),Formulario!G355,"")</f>
        <v/>
      </c>
      <c r="I343" t="str">
        <f>IF(AND(Formulario!D355&lt;&gt;"",A343&lt;&gt;""),"UY10","")</f>
        <v/>
      </c>
      <c r="J343" t="str">
        <f>IF(AND(Formulario!D355&lt;&gt;"",A343&lt;&gt;""),"0001","")</f>
        <v/>
      </c>
      <c r="K343" t="str">
        <f>IF(AND(Formulario!D355&lt;&gt;"",A343&lt;&gt;""),"1","")</f>
        <v/>
      </c>
    </row>
    <row r="344" spans="1:11" x14ac:dyDescent="0.3">
      <c r="A344" t="str">
        <f>IF(AND(Formulario!D356&lt;&gt;"",ISNUMBER(Formulario!D356)),Formulario!D356,"")</f>
        <v/>
      </c>
      <c r="B344" s="146" t="str">
        <f>IF(AND(Formulario!F356&lt;&gt;"", Formulario!F356&lt;&gt;"",A344&lt;&gt;""),Formulario!F356,"")</f>
        <v/>
      </c>
      <c r="C344" s="146" t="str">
        <f>IF(AND(Formulario!D356&lt;&gt;"", Formulario!E356&lt;&gt;"",A344&lt;&gt;""),Formulario!E356,"")</f>
        <v/>
      </c>
      <c r="D344" s="55" t="str">
        <f>IF('Cond SAP'!AA356="","",'Cond SAP'!AA356)</f>
        <v/>
      </c>
      <c r="E344" t="str">
        <f>IF(AND(Formulario!G356&lt;&gt;"",Formulario!Q356&lt;&gt;"",A344&lt;&gt;""),Formulario!Q356,"")</f>
        <v/>
      </c>
      <c r="F344" t="str" cm="1">
        <f t="array" aca="1" ref="F344" ca="1">IF(OR(A344="",B344=""),"",LEFT(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4" t="str">
        <f>IF(AND(Formulario!G356&lt;&gt;"",Formulario!G356&lt;&gt;"",A344&lt;&gt;""),Formulario!G356,"")</f>
        <v/>
      </c>
      <c r="I344" t="str">
        <f>IF(AND(Formulario!D356&lt;&gt;"",A344&lt;&gt;""),"UY10","")</f>
        <v/>
      </c>
      <c r="J344" t="str">
        <f>IF(AND(Formulario!D356&lt;&gt;"",A344&lt;&gt;""),"0001","")</f>
        <v/>
      </c>
      <c r="K344" t="str">
        <f>IF(AND(Formulario!D356&lt;&gt;"",A344&lt;&gt;""),"1","")</f>
        <v/>
      </c>
    </row>
    <row r="345" spans="1:11" x14ac:dyDescent="0.3">
      <c r="A345" t="str">
        <f>IF(AND(Formulario!D357&lt;&gt;"",ISNUMBER(Formulario!D357)),Formulario!D357,"")</f>
        <v/>
      </c>
      <c r="B345" s="146" t="str">
        <f>IF(AND(Formulario!F357&lt;&gt;"", Formulario!F357&lt;&gt;"",A345&lt;&gt;""),Formulario!F357,"")</f>
        <v/>
      </c>
      <c r="C345" s="146" t="str">
        <f>IF(AND(Formulario!D357&lt;&gt;"", Formulario!E357&lt;&gt;"",A345&lt;&gt;""),Formulario!E357,"")</f>
        <v/>
      </c>
      <c r="D345" s="55" t="str">
        <f>IF('Cond SAP'!AA357="","",'Cond SAP'!AA357)</f>
        <v/>
      </c>
      <c r="E345" t="str">
        <f>IF(AND(Formulario!G357&lt;&gt;"",Formulario!Q357&lt;&gt;"",A345&lt;&gt;""),Formulario!Q357,"")</f>
        <v/>
      </c>
      <c r="F345" t="str" cm="1">
        <f t="array" aca="1" ref="F345" ca="1">IF(OR(A345="",B345=""),"",LEFT(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5" t="str">
        <f>IF(AND(Formulario!G357&lt;&gt;"",Formulario!G357&lt;&gt;"",A345&lt;&gt;""),Formulario!G357,"")</f>
        <v/>
      </c>
      <c r="I345" t="str">
        <f>IF(AND(Formulario!D357&lt;&gt;"",A345&lt;&gt;""),"UY10","")</f>
        <v/>
      </c>
      <c r="J345" t="str">
        <f>IF(AND(Formulario!D357&lt;&gt;"",A345&lt;&gt;""),"0001","")</f>
        <v/>
      </c>
      <c r="K345" t="str">
        <f>IF(AND(Formulario!D357&lt;&gt;"",A345&lt;&gt;""),"1","")</f>
        <v/>
      </c>
    </row>
    <row r="346" spans="1:11" x14ac:dyDescent="0.3">
      <c r="A346" t="str">
        <f>IF(AND(Formulario!D358&lt;&gt;"",ISNUMBER(Formulario!D358)),Formulario!D358,"")</f>
        <v/>
      </c>
      <c r="B346" s="146" t="str">
        <f>IF(AND(Formulario!F358&lt;&gt;"", Formulario!F358&lt;&gt;"",A346&lt;&gt;""),Formulario!F358,"")</f>
        <v/>
      </c>
      <c r="C346" s="146" t="str">
        <f>IF(AND(Formulario!D358&lt;&gt;"", Formulario!E358&lt;&gt;"",A346&lt;&gt;""),Formulario!E358,"")</f>
        <v/>
      </c>
      <c r="D346" s="55" t="str">
        <f>IF('Cond SAP'!AA358="","",'Cond SAP'!AA358)</f>
        <v/>
      </c>
      <c r="E346" t="str">
        <f>IF(AND(Formulario!G358&lt;&gt;"",Formulario!Q358&lt;&gt;"",A346&lt;&gt;""),Formulario!Q358,"")</f>
        <v/>
      </c>
      <c r="F346" t="str" cm="1">
        <f t="array" aca="1" ref="F346" ca="1">IF(OR(A346="",B346=""),"",LEFT(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6" t="str">
        <f>IF(AND(Formulario!G358&lt;&gt;"",Formulario!G358&lt;&gt;"",A346&lt;&gt;""),Formulario!G358,"")</f>
        <v/>
      </c>
      <c r="I346" t="str">
        <f>IF(AND(Formulario!D358&lt;&gt;"",A346&lt;&gt;""),"UY10","")</f>
        <v/>
      </c>
      <c r="J346" t="str">
        <f>IF(AND(Formulario!D358&lt;&gt;"",A346&lt;&gt;""),"0001","")</f>
        <v/>
      </c>
      <c r="K346" t="str">
        <f>IF(AND(Formulario!D358&lt;&gt;"",A346&lt;&gt;""),"1","")</f>
        <v/>
      </c>
    </row>
    <row r="347" spans="1:11" x14ac:dyDescent="0.3">
      <c r="A347" t="str">
        <f>IF(AND(Formulario!D359&lt;&gt;"",ISNUMBER(Formulario!D359)),Formulario!D359,"")</f>
        <v/>
      </c>
      <c r="B347" s="146" t="str">
        <f>IF(AND(Formulario!F359&lt;&gt;"", Formulario!F359&lt;&gt;"",A347&lt;&gt;""),Formulario!F359,"")</f>
        <v/>
      </c>
      <c r="C347" s="146" t="str">
        <f>IF(AND(Formulario!D359&lt;&gt;"", Formulario!E359&lt;&gt;"",A347&lt;&gt;""),Formulario!E359,"")</f>
        <v/>
      </c>
      <c r="D347" s="55" t="str">
        <f>IF('Cond SAP'!AA359="","",'Cond SAP'!AA359)</f>
        <v/>
      </c>
      <c r="E347" t="str">
        <f>IF(AND(Formulario!G359&lt;&gt;"",Formulario!Q359&lt;&gt;"",A347&lt;&gt;""),Formulario!Q359,"")</f>
        <v/>
      </c>
      <c r="F347" t="str" cm="1">
        <f t="array" aca="1" ref="F347" ca="1">IF(OR(A347="",B347=""),"",LEFT(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7" t="str">
        <f>IF(AND(Formulario!G359&lt;&gt;"",Formulario!G359&lt;&gt;"",A347&lt;&gt;""),Formulario!G359,"")</f>
        <v/>
      </c>
      <c r="I347" t="str">
        <f>IF(AND(Formulario!D359&lt;&gt;"",A347&lt;&gt;""),"UY10","")</f>
        <v/>
      </c>
      <c r="J347" t="str">
        <f>IF(AND(Formulario!D359&lt;&gt;"",A347&lt;&gt;""),"0001","")</f>
        <v/>
      </c>
      <c r="K347" t="str">
        <f>IF(AND(Formulario!D359&lt;&gt;"",A347&lt;&gt;""),"1","")</f>
        <v/>
      </c>
    </row>
    <row r="348" spans="1:11" x14ac:dyDescent="0.3">
      <c r="A348" t="str">
        <f>IF(AND(Formulario!D360&lt;&gt;"",ISNUMBER(Formulario!D360)),Formulario!D360,"")</f>
        <v/>
      </c>
      <c r="B348" s="146" t="str">
        <f>IF(AND(Formulario!F360&lt;&gt;"", Formulario!F360&lt;&gt;"",A348&lt;&gt;""),Formulario!F360,"")</f>
        <v/>
      </c>
      <c r="C348" s="146" t="str">
        <f>IF(AND(Formulario!D360&lt;&gt;"", Formulario!E360&lt;&gt;"",A348&lt;&gt;""),Formulario!E360,"")</f>
        <v/>
      </c>
      <c r="D348" s="55" t="str">
        <f>IF('Cond SAP'!AA360="","",'Cond SAP'!AA360)</f>
        <v/>
      </c>
      <c r="E348" t="str">
        <f>IF(AND(Formulario!G360&lt;&gt;"",Formulario!Q360&lt;&gt;"",A348&lt;&gt;""),Formulario!Q360,"")</f>
        <v/>
      </c>
      <c r="F348" t="str" cm="1">
        <f t="array" aca="1" ref="F348" ca="1">IF(OR(A348="",B348=""),"",LEFT(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8" t="str">
        <f>IF(AND(Formulario!G360&lt;&gt;"",Formulario!G360&lt;&gt;"",A348&lt;&gt;""),Formulario!G360,"")</f>
        <v/>
      </c>
      <c r="I348" t="str">
        <f>IF(AND(Formulario!D360&lt;&gt;"",A348&lt;&gt;""),"UY10","")</f>
        <v/>
      </c>
      <c r="J348" t="str">
        <f>IF(AND(Formulario!D360&lt;&gt;"",A348&lt;&gt;""),"0001","")</f>
        <v/>
      </c>
      <c r="K348" t="str">
        <f>IF(AND(Formulario!D360&lt;&gt;"",A348&lt;&gt;""),"1","")</f>
        <v/>
      </c>
    </row>
    <row r="349" spans="1:11" x14ac:dyDescent="0.3">
      <c r="A349" t="str">
        <f>IF(AND(Formulario!D361&lt;&gt;"",ISNUMBER(Formulario!D361)),Formulario!D361,"")</f>
        <v/>
      </c>
      <c r="B349" s="146" t="str">
        <f>IF(AND(Formulario!F361&lt;&gt;"", Formulario!F361&lt;&gt;"",A349&lt;&gt;""),Formulario!F361,"")</f>
        <v/>
      </c>
      <c r="C349" s="146" t="str">
        <f>IF(AND(Formulario!D361&lt;&gt;"", Formulario!E361&lt;&gt;"",A349&lt;&gt;""),Formulario!E361,"")</f>
        <v/>
      </c>
      <c r="D349" s="55" t="str">
        <f>IF('Cond SAP'!AA361="","",'Cond SAP'!AA361)</f>
        <v/>
      </c>
      <c r="E349" t="str">
        <f>IF(AND(Formulario!G361&lt;&gt;"",Formulario!Q361&lt;&gt;"",A349&lt;&gt;""),Formulario!Q361,"")</f>
        <v/>
      </c>
      <c r="F349" t="str" cm="1">
        <f t="array" aca="1" ref="F349" ca="1">IF(OR(A349="",B349=""),"",LEFT(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49" t="str">
        <f>IF(AND(Formulario!G361&lt;&gt;"",Formulario!G361&lt;&gt;"",A349&lt;&gt;""),Formulario!G361,"")</f>
        <v/>
      </c>
      <c r="I349" t="str">
        <f>IF(AND(Formulario!D361&lt;&gt;"",A349&lt;&gt;""),"UY10","")</f>
        <v/>
      </c>
      <c r="J349" t="str">
        <f>IF(AND(Formulario!D361&lt;&gt;"",A349&lt;&gt;""),"0001","")</f>
        <v/>
      </c>
      <c r="K349" t="str">
        <f>IF(AND(Formulario!D361&lt;&gt;"",A349&lt;&gt;""),"1","")</f>
        <v/>
      </c>
    </row>
    <row r="350" spans="1:11" x14ac:dyDescent="0.3">
      <c r="A350" t="str">
        <f>IF(AND(Formulario!D362&lt;&gt;"",ISNUMBER(Formulario!D362)),Formulario!D362,"")</f>
        <v/>
      </c>
      <c r="B350" s="146" t="str">
        <f>IF(AND(Formulario!F362&lt;&gt;"", Formulario!F362&lt;&gt;"",A350&lt;&gt;""),Formulario!F362,"")</f>
        <v/>
      </c>
      <c r="C350" s="146" t="str">
        <f>IF(AND(Formulario!D362&lt;&gt;"", Formulario!E362&lt;&gt;"",A350&lt;&gt;""),Formulario!E362,"")</f>
        <v/>
      </c>
      <c r="D350" s="55" t="str">
        <f>IF('Cond SAP'!AA362="","",'Cond SAP'!AA362)</f>
        <v/>
      </c>
      <c r="E350" t="str">
        <f>IF(AND(Formulario!G362&lt;&gt;"",Formulario!Q362&lt;&gt;"",A350&lt;&gt;""),Formulario!Q362,"")</f>
        <v/>
      </c>
      <c r="F350" t="str" cm="1">
        <f t="array" aca="1" ref="F350" ca="1">IF(OR(A350="",B350=""),"",LEFT(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0" t="str">
        <f>IF(AND(Formulario!G362&lt;&gt;"",Formulario!G362&lt;&gt;"",A350&lt;&gt;""),Formulario!G362,"")</f>
        <v/>
      </c>
      <c r="I350" t="str">
        <f>IF(AND(Formulario!D362&lt;&gt;"",A350&lt;&gt;""),"UY10","")</f>
        <v/>
      </c>
      <c r="J350" t="str">
        <f>IF(AND(Formulario!D362&lt;&gt;"",A350&lt;&gt;""),"0001","")</f>
        <v/>
      </c>
      <c r="K350" t="str">
        <f>IF(AND(Formulario!D362&lt;&gt;"",A350&lt;&gt;""),"1","")</f>
        <v/>
      </c>
    </row>
    <row r="351" spans="1:11" x14ac:dyDescent="0.3">
      <c r="A351" t="str">
        <f>IF(AND(Formulario!D363&lt;&gt;"",ISNUMBER(Formulario!D363)),Formulario!D363,"")</f>
        <v/>
      </c>
      <c r="B351" s="146" t="str">
        <f>IF(AND(Formulario!F363&lt;&gt;"", Formulario!F363&lt;&gt;"",A351&lt;&gt;""),Formulario!F363,"")</f>
        <v/>
      </c>
      <c r="C351" s="146" t="str">
        <f>IF(AND(Formulario!D363&lt;&gt;"", Formulario!E363&lt;&gt;"",A351&lt;&gt;""),Formulario!E363,"")</f>
        <v/>
      </c>
      <c r="D351" s="55" t="str">
        <f>IF('Cond SAP'!AA363="","",'Cond SAP'!AA363)</f>
        <v/>
      </c>
      <c r="E351" t="str">
        <f>IF(AND(Formulario!G363&lt;&gt;"",Formulario!Q363&lt;&gt;"",A351&lt;&gt;""),Formulario!Q363,"")</f>
        <v/>
      </c>
      <c r="F351" t="str" cm="1">
        <f t="array" aca="1" ref="F351" ca="1">IF(OR(A351="",B351=""),"",LEFT(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1" t="str">
        <f>IF(AND(Formulario!G363&lt;&gt;"",Formulario!G363&lt;&gt;"",A351&lt;&gt;""),Formulario!G363,"")</f>
        <v/>
      </c>
      <c r="I351" t="str">
        <f>IF(AND(Formulario!D363&lt;&gt;"",A351&lt;&gt;""),"UY10","")</f>
        <v/>
      </c>
      <c r="J351" t="str">
        <f>IF(AND(Formulario!D363&lt;&gt;"",A351&lt;&gt;""),"0001","")</f>
        <v/>
      </c>
      <c r="K351" t="str">
        <f>IF(AND(Formulario!D363&lt;&gt;"",A351&lt;&gt;""),"1","")</f>
        <v/>
      </c>
    </row>
    <row r="352" spans="1:11" x14ac:dyDescent="0.3">
      <c r="A352" t="str">
        <f>IF(AND(Formulario!D364&lt;&gt;"",ISNUMBER(Formulario!D364)),Formulario!D364,"")</f>
        <v/>
      </c>
      <c r="B352" s="146" t="str">
        <f>IF(AND(Formulario!F364&lt;&gt;"", Formulario!F364&lt;&gt;"",A352&lt;&gt;""),Formulario!F364,"")</f>
        <v/>
      </c>
      <c r="C352" s="146" t="str">
        <f>IF(AND(Formulario!D364&lt;&gt;"", Formulario!E364&lt;&gt;"",A352&lt;&gt;""),Formulario!E364,"")</f>
        <v/>
      </c>
      <c r="D352" s="55" t="str">
        <f>IF('Cond SAP'!AA364="","",'Cond SAP'!AA364)</f>
        <v/>
      </c>
      <c r="E352" t="str">
        <f>IF(AND(Formulario!G364&lt;&gt;"",Formulario!Q364&lt;&gt;"",A352&lt;&gt;""),Formulario!Q364,"")</f>
        <v/>
      </c>
      <c r="F352" t="str" cm="1">
        <f t="array" aca="1" ref="F352" ca="1">IF(OR(A352="",B352=""),"",LEFT(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2" t="str">
        <f>IF(AND(Formulario!G364&lt;&gt;"",Formulario!G364&lt;&gt;"",A352&lt;&gt;""),Formulario!G364,"")</f>
        <v/>
      </c>
      <c r="I352" t="str">
        <f>IF(AND(Formulario!D364&lt;&gt;"",A352&lt;&gt;""),"UY10","")</f>
        <v/>
      </c>
      <c r="J352" t="str">
        <f>IF(AND(Formulario!D364&lt;&gt;"",A352&lt;&gt;""),"0001","")</f>
        <v/>
      </c>
      <c r="K352" t="str">
        <f>IF(AND(Formulario!D364&lt;&gt;"",A352&lt;&gt;""),"1","")</f>
        <v/>
      </c>
    </row>
    <row r="353" spans="1:11" x14ac:dyDescent="0.3">
      <c r="A353" t="str">
        <f>IF(AND(Formulario!D365&lt;&gt;"",ISNUMBER(Formulario!D365)),Formulario!D365,"")</f>
        <v/>
      </c>
      <c r="B353" s="146" t="str">
        <f>IF(AND(Formulario!F365&lt;&gt;"", Formulario!F365&lt;&gt;"",A353&lt;&gt;""),Formulario!F365,"")</f>
        <v/>
      </c>
      <c r="C353" s="146" t="str">
        <f>IF(AND(Formulario!D365&lt;&gt;"", Formulario!E365&lt;&gt;"",A353&lt;&gt;""),Formulario!E365,"")</f>
        <v/>
      </c>
      <c r="D353" s="55" t="str">
        <f>IF('Cond SAP'!AA365="","",'Cond SAP'!AA365)</f>
        <v/>
      </c>
      <c r="E353" t="str">
        <f>IF(AND(Formulario!G365&lt;&gt;"",Formulario!Q365&lt;&gt;"",A353&lt;&gt;""),Formulario!Q365,"")</f>
        <v/>
      </c>
      <c r="F353" t="str" cm="1">
        <f t="array" aca="1" ref="F353" ca="1">IF(OR(A353="",B353=""),"",LEFT(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3" t="str">
        <f>IF(AND(Formulario!G365&lt;&gt;"",Formulario!G365&lt;&gt;"",A353&lt;&gt;""),Formulario!G365,"")</f>
        <v/>
      </c>
      <c r="I353" t="str">
        <f>IF(AND(Formulario!D365&lt;&gt;"",A353&lt;&gt;""),"UY10","")</f>
        <v/>
      </c>
      <c r="J353" t="str">
        <f>IF(AND(Formulario!D365&lt;&gt;"",A353&lt;&gt;""),"0001","")</f>
        <v/>
      </c>
      <c r="K353" t="str">
        <f>IF(AND(Formulario!D365&lt;&gt;"",A353&lt;&gt;""),"1","")</f>
        <v/>
      </c>
    </row>
    <row r="354" spans="1:11" x14ac:dyDescent="0.3">
      <c r="A354" t="str">
        <f>IF(AND(Formulario!D366&lt;&gt;"",ISNUMBER(Formulario!D366)),Formulario!D366,"")</f>
        <v/>
      </c>
      <c r="B354" s="146" t="str">
        <f>IF(AND(Formulario!F366&lt;&gt;"", Formulario!F366&lt;&gt;"",A354&lt;&gt;""),Formulario!F366,"")</f>
        <v/>
      </c>
      <c r="C354" s="146" t="str">
        <f>IF(AND(Formulario!D366&lt;&gt;"", Formulario!E366&lt;&gt;"",A354&lt;&gt;""),Formulario!E366,"")</f>
        <v/>
      </c>
      <c r="D354" s="55" t="str">
        <f>IF('Cond SAP'!AA366="","",'Cond SAP'!AA366)</f>
        <v/>
      </c>
      <c r="E354" t="str">
        <f>IF(AND(Formulario!G366&lt;&gt;"",Formulario!Q366&lt;&gt;"",A354&lt;&gt;""),Formulario!Q366,"")</f>
        <v/>
      </c>
      <c r="F354" t="str" cm="1">
        <f t="array" aca="1" ref="F354" ca="1">IF(OR(A354="",B354=""),"",LEFT(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4" t="str">
        <f>IF(AND(Formulario!G366&lt;&gt;"",Formulario!G366&lt;&gt;"",A354&lt;&gt;""),Formulario!G366,"")</f>
        <v/>
      </c>
      <c r="I354" t="str">
        <f>IF(AND(Formulario!D366&lt;&gt;"",A354&lt;&gt;""),"UY10","")</f>
        <v/>
      </c>
      <c r="J354" t="str">
        <f>IF(AND(Formulario!D366&lt;&gt;"",A354&lt;&gt;""),"0001","")</f>
        <v/>
      </c>
      <c r="K354" t="str">
        <f>IF(AND(Formulario!D366&lt;&gt;"",A354&lt;&gt;""),"1","")</f>
        <v/>
      </c>
    </row>
    <row r="355" spans="1:11" x14ac:dyDescent="0.3">
      <c r="A355" t="str">
        <f>IF(AND(Formulario!D367&lt;&gt;"",ISNUMBER(Formulario!D367)),Formulario!D367,"")</f>
        <v/>
      </c>
      <c r="B355" s="146" t="str">
        <f>IF(AND(Formulario!F367&lt;&gt;"", Formulario!F367&lt;&gt;"",A355&lt;&gt;""),Formulario!F367,"")</f>
        <v/>
      </c>
      <c r="C355" s="146" t="str">
        <f>IF(AND(Formulario!D367&lt;&gt;"", Formulario!E367&lt;&gt;"",A355&lt;&gt;""),Formulario!E367,"")</f>
        <v/>
      </c>
      <c r="D355" s="55" t="str">
        <f>IF('Cond SAP'!AA367="","",'Cond SAP'!AA367)</f>
        <v/>
      </c>
      <c r="E355" t="str">
        <f>IF(AND(Formulario!G367&lt;&gt;"",Formulario!Q367&lt;&gt;"",A355&lt;&gt;""),Formulario!Q367,"")</f>
        <v/>
      </c>
      <c r="F355" t="str" cm="1">
        <f t="array" aca="1" ref="F355" ca="1">IF(OR(A355="",B355=""),"",LEFT(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5" t="str">
        <f>IF(AND(Formulario!G367&lt;&gt;"",Formulario!G367&lt;&gt;"",A355&lt;&gt;""),Formulario!G367,"")</f>
        <v/>
      </c>
      <c r="I355" t="str">
        <f>IF(AND(Formulario!D367&lt;&gt;"",A355&lt;&gt;""),"UY10","")</f>
        <v/>
      </c>
      <c r="J355" t="str">
        <f>IF(AND(Formulario!D367&lt;&gt;"",A355&lt;&gt;""),"0001","")</f>
        <v/>
      </c>
      <c r="K355" t="str">
        <f>IF(AND(Formulario!D367&lt;&gt;"",A355&lt;&gt;""),"1","")</f>
        <v/>
      </c>
    </row>
    <row r="356" spans="1:11" x14ac:dyDescent="0.3">
      <c r="A356" t="str">
        <f>IF(AND(Formulario!D368&lt;&gt;"",ISNUMBER(Formulario!D368)),Formulario!D368,"")</f>
        <v/>
      </c>
      <c r="B356" s="146" t="str">
        <f>IF(AND(Formulario!F368&lt;&gt;"", Formulario!F368&lt;&gt;"",A356&lt;&gt;""),Formulario!F368,"")</f>
        <v/>
      </c>
      <c r="C356" s="146" t="str">
        <f>IF(AND(Formulario!D368&lt;&gt;"", Formulario!E368&lt;&gt;"",A356&lt;&gt;""),Formulario!E368,"")</f>
        <v/>
      </c>
      <c r="D356" s="55" t="str">
        <f>IF('Cond SAP'!AA368="","",'Cond SAP'!AA368)</f>
        <v/>
      </c>
      <c r="E356" t="str">
        <f>IF(AND(Formulario!G368&lt;&gt;"",Formulario!Q368&lt;&gt;"",A356&lt;&gt;""),Formulario!Q368,"")</f>
        <v/>
      </c>
      <c r="F356" t="str" cm="1">
        <f t="array" aca="1" ref="F356" ca="1">IF(OR(A356="",B356=""),"",LEFT(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6" t="str">
        <f>IF(AND(Formulario!G368&lt;&gt;"",Formulario!G368&lt;&gt;"",A356&lt;&gt;""),Formulario!G368,"")</f>
        <v/>
      </c>
      <c r="I356" t="str">
        <f>IF(AND(Formulario!D368&lt;&gt;"",A356&lt;&gt;""),"UY10","")</f>
        <v/>
      </c>
      <c r="J356" t="str">
        <f>IF(AND(Formulario!D368&lt;&gt;"",A356&lt;&gt;""),"0001","")</f>
        <v/>
      </c>
      <c r="K356" t="str">
        <f>IF(AND(Formulario!D368&lt;&gt;"",A356&lt;&gt;""),"1","")</f>
        <v/>
      </c>
    </row>
    <row r="357" spans="1:11" x14ac:dyDescent="0.3">
      <c r="A357" t="str">
        <f>IF(AND(Formulario!D369&lt;&gt;"",ISNUMBER(Formulario!D369)),Formulario!D369,"")</f>
        <v/>
      </c>
      <c r="B357" s="146" t="str">
        <f>IF(AND(Formulario!F369&lt;&gt;"", Formulario!F369&lt;&gt;"",A357&lt;&gt;""),Formulario!F369,"")</f>
        <v/>
      </c>
      <c r="C357" s="146" t="str">
        <f>IF(AND(Formulario!D369&lt;&gt;"", Formulario!E369&lt;&gt;"",A357&lt;&gt;""),Formulario!E369,"")</f>
        <v/>
      </c>
      <c r="D357" s="55" t="str">
        <f>IF('Cond SAP'!AA369="","",'Cond SAP'!AA369)</f>
        <v/>
      </c>
      <c r="E357" t="str">
        <f>IF(AND(Formulario!G369&lt;&gt;"",Formulario!Q369&lt;&gt;"",A357&lt;&gt;""),Formulario!Q369,"")</f>
        <v/>
      </c>
      <c r="F357" t="str" cm="1">
        <f t="array" aca="1" ref="F357" ca="1">IF(OR(A357="",B357=""),"",LEFT(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7" t="str">
        <f>IF(AND(Formulario!G369&lt;&gt;"",Formulario!G369&lt;&gt;"",A357&lt;&gt;""),Formulario!G369,"")</f>
        <v/>
      </c>
      <c r="I357" t="str">
        <f>IF(AND(Formulario!D369&lt;&gt;"",A357&lt;&gt;""),"UY10","")</f>
        <v/>
      </c>
      <c r="J357" t="str">
        <f>IF(AND(Formulario!D369&lt;&gt;"",A357&lt;&gt;""),"0001","")</f>
        <v/>
      </c>
      <c r="K357" t="str">
        <f>IF(AND(Formulario!D369&lt;&gt;"",A357&lt;&gt;""),"1","")</f>
        <v/>
      </c>
    </row>
    <row r="358" spans="1:11" x14ac:dyDescent="0.3">
      <c r="A358" t="str">
        <f>IF(AND(Formulario!D370&lt;&gt;"",ISNUMBER(Formulario!D370)),Formulario!D370,"")</f>
        <v/>
      </c>
      <c r="B358" s="146" t="str">
        <f>IF(AND(Formulario!F370&lt;&gt;"", Formulario!F370&lt;&gt;"",A358&lt;&gt;""),Formulario!F370,"")</f>
        <v/>
      </c>
      <c r="C358" s="146" t="str">
        <f>IF(AND(Formulario!D370&lt;&gt;"", Formulario!E370&lt;&gt;"",A358&lt;&gt;""),Formulario!E370,"")</f>
        <v/>
      </c>
      <c r="D358" s="55" t="str">
        <f>IF('Cond SAP'!AA370="","",'Cond SAP'!AA370)</f>
        <v/>
      </c>
      <c r="E358" t="str">
        <f>IF(AND(Formulario!G370&lt;&gt;"",Formulario!Q370&lt;&gt;"",A358&lt;&gt;""),Formulario!Q370,"")</f>
        <v/>
      </c>
      <c r="F358" t="str" cm="1">
        <f t="array" aca="1" ref="F358" ca="1">IF(OR(A358="",B358=""),"",LEFT(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8" t="str">
        <f>IF(AND(Formulario!G370&lt;&gt;"",Formulario!G370&lt;&gt;"",A358&lt;&gt;""),Formulario!G370,"")</f>
        <v/>
      </c>
      <c r="I358" t="str">
        <f>IF(AND(Formulario!D370&lt;&gt;"",A358&lt;&gt;""),"UY10","")</f>
        <v/>
      </c>
      <c r="J358" t="str">
        <f>IF(AND(Formulario!D370&lt;&gt;"",A358&lt;&gt;""),"0001","")</f>
        <v/>
      </c>
      <c r="K358" t="str">
        <f>IF(AND(Formulario!D370&lt;&gt;"",A358&lt;&gt;""),"1","")</f>
        <v/>
      </c>
    </row>
    <row r="359" spans="1:11" x14ac:dyDescent="0.3">
      <c r="A359" t="str">
        <f>IF(AND(Formulario!D371&lt;&gt;"",ISNUMBER(Formulario!D371)),Formulario!D371,"")</f>
        <v/>
      </c>
      <c r="B359" s="146" t="str">
        <f>IF(AND(Formulario!F371&lt;&gt;"", Formulario!F371&lt;&gt;"",A359&lt;&gt;""),Formulario!F371,"")</f>
        <v/>
      </c>
      <c r="C359" s="146" t="str">
        <f>IF(AND(Formulario!D371&lt;&gt;"", Formulario!E371&lt;&gt;"",A359&lt;&gt;""),Formulario!E371,"")</f>
        <v/>
      </c>
      <c r="D359" s="55" t="str">
        <f>IF('Cond SAP'!AA371="","",'Cond SAP'!AA371)</f>
        <v/>
      </c>
      <c r="E359" t="str">
        <f>IF(AND(Formulario!G371&lt;&gt;"",Formulario!Q371&lt;&gt;"",A359&lt;&gt;""),Formulario!Q371,"")</f>
        <v/>
      </c>
      <c r="F359" t="str" cm="1">
        <f t="array" aca="1" ref="F359" ca="1">IF(OR(A359="",B359=""),"",LEFT(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59" t="str">
        <f>IF(AND(Formulario!G371&lt;&gt;"",Formulario!G371&lt;&gt;"",A359&lt;&gt;""),Formulario!G371,"")</f>
        <v/>
      </c>
      <c r="I359" t="str">
        <f>IF(AND(Formulario!D371&lt;&gt;"",A359&lt;&gt;""),"UY10","")</f>
        <v/>
      </c>
      <c r="J359" t="str">
        <f>IF(AND(Formulario!D371&lt;&gt;"",A359&lt;&gt;""),"0001","")</f>
        <v/>
      </c>
      <c r="K359" t="str">
        <f>IF(AND(Formulario!D371&lt;&gt;"",A359&lt;&gt;""),"1","")</f>
        <v/>
      </c>
    </row>
    <row r="360" spans="1:11" x14ac:dyDescent="0.3">
      <c r="A360" t="str">
        <f>IF(AND(Formulario!D372&lt;&gt;"",ISNUMBER(Formulario!D372)),Formulario!D372,"")</f>
        <v/>
      </c>
      <c r="B360" s="146" t="str">
        <f>IF(AND(Formulario!F372&lt;&gt;"", Formulario!F372&lt;&gt;"",A360&lt;&gt;""),Formulario!F372,"")</f>
        <v/>
      </c>
      <c r="C360" s="146" t="str">
        <f>IF(AND(Formulario!D372&lt;&gt;"", Formulario!E372&lt;&gt;"",A360&lt;&gt;""),Formulario!E372,"")</f>
        <v/>
      </c>
      <c r="D360" s="55" t="str">
        <f>IF('Cond SAP'!AA372="","",'Cond SAP'!AA372)</f>
        <v/>
      </c>
      <c r="E360" t="str">
        <f>IF(AND(Formulario!G372&lt;&gt;"",Formulario!Q372&lt;&gt;"",A360&lt;&gt;""),Formulario!Q372,"")</f>
        <v/>
      </c>
      <c r="F360" t="str" cm="1">
        <f t="array" aca="1" ref="F360" ca="1">IF(OR(A360="",B360=""),"",LEFT(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0" t="str">
        <f>IF(AND(Formulario!G372&lt;&gt;"",Formulario!G372&lt;&gt;"",A360&lt;&gt;""),Formulario!G372,"")</f>
        <v/>
      </c>
      <c r="I360" t="str">
        <f>IF(AND(Formulario!D372&lt;&gt;"",A360&lt;&gt;""),"UY10","")</f>
        <v/>
      </c>
      <c r="J360" t="str">
        <f>IF(AND(Formulario!D372&lt;&gt;"",A360&lt;&gt;""),"0001","")</f>
        <v/>
      </c>
      <c r="K360" t="str">
        <f>IF(AND(Formulario!D372&lt;&gt;"",A360&lt;&gt;""),"1","")</f>
        <v/>
      </c>
    </row>
    <row r="361" spans="1:11" x14ac:dyDescent="0.3">
      <c r="A361" t="str">
        <f>IF(AND(Formulario!D373&lt;&gt;"",ISNUMBER(Formulario!D373)),Formulario!D373,"")</f>
        <v/>
      </c>
      <c r="B361" s="146" t="str">
        <f>IF(AND(Formulario!F373&lt;&gt;"", Formulario!F373&lt;&gt;"",A361&lt;&gt;""),Formulario!F373,"")</f>
        <v/>
      </c>
      <c r="C361" s="146" t="str">
        <f>IF(AND(Formulario!D373&lt;&gt;"", Formulario!E373&lt;&gt;"",A361&lt;&gt;""),Formulario!E373,"")</f>
        <v/>
      </c>
      <c r="D361" s="55" t="str">
        <f>IF('Cond SAP'!AA373="","",'Cond SAP'!AA373)</f>
        <v/>
      </c>
      <c r="E361" t="str">
        <f>IF(AND(Formulario!G373&lt;&gt;"",Formulario!Q373&lt;&gt;"",A361&lt;&gt;""),Formulario!Q373,"")</f>
        <v/>
      </c>
      <c r="F361" t="str" cm="1">
        <f t="array" aca="1" ref="F361" ca="1">IF(OR(A361="",B361=""),"",LEFT(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1" t="str">
        <f>IF(AND(Formulario!G373&lt;&gt;"",Formulario!G373&lt;&gt;"",A361&lt;&gt;""),Formulario!G373,"")</f>
        <v/>
      </c>
      <c r="I361" t="str">
        <f>IF(AND(Formulario!D373&lt;&gt;"",A361&lt;&gt;""),"UY10","")</f>
        <v/>
      </c>
      <c r="J361" t="str">
        <f>IF(AND(Formulario!D373&lt;&gt;"",A361&lt;&gt;""),"0001","")</f>
        <v/>
      </c>
      <c r="K361" t="str">
        <f>IF(AND(Formulario!D373&lt;&gt;"",A361&lt;&gt;""),"1","")</f>
        <v/>
      </c>
    </row>
    <row r="362" spans="1:11" x14ac:dyDescent="0.3">
      <c r="A362" t="str">
        <f>IF(AND(Formulario!D374&lt;&gt;"",ISNUMBER(Formulario!D374)),Formulario!D374,"")</f>
        <v/>
      </c>
      <c r="B362" s="146" t="str">
        <f>IF(AND(Formulario!F374&lt;&gt;"", Formulario!F374&lt;&gt;"",A362&lt;&gt;""),Formulario!F374,"")</f>
        <v/>
      </c>
      <c r="C362" s="146" t="str">
        <f>IF(AND(Formulario!D374&lt;&gt;"", Formulario!E374&lt;&gt;"",A362&lt;&gt;""),Formulario!E374,"")</f>
        <v/>
      </c>
      <c r="D362" s="55" t="str">
        <f>IF('Cond SAP'!AA374="","",'Cond SAP'!AA374)</f>
        <v/>
      </c>
      <c r="E362" t="str">
        <f>IF(AND(Formulario!G374&lt;&gt;"",Formulario!Q374&lt;&gt;"",A362&lt;&gt;""),Formulario!Q374,"")</f>
        <v/>
      </c>
      <c r="F362" t="str" cm="1">
        <f t="array" aca="1" ref="F362" ca="1">IF(OR(A362="",B362=""),"",LEFT(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2" t="str">
        <f>IF(AND(Formulario!G374&lt;&gt;"",Formulario!G374&lt;&gt;"",A362&lt;&gt;""),Formulario!G374,"")</f>
        <v/>
      </c>
      <c r="I362" t="str">
        <f>IF(AND(Formulario!D374&lt;&gt;"",A362&lt;&gt;""),"UY10","")</f>
        <v/>
      </c>
      <c r="J362" t="str">
        <f>IF(AND(Formulario!D374&lt;&gt;"",A362&lt;&gt;""),"0001","")</f>
        <v/>
      </c>
      <c r="K362" t="str">
        <f>IF(AND(Formulario!D374&lt;&gt;"",A362&lt;&gt;""),"1","")</f>
        <v/>
      </c>
    </row>
    <row r="363" spans="1:11" x14ac:dyDescent="0.3">
      <c r="A363" t="str">
        <f>IF(AND(Formulario!D375&lt;&gt;"",ISNUMBER(Formulario!D375)),Formulario!D375,"")</f>
        <v/>
      </c>
      <c r="B363" s="146" t="str">
        <f>IF(AND(Formulario!F375&lt;&gt;"", Formulario!F375&lt;&gt;"",A363&lt;&gt;""),Formulario!F375,"")</f>
        <v/>
      </c>
      <c r="C363" s="146" t="str">
        <f>IF(AND(Formulario!D375&lt;&gt;"", Formulario!E375&lt;&gt;"",A363&lt;&gt;""),Formulario!E375,"")</f>
        <v/>
      </c>
      <c r="D363" s="55" t="str">
        <f>IF('Cond SAP'!AA375="","",'Cond SAP'!AA375)</f>
        <v/>
      </c>
      <c r="E363" t="str">
        <f>IF(AND(Formulario!G375&lt;&gt;"",Formulario!Q375&lt;&gt;"",A363&lt;&gt;""),Formulario!Q375,"")</f>
        <v/>
      </c>
      <c r="F363" t="str" cm="1">
        <f t="array" aca="1" ref="F363" ca="1">IF(OR(A363="",B363=""),"",LEFT(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3" t="str">
        <f>IF(AND(Formulario!G375&lt;&gt;"",Formulario!G375&lt;&gt;"",A363&lt;&gt;""),Formulario!G375,"")</f>
        <v/>
      </c>
      <c r="I363" t="str">
        <f>IF(AND(Formulario!D375&lt;&gt;"",A363&lt;&gt;""),"UY10","")</f>
        <v/>
      </c>
      <c r="J363" t="str">
        <f>IF(AND(Formulario!D375&lt;&gt;"",A363&lt;&gt;""),"0001","")</f>
        <v/>
      </c>
      <c r="K363" t="str">
        <f>IF(AND(Formulario!D375&lt;&gt;"",A363&lt;&gt;""),"1","")</f>
        <v/>
      </c>
    </row>
    <row r="364" spans="1:11" x14ac:dyDescent="0.3">
      <c r="A364" t="str">
        <f>IF(AND(Formulario!D376&lt;&gt;"",ISNUMBER(Formulario!D376)),Formulario!D376,"")</f>
        <v/>
      </c>
      <c r="B364" s="146" t="str">
        <f>IF(AND(Formulario!F376&lt;&gt;"", Formulario!F376&lt;&gt;"",A364&lt;&gt;""),Formulario!F376,"")</f>
        <v/>
      </c>
      <c r="C364" s="146" t="str">
        <f>IF(AND(Formulario!D376&lt;&gt;"", Formulario!E376&lt;&gt;"",A364&lt;&gt;""),Formulario!E376,"")</f>
        <v/>
      </c>
      <c r="D364" s="55" t="str">
        <f>IF('Cond SAP'!AA376="","",'Cond SAP'!AA376)</f>
        <v/>
      </c>
      <c r="E364" t="str">
        <f>IF(AND(Formulario!G376&lt;&gt;"",Formulario!Q376&lt;&gt;"",A364&lt;&gt;""),Formulario!Q376,"")</f>
        <v/>
      </c>
      <c r="F364" t="str" cm="1">
        <f t="array" aca="1" ref="F364" ca="1">IF(OR(A364="",B364=""),"",LEFT(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4" t="str">
        <f>IF(AND(Formulario!G376&lt;&gt;"",Formulario!G376&lt;&gt;"",A364&lt;&gt;""),Formulario!G376,"")</f>
        <v/>
      </c>
      <c r="I364" t="str">
        <f>IF(AND(Formulario!D376&lt;&gt;"",A364&lt;&gt;""),"UY10","")</f>
        <v/>
      </c>
      <c r="J364" t="str">
        <f>IF(AND(Formulario!D376&lt;&gt;"",A364&lt;&gt;""),"0001","")</f>
        <v/>
      </c>
      <c r="K364" t="str">
        <f>IF(AND(Formulario!D376&lt;&gt;"",A364&lt;&gt;""),"1","")</f>
        <v/>
      </c>
    </row>
    <row r="365" spans="1:11" x14ac:dyDescent="0.3">
      <c r="A365" t="str">
        <f>IF(AND(Formulario!D377&lt;&gt;"",ISNUMBER(Formulario!D377)),Formulario!D377,"")</f>
        <v/>
      </c>
      <c r="B365" s="146" t="str">
        <f>IF(AND(Formulario!F377&lt;&gt;"", Formulario!F377&lt;&gt;"",A365&lt;&gt;""),Formulario!F377,"")</f>
        <v/>
      </c>
      <c r="C365" s="146" t="str">
        <f>IF(AND(Formulario!D377&lt;&gt;"", Formulario!E377&lt;&gt;"",A365&lt;&gt;""),Formulario!E377,"")</f>
        <v/>
      </c>
      <c r="D365" s="55" t="str">
        <f>IF('Cond SAP'!AA377="","",'Cond SAP'!AA377)</f>
        <v/>
      </c>
      <c r="E365" t="str">
        <f>IF(AND(Formulario!G377&lt;&gt;"",Formulario!Q377&lt;&gt;"",A365&lt;&gt;""),Formulario!Q377,"")</f>
        <v/>
      </c>
      <c r="F365" t="str" cm="1">
        <f t="array" aca="1" ref="F365" ca="1">IF(OR(A365="",B365=""),"",LEFT(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5" t="str">
        <f>IF(AND(Formulario!G377&lt;&gt;"",Formulario!G377&lt;&gt;"",A365&lt;&gt;""),Formulario!G377,"")</f>
        <v/>
      </c>
      <c r="I365" t="str">
        <f>IF(AND(Formulario!D377&lt;&gt;"",A365&lt;&gt;""),"UY10","")</f>
        <v/>
      </c>
      <c r="J365" t="str">
        <f>IF(AND(Formulario!D377&lt;&gt;"",A365&lt;&gt;""),"0001","")</f>
        <v/>
      </c>
      <c r="K365" t="str">
        <f>IF(AND(Formulario!D377&lt;&gt;"",A365&lt;&gt;""),"1","")</f>
        <v/>
      </c>
    </row>
    <row r="366" spans="1:11" x14ac:dyDescent="0.3">
      <c r="A366" t="str">
        <f>IF(AND(Formulario!D378&lt;&gt;"",ISNUMBER(Formulario!D378)),Formulario!D378,"")</f>
        <v/>
      </c>
      <c r="B366" s="146" t="str">
        <f>IF(AND(Formulario!F378&lt;&gt;"", Formulario!F378&lt;&gt;"",A366&lt;&gt;""),Formulario!F378,"")</f>
        <v/>
      </c>
      <c r="C366" s="146" t="str">
        <f>IF(AND(Formulario!D378&lt;&gt;"", Formulario!E378&lt;&gt;"",A366&lt;&gt;""),Formulario!E378,"")</f>
        <v/>
      </c>
      <c r="D366" s="55" t="str">
        <f>IF('Cond SAP'!AA378="","",'Cond SAP'!AA378)</f>
        <v/>
      </c>
      <c r="E366" t="str">
        <f>IF(AND(Formulario!G378&lt;&gt;"",Formulario!Q378&lt;&gt;"",A366&lt;&gt;""),Formulario!Q378,"")</f>
        <v/>
      </c>
      <c r="F366" t="str" cm="1">
        <f t="array" aca="1" ref="F366" ca="1">IF(OR(A366="",B366=""),"",LEFT(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6" t="str">
        <f>IF(AND(Formulario!G378&lt;&gt;"",Formulario!G378&lt;&gt;"",A366&lt;&gt;""),Formulario!G378,"")</f>
        <v/>
      </c>
      <c r="I366" t="str">
        <f>IF(AND(Formulario!D378&lt;&gt;"",A366&lt;&gt;""),"UY10","")</f>
        <v/>
      </c>
      <c r="J366" t="str">
        <f>IF(AND(Formulario!D378&lt;&gt;"",A366&lt;&gt;""),"0001","")</f>
        <v/>
      </c>
      <c r="K366" t="str">
        <f>IF(AND(Formulario!D378&lt;&gt;"",A366&lt;&gt;""),"1","")</f>
        <v/>
      </c>
    </row>
    <row r="367" spans="1:11" x14ac:dyDescent="0.3">
      <c r="A367" t="str">
        <f>IF(AND(Formulario!D379&lt;&gt;"",ISNUMBER(Formulario!D379)),Formulario!D379,"")</f>
        <v/>
      </c>
      <c r="B367" s="146" t="str">
        <f>IF(AND(Formulario!F379&lt;&gt;"", Formulario!F379&lt;&gt;"",A367&lt;&gt;""),Formulario!F379,"")</f>
        <v/>
      </c>
      <c r="C367" s="146" t="str">
        <f>IF(AND(Formulario!D379&lt;&gt;"", Formulario!E379&lt;&gt;"",A367&lt;&gt;""),Formulario!E379,"")</f>
        <v/>
      </c>
      <c r="D367" s="55" t="str">
        <f>IF('Cond SAP'!AA379="","",'Cond SAP'!AA379)</f>
        <v/>
      </c>
      <c r="E367" t="str">
        <f>IF(AND(Formulario!G379&lt;&gt;"",Formulario!Q379&lt;&gt;"",A367&lt;&gt;""),Formulario!Q379,"")</f>
        <v/>
      </c>
      <c r="F367" t="str" cm="1">
        <f t="array" aca="1" ref="F367" ca="1">IF(OR(A367="",B367=""),"",LEFT(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7" t="str">
        <f>IF(AND(Formulario!G379&lt;&gt;"",Formulario!G379&lt;&gt;"",A367&lt;&gt;""),Formulario!G379,"")</f>
        <v/>
      </c>
      <c r="I367" t="str">
        <f>IF(AND(Formulario!D379&lt;&gt;"",A367&lt;&gt;""),"UY10","")</f>
        <v/>
      </c>
      <c r="J367" t="str">
        <f>IF(AND(Formulario!D379&lt;&gt;"",A367&lt;&gt;""),"0001","")</f>
        <v/>
      </c>
      <c r="K367" t="str">
        <f>IF(AND(Formulario!D379&lt;&gt;"",A367&lt;&gt;""),"1","")</f>
        <v/>
      </c>
    </row>
    <row r="368" spans="1:11" x14ac:dyDescent="0.3">
      <c r="A368" t="str">
        <f>IF(AND(Formulario!D380&lt;&gt;"",ISNUMBER(Formulario!D380)),Formulario!D380,"")</f>
        <v/>
      </c>
      <c r="B368" s="146" t="str">
        <f>IF(AND(Formulario!F380&lt;&gt;"", Formulario!F380&lt;&gt;"",A368&lt;&gt;""),Formulario!F380,"")</f>
        <v/>
      </c>
      <c r="C368" s="146" t="str">
        <f>IF(AND(Formulario!D380&lt;&gt;"", Formulario!E380&lt;&gt;"",A368&lt;&gt;""),Formulario!E380,"")</f>
        <v/>
      </c>
      <c r="D368" s="55" t="str">
        <f>IF('Cond SAP'!AA380="","",'Cond SAP'!AA380)</f>
        <v/>
      </c>
      <c r="E368" t="str">
        <f>IF(AND(Formulario!G380&lt;&gt;"",Formulario!Q380&lt;&gt;"",A368&lt;&gt;""),Formulario!Q380,"")</f>
        <v/>
      </c>
      <c r="F368" t="str" cm="1">
        <f t="array" aca="1" ref="F368" ca="1">IF(OR(A368="",B368=""),"",LEFT(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8" t="str">
        <f>IF(AND(Formulario!G380&lt;&gt;"",Formulario!G380&lt;&gt;"",A368&lt;&gt;""),Formulario!G380,"")</f>
        <v/>
      </c>
      <c r="I368" t="str">
        <f>IF(AND(Formulario!D380&lt;&gt;"",A368&lt;&gt;""),"UY10","")</f>
        <v/>
      </c>
      <c r="J368" t="str">
        <f>IF(AND(Formulario!D380&lt;&gt;"",A368&lt;&gt;""),"0001","")</f>
        <v/>
      </c>
      <c r="K368" t="str">
        <f>IF(AND(Formulario!D380&lt;&gt;"",A368&lt;&gt;""),"1","")</f>
        <v/>
      </c>
    </row>
    <row r="369" spans="1:11" x14ac:dyDescent="0.3">
      <c r="A369" t="str">
        <f>IF(AND(Formulario!D381&lt;&gt;"",ISNUMBER(Formulario!D381)),Formulario!D381,"")</f>
        <v/>
      </c>
      <c r="B369" s="146" t="str">
        <f>IF(AND(Formulario!F381&lt;&gt;"", Formulario!F381&lt;&gt;"",A369&lt;&gt;""),Formulario!F381,"")</f>
        <v/>
      </c>
      <c r="C369" s="146" t="str">
        <f>IF(AND(Formulario!D381&lt;&gt;"", Formulario!E381&lt;&gt;"",A369&lt;&gt;""),Formulario!E381,"")</f>
        <v/>
      </c>
      <c r="D369" s="55" t="str">
        <f>IF('Cond SAP'!AA381="","",'Cond SAP'!AA381)</f>
        <v/>
      </c>
      <c r="E369" t="str">
        <f>IF(AND(Formulario!G381&lt;&gt;"",Formulario!Q381&lt;&gt;"",A369&lt;&gt;""),Formulario!Q381,"")</f>
        <v/>
      </c>
      <c r="F369" t="str" cm="1">
        <f t="array" aca="1" ref="F369" ca="1">IF(OR(A369="",B369=""),"",LEFT(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69" t="str">
        <f>IF(AND(Formulario!G381&lt;&gt;"",Formulario!G381&lt;&gt;"",A369&lt;&gt;""),Formulario!G381,"")</f>
        <v/>
      </c>
      <c r="I369" t="str">
        <f>IF(AND(Formulario!D381&lt;&gt;"",A369&lt;&gt;""),"UY10","")</f>
        <v/>
      </c>
      <c r="J369" t="str">
        <f>IF(AND(Formulario!D381&lt;&gt;"",A369&lt;&gt;""),"0001","")</f>
        <v/>
      </c>
      <c r="K369" t="str">
        <f>IF(AND(Formulario!D381&lt;&gt;"",A369&lt;&gt;""),"1","")</f>
        <v/>
      </c>
    </row>
    <row r="370" spans="1:11" x14ac:dyDescent="0.3">
      <c r="A370" t="str">
        <f>IF(AND(Formulario!D382&lt;&gt;"",ISNUMBER(Formulario!D382)),Formulario!D382,"")</f>
        <v/>
      </c>
      <c r="B370" s="146" t="str">
        <f>IF(AND(Formulario!F382&lt;&gt;"", Formulario!F382&lt;&gt;"",A370&lt;&gt;""),Formulario!F382,"")</f>
        <v/>
      </c>
      <c r="C370" s="146" t="str">
        <f>IF(AND(Formulario!D382&lt;&gt;"", Formulario!E382&lt;&gt;"",A370&lt;&gt;""),Formulario!E382,"")</f>
        <v/>
      </c>
      <c r="D370" s="55" t="str">
        <f>IF('Cond SAP'!AA382="","",'Cond SAP'!AA382)</f>
        <v/>
      </c>
      <c r="E370" t="str">
        <f>IF(AND(Formulario!G382&lt;&gt;"",Formulario!Q382&lt;&gt;"",A370&lt;&gt;""),Formulario!Q382,"")</f>
        <v/>
      </c>
      <c r="F370" t="str" cm="1">
        <f t="array" aca="1" ref="F370" ca="1">IF(OR(A370="",B370=""),"",LEFT(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0" t="str">
        <f>IF(AND(Formulario!G382&lt;&gt;"",Formulario!G382&lt;&gt;"",A370&lt;&gt;""),Formulario!G382,"")</f>
        <v/>
      </c>
      <c r="I370" t="str">
        <f>IF(AND(Formulario!D382&lt;&gt;"",A370&lt;&gt;""),"UY10","")</f>
        <v/>
      </c>
      <c r="J370" t="str">
        <f>IF(AND(Formulario!D382&lt;&gt;"",A370&lt;&gt;""),"0001","")</f>
        <v/>
      </c>
      <c r="K370" t="str">
        <f>IF(AND(Formulario!D382&lt;&gt;"",A370&lt;&gt;""),"1","")</f>
        <v/>
      </c>
    </row>
    <row r="371" spans="1:11" x14ac:dyDescent="0.3">
      <c r="A371" t="str">
        <f>IF(AND(Formulario!D383&lt;&gt;"",ISNUMBER(Formulario!D383)),Formulario!D383,"")</f>
        <v/>
      </c>
      <c r="B371" s="146" t="str">
        <f>IF(AND(Formulario!F383&lt;&gt;"", Formulario!F383&lt;&gt;"",A371&lt;&gt;""),Formulario!F383,"")</f>
        <v/>
      </c>
      <c r="C371" s="146" t="str">
        <f>IF(AND(Formulario!D383&lt;&gt;"", Formulario!E383&lt;&gt;"",A371&lt;&gt;""),Formulario!E383,"")</f>
        <v/>
      </c>
      <c r="D371" s="55" t="str">
        <f>IF('Cond SAP'!AA383="","",'Cond SAP'!AA383)</f>
        <v/>
      </c>
      <c r="E371" t="str">
        <f>IF(AND(Formulario!G383&lt;&gt;"",Formulario!Q383&lt;&gt;"",A371&lt;&gt;""),Formulario!Q383,"")</f>
        <v/>
      </c>
      <c r="F371" t="str" cm="1">
        <f t="array" aca="1" ref="F371" ca="1">IF(OR(A371="",B371=""),"",LEFT(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1" t="str">
        <f>IF(AND(Formulario!G383&lt;&gt;"",Formulario!G383&lt;&gt;"",A371&lt;&gt;""),Formulario!G383,"")</f>
        <v/>
      </c>
      <c r="I371" t="str">
        <f>IF(AND(Formulario!D383&lt;&gt;"",A371&lt;&gt;""),"UY10","")</f>
        <v/>
      </c>
      <c r="J371" t="str">
        <f>IF(AND(Formulario!D383&lt;&gt;"",A371&lt;&gt;""),"0001","")</f>
        <v/>
      </c>
      <c r="K371" t="str">
        <f>IF(AND(Formulario!D383&lt;&gt;"",A371&lt;&gt;""),"1","")</f>
        <v/>
      </c>
    </row>
    <row r="372" spans="1:11" x14ac:dyDescent="0.3">
      <c r="A372" t="str">
        <f>IF(AND(Formulario!D384&lt;&gt;"",ISNUMBER(Formulario!D384)),Formulario!D384,"")</f>
        <v/>
      </c>
      <c r="B372" s="146" t="str">
        <f>IF(AND(Formulario!F384&lt;&gt;"", Formulario!F384&lt;&gt;"",A372&lt;&gt;""),Formulario!F384,"")</f>
        <v/>
      </c>
      <c r="C372" s="146" t="str">
        <f>IF(AND(Formulario!D384&lt;&gt;"", Formulario!E384&lt;&gt;"",A372&lt;&gt;""),Formulario!E384,"")</f>
        <v/>
      </c>
      <c r="D372" s="55" t="str">
        <f>IF('Cond SAP'!AA384="","",'Cond SAP'!AA384)</f>
        <v/>
      </c>
      <c r="E372" t="str">
        <f>IF(AND(Formulario!G384&lt;&gt;"",Formulario!Q384&lt;&gt;"",A372&lt;&gt;""),Formulario!Q384,"")</f>
        <v/>
      </c>
      <c r="F372" t="str" cm="1">
        <f t="array" aca="1" ref="F372" ca="1">IF(OR(A372="",B372=""),"",LEFT(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2" t="str">
        <f>IF(AND(Formulario!G384&lt;&gt;"",Formulario!G384&lt;&gt;"",A372&lt;&gt;""),Formulario!G384,"")</f>
        <v/>
      </c>
      <c r="I372" t="str">
        <f>IF(AND(Formulario!D384&lt;&gt;"",A372&lt;&gt;""),"UY10","")</f>
        <v/>
      </c>
      <c r="J372" t="str">
        <f>IF(AND(Formulario!D384&lt;&gt;"",A372&lt;&gt;""),"0001","")</f>
        <v/>
      </c>
      <c r="K372" t="str">
        <f>IF(AND(Formulario!D384&lt;&gt;"",A372&lt;&gt;""),"1","")</f>
        <v/>
      </c>
    </row>
    <row r="373" spans="1:11" x14ac:dyDescent="0.3">
      <c r="A373" t="str">
        <f>IF(AND(Formulario!D385&lt;&gt;"",ISNUMBER(Formulario!D385)),Formulario!D385,"")</f>
        <v/>
      </c>
      <c r="B373" s="146" t="str">
        <f>IF(AND(Formulario!F385&lt;&gt;"", Formulario!F385&lt;&gt;"",A373&lt;&gt;""),Formulario!F385,"")</f>
        <v/>
      </c>
      <c r="C373" s="146" t="str">
        <f>IF(AND(Formulario!D385&lt;&gt;"", Formulario!E385&lt;&gt;"",A373&lt;&gt;""),Formulario!E385,"")</f>
        <v/>
      </c>
      <c r="D373" s="55" t="str">
        <f>IF('Cond SAP'!AA385="","",'Cond SAP'!AA385)</f>
        <v/>
      </c>
      <c r="E373" t="str">
        <f>IF(AND(Formulario!G385&lt;&gt;"",Formulario!Q385&lt;&gt;"",A373&lt;&gt;""),Formulario!Q385,"")</f>
        <v/>
      </c>
      <c r="F373" t="str" cm="1">
        <f t="array" aca="1" ref="F373" ca="1">IF(OR(A373="",B373=""),"",LEFT(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3" t="str">
        <f>IF(AND(Formulario!G385&lt;&gt;"",Formulario!G385&lt;&gt;"",A373&lt;&gt;""),Formulario!G385,"")</f>
        <v/>
      </c>
      <c r="I373" t="str">
        <f>IF(AND(Formulario!D385&lt;&gt;"",A373&lt;&gt;""),"UY10","")</f>
        <v/>
      </c>
      <c r="J373" t="str">
        <f>IF(AND(Formulario!D385&lt;&gt;"",A373&lt;&gt;""),"0001","")</f>
        <v/>
      </c>
      <c r="K373" t="str">
        <f>IF(AND(Formulario!D385&lt;&gt;"",A373&lt;&gt;""),"1","")</f>
        <v/>
      </c>
    </row>
    <row r="374" spans="1:11" x14ac:dyDescent="0.3">
      <c r="A374" t="str">
        <f>IF(AND(Formulario!D386&lt;&gt;"",ISNUMBER(Formulario!D386)),Formulario!D386,"")</f>
        <v/>
      </c>
      <c r="B374" s="146" t="str">
        <f>IF(AND(Formulario!F386&lt;&gt;"", Formulario!F386&lt;&gt;"",A374&lt;&gt;""),Formulario!F386,"")</f>
        <v/>
      </c>
      <c r="C374" s="146" t="str">
        <f>IF(AND(Formulario!D386&lt;&gt;"", Formulario!E386&lt;&gt;"",A374&lt;&gt;""),Formulario!E386,"")</f>
        <v/>
      </c>
      <c r="D374" s="55" t="str">
        <f>IF('Cond SAP'!AA386="","",'Cond SAP'!AA386)</f>
        <v/>
      </c>
      <c r="E374" t="str">
        <f>IF(AND(Formulario!G386&lt;&gt;"",Formulario!Q386&lt;&gt;"",A374&lt;&gt;""),Formulario!Q386,"")</f>
        <v/>
      </c>
      <c r="F374" t="str" cm="1">
        <f t="array" aca="1" ref="F374" ca="1">IF(OR(A374="",B374=""),"",LEFT(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4" t="str">
        <f>IF(AND(Formulario!G386&lt;&gt;"",Formulario!G386&lt;&gt;"",A374&lt;&gt;""),Formulario!G386,"")</f>
        <v/>
      </c>
      <c r="I374" t="str">
        <f>IF(AND(Formulario!D386&lt;&gt;"",A374&lt;&gt;""),"UY10","")</f>
        <v/>
      </c>
      <c r="J374" t="str">
        <f>IF(AND(Formulario!D386&lt;&gt;"",A374&lt;&gt;""),"0001","")</f>
        <v/>
      </c>
      <c r="K374" t="str">
        <f>IF(AND(Formulario!D386&lt;&gt;"",A374&lt;&gt;""),"1","")</f>
        <v/>
      </c>
    </row>
    <row r="375" spans="1:11" x14ac:dyDescent="0.3">
      <c r="A375" t="str">
        <f>IF(AND(Formulario!D387&lt;&gt;"",ISNUMBER(Formulario!D387)),Formulario!D387,"")</f>
        <v/>
      </c>
      <c r="B375" s="146" t="str">
        <f>IF(AND(Formulario!F387&lt;&gt;"", Formulario!F387&lt;&gt;"",A375&lt;&gt;""),Formulario!F387,"")</f>
        <v/>
      </c>
      <c r="C375" s="146" t="str">
        <f>IF(AND(Formulario!D387&lt;&gt;"", Formulario!E387&lt;&gt;"",A375&lt;&gt;""),Formulario!E387,"")</f>
        <v/>
      </c>
      <c r="D375" s="55" t="str">
        <f>IF('Cond SAP'!AA387="","",'Cond SAP'!AA387)</f>
        <v/>
      </c>
      <c r="E375" t="str">
        <f>IF(AND(Formulario!G387&lt;&gt;"",Formulario!Q387&lt;&gt;"",A375&lt;&gt;""),Formulario!Q387,"")</f>
        <v/>
      </c>
      <c r="F375" t="str" cm="1">
        <f t="array" aca="1" ref="F375" ca="1">IF(OR(A375="",B375=""),"",LEFT(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5" t="str">
        <f>IF(AND(Formulario!G387&lt;&gt;"",Formulario!G387&lt;&gt;"",A375&lt;&gt;""),Formulario!G387,"")</f>
        <v/>
      </c>
      <c r="I375" t="str">
        <f>IF(AND(Formulario!D387&lt;&gt;"",A375&lt;&gt;""),"UY10","")</f>
        <v/>
      </c>
      <c r="J375" t="str">
        <f>IF(AND(Formulario!D387&lt;&gt;"",A375&lt;&gt;""),"0001","")</f>
        <v/>
      </c>
      <c r="K375" t="str">
        <f>IF(AND(Formulario!D387&lt;&gt;"",A375&lt;&gt;""),"1","")</f>
        <v/>
      </c>
    </row>
    <row r="376" spans="1:11" x14ac:dyDescent="0.3">
      <c r="A376" t="str">
        <f>IF(AND(Formulario!D388&lt;&gt;"",ISNUMBER(Formulario!D388)),Formulario!D388,"")</f>
        <v/>
      </c>
      <c r="B376" s="146" t="str">
        <f>IF(AND(Formulario!F388&lt;&gt;"", Formulario!F388&lt;&gt;"",A376&lt;&gt;""),Formulario!F388,"")</f>
        <v/>
      </c>
      <c r="C376" s="146" t="str">
        <f>IF(AND(Formulario!D388&lt;&gt;"", Formulario!E388&lt;&gt;"",A376&lt;&gt;""),Formulario!E388,"")</f>
        <v/>
      </c>
      <c r="D376" s="55" t="str">
        <f>IF('Cond SAP'!AA388="","",'Cond SAP'!AA388)</f>
        <v/>
      </c>
      <c r="E376" t="str">
        <f>IF(AND(Formulario!G388&lt;&gt;"",Formulario!Q388&lt;&gt;"",A376&lt;&gt;""),Formulario!Q388,"")</f>
        <v/>
      </c>
      <c r="F376" t="str" cm="1">
        <f t="array" aca="1" ref="F376" ca="1">IF(OR(A376="",B376=""),"",LEFT(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6" t="str">
        <f>IF(AND(Formulario!G388&lt;&gt;"",Formulario!G388&lt;&gt;"",A376&lt;&gt;""),Formulario!G388,"")</f>
        <v/>
      </c>
      <c r="I376" t="str">
        <f>IF(AND(Formulario!D388&lt;&gt;"",A376&lt;&gt;""),"UY10","")</f>
        <v/>
      </c>
      <c r="J376" t="str">
        <f>IF(AND(Formulario!D388&lt;&gt;"",A376&lt;&gt;""),"0001","")</f>
        <v/>
      </c>
      <c r="K376" t="str">
        <f>IF(AND(Formulario!D388&lt;&gt;"",A376&lt;&gt;""),"1","")</f>
        <v/>
      </c>
    </row>
    <row r="377" spans="1:11" x14ac:dyDescent="0.3">
      <c r="A377" t="str">
        <f>IF(AND(Formulario!D389&lt;&gt;"",ISNUMBER(Formulario!D389)),Formulario!D389,"")</f>
        <v/>
      </c>
      <c r="B377" s="146" t="str">
        <f>IF(AND(Formulario!F389&lt;&gt;"", Formulario!F389&lt;&gt;"",A377&lt;&gt;""),Formulario!F389,"")</f>
        <v/>
      </c>
      <c r="C377" s="146" t="str">
        <f>IF(AND(Formulario!D389&lt;&gt;"", Formulario!E389&lt;&gt;"",A377&lt;&gt;""),Formulario!E389,"")</f>
        <v/>
      </c>
      <c r="D377" s="55" t="str">
        <f>IF('Cond SAP'!AA389="","",'Cond SAP'!AA389)</f>
        <v/>
      </c>
      <c r="E377" t="str">
        <f>IF(AND(Formulario!G389&lt;&gt;"",Formulario!Q389&lt;&gt;"",A377&lt;&gt;""),Formulario!Q389,"")</f>
        <v/>
      </c>
      <c r="F377" t="str" cm="1">
        <f t="array" aca="1" ref="F377" ca="1">IF(OR(A377="",B377=""),"",LEFT(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7" t="str">
        <f>IF(AND(Formulario!G389&lt;&gt;"",Formulario!G389&lt;&gt;"",A377&lt;&gt;""),Formulario!G389,"")</f>
        <v/>
      </c>
      <c r="I377" t="str">
        <f>IF(AND(Formulario!D389&lt;&gt;"",A377&lt;&gt;""),"UY10","")</f>
        <v/>
      </c>
      <c r="J377" t="str">
        <f>IF(AND(Formulario!D389&lt;&gt;"",A377&lt;&gt;""),"0001","")</f>
        <v/>
      </c>
      <c r="K377" t="str">
        <f>IF(AND(Formulario!D389&lt;&gt;"",A377&lt;&gt;""),"1","")</f>
        <v/>
      </c>
    </row>
    <row r="378" spans="1:11" x14ac:dyDescent="0.3">
      <c r="A378" t="str">
        <f>IF(AND(Formulario!D390&lt;&gt;"",ISNUMBER(Formulario!D390)),Formulario!D390,"")</f>
        <v/>
      </c>
      <c r="B378" s="146" t="str">
        <f>IF(AND(Formulario!F390&lt;&gt;"", Formulario!F390&lt;&gt;"",A378&lt;&gt;""),Formulario!F390,"")</f>
        <v/>
      </c>
      <c r="C378" s="146" t="str">
        <f>IF(AND(Formulario!D390&lt;&gt;"", Formulario!E390&lt;&gt;"",A378&lt;&gt;""),Formulario!E390,"")</f>
        <v/>
      </c>
      <c r="D378" s="55" t="str">
        <f>IF('Cond SAP'!AA390="","",'Cond SAP'!AA390)</f>
        <v/>
      </c>
      <c r="E378" t="str">
        <f>IF(AND(Formulario!G390&lt;&gt;"",Formulario!Q390&lt;&gt;"",A378&lt;&gt;""),Formulario!Q390,"")</f>
        <v/>
      </c>
      <c r="F378" t="str" cm="1">
        <f t="array" aca="1" ref="F378" ca="1">IF(OR(A378="",B378=""),"",LEFT(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8" t="str">
        <f>IF(AND(Formulario!G390&lt;&gt;"",Formulario!G390&lt;&gt;"",A378&lt;&gt;""),Formulario!G390,"")</f>
        <v/>
      </c>
      <c r="I378" t="str">
        <f>IF(AND(Formulario!D390&lt;&gt;"",A378&lt;&gt;""),"UY10","")</f>
        <v/>
      </c>
      <c r="J378" t="str">
        <f>IF(AND(Formulario!D390&lt;&gt;"",A378&lt;&gt;""),"0001","")</f>
        <v/>
      </c>
      <c r="K378" t="str">
        <f>IF(AND(Formulario!D390&lt;&gt;"",A378&lt;&gt;""),"1","")</f>
        <v/>
      </c>
    </row>
    <row r="379" spans="1:11" x14ac:dyDescent="0.3">
      <c r="A379" t="str">
        <f>IF(AND(Formulario!D391&lt;&gt;"",ISNUMBER(Formulario!D391)),Formulario!D391,"")</f>
        <v/>
      </c>
      <c r="B379" s="146" t="str">
        <f>IF(AND(Formulario!F391&lt;&gt;"", Formulario!F391&lt;&gt;"",A379&lt;&gt;""),Formulario!F391,"")</f>
        <v/>
      </c>
      <c r="C379" s="146" t="str">
        <f>IF(AND(Formulario!D391&lt;&gt;"", Formulario!E391&lt;&gt;"",A379&lt;&gt;""),Formulario!E391,"")</f>
        <v/>
      </c>
      <c r="D379" s="55" t="str">
        <f>IF('Cond SAP'!AA391="","",'Cond SAP'!AA391)</f>
        <v/>
      </c>
      <c r="E379" t="str">
        <f>IF(AND(Formulario!G391&lt;&gt;"",Formulario!Q391&lt;&gt;"",A379&lt;&gt;""),Formulario!Q391,"")</f>
        <v/>
      </c>
      <c r="F379" t="str" cm="1">
        <f t="array" aca="1" ref="F379" ca="1">IF(OR(A379="",B379=""),"",LEFT(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79" t="str">
        <f>IF(AND(Formulario!G391&lt;&gt;"",Formulario!G391&lt;&gt;"",A379&lt;&gt;""),Formulario!G391,"")</f>
        <v/>
      </c>
      <c r="I379" t="str">
        <f>IF(AND(Formulario!D391&lt;&gt;"",A379&lt;&gt;""),"UY10","")</f>
        <v/>
      </c>
      <c r="J379" t="str">
        <f>IF(AND(Formulario!D391&lt;&gt;"",A379&lt;&gt;""),"0001","")</f>
        <v/>
      </c>
      <c r="K379" t="str">
        <f>IF(AND(Formulario!D391&lt;&gt;"",A379&lt;&gt;""),"1","")</f>
        <v/>
      </c>
    </row>
    <row r="380" spans="1:11" x14ac:dyDescent="0.3">
      <c r="A380" t="str">
        <f>IF(AND(Formulario!D392&lt;&gt;"",ISNUMBER(Formulario!D392)),Formulario!D392,"")</f>
        <v/>
      </c>
      <c r="B380" s="146" t="str">
        <f>IF(AND(Formulario!F392&lt;&gt;"", Formulario!F392&lt;&gt;"",A380&lt;&gt;""),Formulario!F392,"")</f>
        <v/>
      </c>
      <c r="C380" s="146" t="str">
        <f>IF(AND(Formulario!D392&lt;&gt;"", Formulario!E392&lt;&gt;"",A380&lt;&gt;""),Formulario!E392,"")</f>
        <v/>
      </c>
      <c r="D380" s="55" t="str">
        <f>IF('Cond SAP'!AA392="","",'Cond SAP'!AA392)</f>
        <v/>
      </c>
      <c r="E380" t="str">
        <f>IF(AND(Formulario!G392&lt;&gt;"",Formulario!Q392&lt;&gt;"",A380&lt;&gt;""),Formulario!Q392,"")</f>
        <v/>
      </c>
      <c r="F380" t="str" cm="1">
        <f t="array" aca="1" ref="F380" ca="1">IF(OR(A380="",B380=""),"",LEFT(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0" t="str">
        <f>IF(AND(Formulario!G392&lt;&gt;"",Formulario!G392&lt;&gt;"",A380&lt;&gt;""),Formulario!G392,"")</f>
        <v/>
      </c>
      <c r="I380" t="str">
        <f>IF(AND(Formulario!D392&lt;&gt;"",A380&lt;&gt;""),"UY10","")</f>
        <v/>
      </c>
      <c r="J380" t="str">
        <f>IF(AND(Formulario!D392&lt;&gt;"",A380&lt;&gt;""),"0001","")</f>
        <v/>
      </c>
      <c r="K380" t="str">
        <f>IF(AND(Formulario!D392&lt;&gt;"",A380&lt;&gt;""),"1","")</f>
        <v/>
      </c>
    </row>
    <row r="381" spans="1:11" x14ac:dyDescent="0.3">
      <c r="A381" t="str">
        <f>IF(AND(Formulario!D393&lt;&gt;"",ISNUMBER(Formulario!D393)),Formulario!D393,"")</f>
        <v/>
      </c>
      <c r="B381" s="146" t="str">
        <f>IF(AND(Formulario!F393&lt;&gt;"", Formulario!F393&lt;&gt;"",A381&lt;&gt;""),Formulario!F393,"")</f>
        <v/>
      </c>
      <c r="C381" s="146" t="str">
        <f>IF(AND(Formulario!D393&lt;&gt;"", Formulario!E393&lt;&gt;"",A381&lt;&gt;""),Formulario!E393,"")</f>
        <v/>
      </c>
      <c r="D381" s="55" t="str">
        <f>IF('Cond SAP'!AA393="","",'Cond SAP'!AA393)</f>
        <v/>
      </c>
      <c r="E381" t="str">
        <f>IF(AND(Formulario!G393&lt;&gt;"",Formulario!Q393&lt;&gt;"",A381&lt;&gt;""),Formulario!Q393,"")</f>
        <v/>
      </c>
      <c r="F381" t="str" cm="1">
        <f t="array" aca="1" ref="F381" ca="1">IF(OR(A381="",B381=""),"",LEFT(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1" t="str">
        <f>IF(AND(Formulario!G393&lt;&gt;"",Formulario!G393&lt;&gt;"",A381&lt;&gt;""),Formulario!G393,"")</f>
        <v/>
      </c>
      <c r="I381" t="str">
        <f>IF(AND(Formulario!D393&lt;&gt;"",A381&lt;&gt;""),"UY10","")</f>
        <v/>
      </c>
      <c r="J381" t="str">
        <f>IF(AND(Formulario!D393&lt;&gt;"",A381&lt;&gt;""),"0001","")</f>
        <v/>
      </c>
      <c r="K381" t="str">
        <f>IF(AND(Formulario!D393&lt;&gt;"",A381&lt;&gt;""),"1","")</f>
        <v/>
      </c>
    </row>
    <row r="382" spans="1:11" x14ac:dyDescent="0.3">
      <c r="A382" t="str">
        <f>IF(AND(Formulario!D394&lt;&gt;"",ISNUMBER(Formulario!D394)),Formulario!D394,"")</f>
        <v/>
      </c>
      <c r="B382" s="146" t="str">
        <f>IF(AND(Formulario!F394&lt;&gt;"", Formulario!F394&lt;&gt;"",A382&lt;&gt;""),Formulario!F394,"")</f>
        <v/>
      </c>
      <c r="C382" s="146" t="str">
        <f>IF(AND(Formulario!D394&lt;&gt;"", Formulario!E394&lt;&gt;"",A382&lt;&gt;""),Formulario!E394,"")</f>
        <v/>
      </c>
      <c r="D382" s="55" t="str">
        <f>IF('Cond SAP'!AA394="","",'Cond SAP'!AA394)</f>
        <v/>
      </c>
      <c r="E382" t="str">
        <f>IF(AND(Formulario!G394&lt;&gt;"",Formulario!Q394&lt;&gt;"",A382&lt;&gt;""),Formulario!Q394,"")</f>
        <v/>
      </c>
      <c r="F382" t="str" cm="1">
        <f t="array" aca="1" ref="F382" ca="1">IF(OR(A382="",B382=""),"",LEFT(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2" t="str">
        <f>IF(AND(Formulario!G394&lt;&gt;"",Formulario!G394&lt;&gt;"",A382&lt;&gt;""),Formulario!G394,"")</f>
        <v/>
      </c>
      <c r="I382" t="str">
        <f>IF(AND(Formulario!D394&lt;&gt;"",A382&lt;&gt;""),"UY10","")</f>
        <v/>
      </c>
      <c r="J382" t="str">
        <f>IF(AND(Formulario!D394&lt;&gt;"",A382&lt;&gt;""),"0001","")</f>
        <v/>
      </c>
      <c r="K382" t="str">
        <f>IF(AND(Formulario!D394&lt;&gt;"",A382&lt;&gt;""),"1","")</f>
        <v/>
      </c>
    </row>
    <row r="383" spans="1:11" x14ac:dyDescent="0.3">
      <c r="A383" t="str">
        <f>IF(AND(Formulario!D395&lt;&gt;"",ISNUMBER(Formulario!D395)),Formulario!D395,"")</f>
        <v/>
      </c>
      <c r="B383" s="146" t="str">
        <f>IF(AND(Formulario!F395&lt;&gt;"", Formulario!F395&lt;&gt;"",A383&lt;&gt;""),Formulario!F395,"")</f>
        <v/>
      </c>
      <c r="C383" s="146" t="str">
        <f>IF(AND(Formulario!D395&lt;&gt;"", Formulario!E395&lt;&gt;"",A383&lt;&gt;""),Formulario!E395,"")</f>
        <v/>
      </c>
      <c r="D383" s="55" t="str">
        <f>IF('Cond SAP'!AA395="","",'Cond SAP'!AA395)</f>
        <v/>
      </c>
      <c r="E383" t="str">
        <f>IF(AND(Formulario!G395&lt;&gt;"",Formulario!Q395&lt;&gt;"",A383&lt;&gt;""),Formulario!Q395,"")</f>
        <v/>
      </c>
      <c r="F383" t="str" cm="1">
        <f t="array" aca="1" ref="F383" ca="1">IF(OR(A383="",B383=""),"",LEFT(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3" t="str">
        <f>IF(AND(Formulario!G395&lt;&gt;"",Formulario!G395&lt;&gt;"",A383&lt;&gt;""),Formulario!G395,"")</f>
        <v/>
      </c>
      <c r="I383" t="str">
        <f>IF(AND(Formulario!D395&lt;&gt;"",A383&lt;&gt;""),"UY10","")</f>
        <v/>
      </c>
      <c r="J383" t="str">
        <f>IF(AND(Formulario!D395&lt;&gt;"",A383&lt;&gt;""),"0001","")</f>
        <v/>
      </c>
      <c r="K383" t="str">
        <f>IF(AND(Formulario!D395&lt;&gt;"",A383&lt;&gt;""),"1","")</f>
        <v/>
      </c>
    </row>
    <row r="384" spans="1:11" x14ac:dyDescent="0.3">
      <c r="A384" t="str">
        <f>IF(AND(Formulario!D396&lt;&gt;"",ISNUMBER(Formulario!D396)),Formulario!D396,"")</f>
        <v/>
      </c>
      <c r="B384" s="146" t="str">
        <f>IF(AND(Formulario!F396&lt;&gt;"", Formulario!F396&lt;&gt;"",A384&lt;&gt;""),Formulario!F396,"")</f>
        <v/>
      </c>
      <c r="C384" s="146" t="str">
        <f>IF(AND(Formulario!D396&lt;&gt;"", Formulario!E396&lt;&gt;"",A384&lt;&gt;""),Formulario!E396,"")</f>
        <v/>
      </c>
      <c r="D384" s="55" t="str">
        <f>IF('Cond SAP'!AA396="","",'Cond SAP'!AA396)</f>
        <v/>
      </c>
      <c r="E384" t="str">
        <f>IF(AND(Formulario!G396&lt;&gt;"",Formulario!Q396&lt;&gt;"",A384&lt;&gt;""),Formulario!Q396,"")</f>
        <v/>
      </c>
      <c r="F384" t="str" cm="1">
        <f t="array" aca="1" ref="F384" ca="1">IF(OR(A384="",B384=""),"",LEFT(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4" t="str">
        <f>IF(AND(Formulario!G396&lt;&gt;"",Formulario!G396&lt;&gt;"",A384&lt;&gt;""),Formulario!G396,"")</f>
        <v/>
      </c>
      <c r="I384" t="str">
        <f>IF(AND(Formulario!D396&lt;&gt;"",A384&lt;&gt;""),"UY10","")</f>
        <v/>
      </c>
      <c r="J384" t="str">
        <f>IF(AND(Formulario!D396&lt;&gt;"",A384&lt;&gt;""),"0001","")</f>
        <v/>
      </c>
      <c r="K384" t="str">
        <f>IF(AND(Formulario!D396&lt;&gt;"",A384&lt;&gt;""),"1","")</f>
        <v/>
      </c>
    </row>
    <row r="385" spans="1:11" x14ac:dyDescent="0.3">
      <c r="A385" t="str">
        <f>IF(AND(Formulario!D397&lt;&gt;"",ISNUMBER(Formulario!D397)),Formulario!D397,"")</f>
        <v/>
      </c>
      <c r="B385" s="146" t="str">
        <f>IF(AND(Formulario!F397&lt;&gt;"", Formulario!F397&lt;&gt;"",A385&lt;&gt;""),Formulario!F397,"")</f>
        <v/>
      </c>
      <c r="C385" s="146" t="str">
        <f>IF(AND(Formulario!D397&lt;&gt;"", Formulario!E397&lt;&gt;"",A385&lt;&gt;""),Formulario!E397,"")</f>
        <v/>
      </c>
      <c r="D385" s="55" t="str">
        <f>IF('Cond SAP'!AA397="","",'Cond SAP'!AA397)</f>
        <v/>
      </c>
      <c r="E385" t="str">
        <f>IF(AND(Formulario!G397&lt;&gt;"",Formulario!Q397&lt;&gt;"",A385&lt;&gt;""),Formulario!Q397,"")</f>
        <v/>
      </c>
      <c r="F385" t="str" cm="1">
        <f t="array" aca="1" ref="F385" ca="1">IF(OR(A385="",B385=""),"",LEFT(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5" t="str">
        <f>IF(AND(Formulario!G397&lt;&gt;"",Formulario!G397&lt;&gt;"",A385&lt;&gt;""),Formulario!G397,"")</f>
        <v/>
      </c>
      <c r="I385" t="str">
        <f>IF(AND(Formulario!D397&lt;&gt;"",A385&lt;&gt;""),"UY10","")</f>
        <v/>
      </c>
      <c r="J385" t="str">
        <f>IF(AND(Formulario!D397&lt;&gt;"",A385&lt;&gt;""),"0001","")</f>
        <v/>
      </c>
      <c r="K385" t="str">
        <f>IF(AND(Formulario!D397&lt;&gt;"",A385&lt;&gt;""),"1","")</f>
        <v/>
      </c>
    </row>
    <row r="386" spans="1:11" x14ac:dyDescent="0.3">
      <c r="A386" t="str">
        <f>IF(AND(Formulario!D398&lt;&gt;"",ISNUMBER(Formulario!D398)),Formulario!D398,"")</f>
        <v/>
      </c>
      <c r="B386" s="146" t="str">
        <f>IF(AND(Formulario!F398&lt;&gt;"", Formulario!F398&lt;&gt;"",A386&lt;&gt;""),Formulario!F398,"")</f>
        <v/>
      </c>
      <c r="C386" s="146" t="str">
        <f>IF(AND(Formulario!D398&lt;&gt;"", Formulario!E398&lt;&gt;"",A386&lt;&gt;""),Formulario!E398,"")</f>
        <v/>
      </c>
      <c r="D386" s="55" t="str">
        <f>IF('Cond SAP'!AA398="","",'Cond SAP'!AA398)</f>
        <v/>
      </c>
      <c r="E386" t="str">
        <f>IF(AND(Formulario!G398&lt;&gt;"",Formulario!Q398&lt;&gt;"",A386&lt;&gt;""),Formulario!Q398,"")</f>
        <v/>
      </c>
      <c r="F386" t="str" cm="1">
        <f t="array" aca="1" ref="F386" ca="1">IF(OR(A386="",B386=""),"",LEFT(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6" t="str">
        <f>IF(AND(Formulario!G398&lt;&gt;"",Formulario!G398&lt;&gt;"",A386&lt;&gt;""),Formulario!G398,"")</f>
        <v/>
      </c>
      <c r="I386" t="str">
        <f>IF(AND(Formulario!D398&lt;&gt;"",A386&lt;&gt;""),"UY10","")</f>
        <v/>
      </c>
      <c r="J386" t="str">
        <f>IF(AND(Formulario!D398&lt;&gt;"",A386&lt;&gt;""),"0001","")</f>
        <v/>
      </c>
      <c r="K386" t="str">
        <f>IF(AND(Formulario!D398&lt;&gt;"",A386&lt;&gt;""),"1","")</f>
        <v/>
      </c>
    </row>
    <row r="387" spans="1:11" x14ac:dyDescent="0.3">
      <c r="A387" t="str">
        <f>IF(AND(Formulario!D399&lt;&gt;"",ISNUMBER(Formulario!D399)),Formulario!D399,"")</f>
        <v/>
      </c>
      <c r="B387" s="146" t="str">
        <f>IF(AND(Formulario!F399&lt;&gt;"", Formulario!F399&lt;&gt;"",A387&lt;&gt;""),Formulario!F399,"")</f>
        <v/>
      </c>
      <c r="C387" s="146" t="str">
        <f>IF(AND(Formulario!D399&lt;&gt;"", Formulario!E399&lt;&gt;"",A387&lt;&gt;""),Formulario!E399,"")</f>
        <v/>
      </c>
      <c r="D387" s="55" t="str">
        <f>IF('Cond SAP'!AA399="","",'Cond SAP'!AA399)</f>
        <v/>
      </c>
      <c r="E387" t="str">
        <f>IF(AND(Formulario!G399&lt;&gt;"",Formulario!Q399&lt;&gt;"",A387&lt;&gt;""),Formulario!Q399,"")</f>
        <v/>
      </c>
      <c r="F387" t="str" cm="1">
        <f t="array" aca="1" ref="F387" ca="1">IF(OR(A387="",B387=""),"",LEFT(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7" t="str">
        <f>IF(AND(Formulario!G399&lt;&gt;"",Formulario!G399&lt;&gt;"",A387&lt;&gt;""),Formulario!G399,"")</f>
        <v/>
      </c>
      <c r="I387" t="str">
        <f>IF(AND(Formulario!D399&lt;&gt;"",A387&lt;&gt;""),"UY10","")</f>
        <v/>
      </c>
      <c r="J387" t="str">
        <f>IF(AND(Formulario!D399&lt;&gt;"",A387&lt;&gt;""),"0001","")</f>
        <v/>
      </c>
      <c r="K387" t="str">
        <f>IF(AND(Formulario!D399&lt;&gt;"",A387&lt;&gt;""),"1","")</f>
        <v/>
      </c>
    </row>
    <row r="388" spans="1:11" x14ac:dyDescent="0.3">
      <c r="A388" t="str">
        <f>IF(AND(Formulario!D400&lt;&gt;"",ISNUMBER(Formulario!D400)),Formulario!D400,"")</f>
        <v/>
      </c>
      <c r="B388" s="146" t="str">
        <f>IF(AND(Formulario!F400&lt;&gt;"", Formulario!F400&lt;&gt;"",A388&lt;&gt;""),Formulario!F400,"")</f>
        <v/>
      </c>
      <c r="C388" s="146" t="str">
        <f>IF(AND(Formulario!D400&lt;&gt;"", Formulario!E400&lt;&gt;"",A388&lt;&gt;""),Formulario!E400,"")</f>
        <v/>
      </c>
      <c r="D388" s="55" t="str">
        <f>IF('Cond SAP'!AA400="","",'Cond SAP'!AA400)</f>
        <v/>
      </c>
      <c r="E388" t="str">
        <f>IF(AND(Formulario!G400&lt;&gt;"",Formulario!Q400&lt;&gt;"",A388&lt;&gt;""),Formulario!Q400,"")</f>
        <v/>
      </c>
      <c r="F388" t="str" cm="1">
        <f t="array" aca="1" ref="F388" ca="1">IF(OR(A388="",B388=""),"",LEFT(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8" t="str">
        <f>IF(AND(Formulario!G400&lt;&gt;"",Formulario!G400&lt;&gt;"",A388&lt;&gt;""),Formulario!G400,"")</f>
        <v/>
      </c>
      <c r="I388" t="str">
        <f>IF(AND(Formulario!D400&lt;&gt;"",A388&lt;&gt;""),"UY10","")</f>
        <v/>
      </c>
      <c r="J388" t="str">
        <f>IF(AND(Formulario!D400&lt;&gt;"",A388&lt;&gt;""),"0001","")</f>
        <v/>
      </c>
      <c r="K388" t="str">
        <f>IF(AND(Formulario!D400&lt;&gt;"",A388&lt;&gt;""),"1","")</f>
        <v/>
      </c>
    </row>
    <row r="389" spans="1:11" x14ac:dyDescent="0.3">
      <c r="A389" t="str">
        <f>IF(AND(Formulario!D401&lt;&gt;"",ISNUMBER(Formulario!D401)),Formulario!D401,"")</f>
        <v/>
      </c>
      <c r="B389" s="146" t="str">
        <f>IF(AND(Formulario!F401&lt;&gt;"", Formulario!F401&lt;&gt;"",A389&lt;&gt;""),Formulario!F401,"")</f>
        <v/>
      </c>
      <c r="C389" s="146" t="str">
        <f>IF(AND(Formulario!D401&lt;&gt;"", Formulario!E401&lt;&gt;"",A389&lt;&gt;""),Formulario!E401,"")</f>
        <v/>
      </c>
      <c r="D389" s="55" t="str">
        <f>IF('Cond SAP'!AA401="","",'Cond SAP'!AA401)</f>
        <v/>
      </c>
      <c r="E389" t="str">
        <f>IF(AND(Formulario!G401&lt;&gt;"",Formulario!Q401&lt;&gt;"",A389&lt;&gt;""),Formulario!Q401,"")</f>
        <v/>
      </c>
      <c r="F389" t="str" cm="1">
        <f t="array" aca="1" ref="F389" ca="1">IF(OR(A389="",B389=""),"",LEFT(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89" t="str">
        <f>IF(AND(Formulario!G401&lt;&gt;"",Formulario!G401&lt;&gt;"",A389&lt;&gt;""),Formulario!G401,"")</f>
        <v/>
      </c>
      <c r="I389" t="str">
        <f>IF(AND(Formulario!D401&lt;&gt;"",A389&lt;&gt;""),"UY10","")</f>
        <v/>
      </c>
      <c r="J389" t="str">
        <f>IF(AND(Formulario!D401&lt;&gt;"",A389&lt;&gt;""),"0001","")</f>
        <v/>
      </c>
      <c r="K389" t="str">
        <f>IF(AND(Formulario!D401&lt;&gt;"",A389&lt;&gt;""),"1","")</f>
        <v/>
      </c>
    </row>
    <row r="390" spans="1:11" x14ac:dyDescent="0.3">
      <c r="A390" t="str">
        <f>IF(AND(Formulario!D402&lt;&gt;"",ISNUMBER(Formulario!D402)),Formulario!D402,"")</f>
        <v/>
      </c>
      <c r="B390" s="146" t="str">
        <f>IF(AND(Formulario!F402&lt;&gt;"", Formulario!F402&lt;&gt;"",A390&lt;&gt;""),Formulario!F402,"")</f>
        <v/>
      </c>
      <c r="C390" s="146" t="str">
        <f>IF(AND(Formulario!D402&lt;&gt;"", Formulario!E402&lt;&gt;"",A390&lt;&gt;""),Formulario!E402,"")</f>
        <v/>
      </c>
      <c r="D390" s="55" t="str">
        <f>IF('Cond SAP'!AA402="","",'Cond SAP'!AA402)</f>
        <v/>
      </c>
      <c r="E390" t="str">
        <f>IF(AND(Formulario!G402&lt;&gt;"",Formulario!Q402&lt;&gt;"",A390&lt;&gt;""),Formulario!Q402,"")</f>
        <v/>
      </c>
      <c r="F390" t="str" cm="1">
        <f t="array" aca="1" ref="F390" ca="1">IF(OR(A390="",B390=""),"",LEFT(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0" t="str">
        <f>IF(AND(Formulario!G402&lt;&gt;"",Formulario!G402&lt;&gt;"",A390&lt;&gt;""),Formulario!G402,"")</f>
        <v/>
      </c>
      <c r="I390" t="str">
        <f>IF(AND(Formulario!D402&lt;&gt;"",A390&lt;&gt;""),"UY10","")</f>
        <v/>
      </c>
      <c r="J390" t="str">
        <f>IF(AND(Formulario!D402&lt;&gt;"",A390&lt;&gt;""),"0001","")</f>
        <v/>
      </c>
      <c r="K390" t="str">
        <f>IF(AND(Formulario!D402&lt;&gt;"",A390&lt;&gt;""),"1","")</f>
        <v/>
      </c>
    </row>
    <row r="391" spans="1:11" x14ac:dyDescent="0.3">
      <c r="A391" t="str">
        <f>IF(AND(Formulario!D403&lt;&gt;"",ISNUMBER(Formulario!D403)),Formulario!D403,"")</f>
        <v/>
      </c>
      <c r="B391" s="146" t="str">
        <f>IF(AND(Formulario!F403&lt;&gt;"", Formulario!F403&lt;&gt;"",A391&lt;&gt;""),Formulario!F403,"")</f>
        <v/>
      </c>
      <c r="C391" s="146" t="str">
        <f>IF(AND(Formulario!D403&lt;&gt;"", Formulario!E403&lt;&gt;"",A391&lt;&gt;""),Formulario!E403,"")</f>
        <v/>
      </c>
      <c r="D391" s="55" t="str">
        <f>IF('Cond SAP'!AA403="","",'Cond SAP'!AA403)</f>
        <v/>
      </c>
      <c r="E391" t="str">
        <f>IF(AND(Formulario!G403&lt;&gt;"",Formulario!Q403&lt;&gt;"",A391&lt;&gt;""),Formulario!Q403,"")</f>
        <v/>
      </c>
      <c r="F391" t="str" cm="1">
        <f t="array" aca="1" ref="F391" ca="1">IF(OR(A391="",B391=""),"",LEFT(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1" t="str">
        <f>IF(AND(Formulario!G403&lt;&gt;"",Formulario!G403&lt;&gt;"",A391&lt;&gt;""),Formulario!G403,"")</f>
        <v/>
      </c>
      <c r="I391" t="str">
        <f>IF(AND(Formulario!D403&lt;&gt;"",A391&lt;&gt;""),"UY10","")</f>
        <v/>
      </c>
      <c r="J391" t="str">
        <f>IF(AND(Formulario!D403&lt;&gt;"",A391&lt;&gt;""),"0001","")</f>
        <v/>
      </c>
      <c r="K391" t="str">
        <f>IF(AND(Formulario!D403&lt;&gt;"",A391&lt;&gt;""),"1","")</f>
        <v/>
      </c>
    </row>
    <row r="392" spans="1:11" x14ac:dyDescent="0.3">
      <c r="A392" t="str">
        <f>IF(AND(Formulario!D404&lt;&gt;"",ISNUMBER(Formulario!D404)),Formulario!D404,"")</f>
        <v/>
      </c>
      <c r="B392" s="146" t="str">
        <f>IF(AND(Formulario!F404&lt;&gt;"", Formulario!F404&lt;&gt;"",A392&lt;&gt;""),Formulario!F404,"")</f>
        <v/>
      </c>
      <c r="C392" s="146" t="str">
        <f>IF(AND(Formulario!D404&lt;&gt;"", Formulario!E404&lt;&gt;"",A392&lt;&gt;""),Formulario!E404,"")</f>
        <v/>
      </c>
      <c r="D392" s="55" t="str">
        <f>IF('Cond SAP'!AA404="","",'Cond SAP'!AA404)</f>
        <v/>
      </c>
      <c r="E392" t="str">
        <f>IF(AND(Formulario!G404&lt;&gt;"",Formulario!Q404&lt;&gt;"",A392&lt;&gt;""),Formulario!Q404,"")</f>
        <v/>
      </c>
      <c r="F392" t="str" cm="1">
        <f t="array" aca="1" ref="F392" ca="1">IF(OR(A392="",B392=""),"",LEFT(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2" t="str">
        <f>IF(AND(Formulario!G404&lt;&gt;"",Formulario!G404&lt;&gt;"",A392&lt;&gt;""),Formulario!G404,"")</f>
        <v/>
      </c>
      <c r="I392" t="str">
        <f>IF(AND(Formulario!D404&lt;&gt;"",A392&lt;&gt;""),"UY10","")</f>
        <v/>
      </c>
      <c r="J392" t="str">
        <f>IF(AND(Formulario!D404&lt;&gt;"",A392&lt;&gt;""),"0001","")</f>
        <v/>
      </c>
      <c r="K392" t="str">
        <f>IF(AND(Formulario!D404&lt;&gt;"",A392&lt;&gt;""),"1","")</f>
        <v/>
      </c>
    </row>
    <row r="393" spans="1:11" x14ac:dyDescent="0.3">
      <c r="A393" t="str">
        <f>IF(AND(Formulario!D405&lt;&gt;"",ISNUMBER(Formulario!D405)),Formulario!D405,"")</f>
        <v/>
      </c>
      <c r="B393" s="146" t="str">
        <f>IF(AND(Formulario!F405&lt;&gt;"", Formulario!F405&lt;&gt;"",A393&lt;&gt;""),Formulario!F405,"")</f>
        <v/>
      </c>
      <c r="C393" s="146" t="str">
        <f>IF(AND(Formulario!D405&lt;&gt;"", Formulario!E405&lt;&gt;"",A393&lt;&gt;""),Formulario!E405,"")</f>
        <v/>
      </c>
      <c r="D393" s="55" t="str">
        <f>IF('Cond SAP'!AA405="","",'Cond SAP'!AA405)</f>
        <v/>
      </c>
      <c r="E393" t="str">
        <f>IF(AND(Formulario!G405&lt;&gt;"",Formulario!Q405&lt;&gt;"",A393&lt;&gt;""),Formulario!Q405,"")</f>
        <v/>
      </c>
      <c r="F393" t="str" cm="1">
        <f t="array" aca="1" ref="F393" ca="1">IF(OR(A393="",B393=""),"",LEFT(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3" t="str">
        <f>IF(AND(Formulario!G405&lt;&gt;"",Formulario!G405&lt;&gt;"",A393&lt;&gt;""),Formulario!G405,"")</f>
        <v/>
      </c>
      <c r="I393" t="str">
        <f>IF(AND(Formulario!D405&lt;&gt;"",A393&lt;&gt;""),"UY10","")</f>
        <v/>
      </c>
      <c r="J393" t="str">
        <f>IF(AND(Formulario!D405&lt;&gt;"",A393&lt;&gt;""),"0001","")</f>
        <v/>
      </c>
      <c r="K393" t="str">
        <f>IF(AND(Formulario!D405&lt;&gt;"",A393&lt;&gt;""),"1","")</f>
        <v/>
      </c>
    </row>
    <row r="394" spans="1:11" x14ac:dyDescent="0.3">
      <c r="A394" t="str">
        <f>IF(AND(Formulario!D406&lt;&gt;"",ISNUMBER(Formulario!D406)),Formulario!D406,"")</f>
        <v/>
      </c>
      <c r="B394" s="146" t="str">
        <f>IF(AND(Formulario!F406&lt;&gt;"", Formulario!F406&lt;&gt;"",A394&lt;&gt;""),Formulario!F406,"")</f>
        <v/>
      </c>
      <c r="C394" s="146" t="str">
        <f>IF(AND(Formulario!D406&lt;&gt;"", Formulario!E406&lt;&gt;"",A394&lt;&gt;""),Formulario!E406,"")</f>
        <v/>
      </c>
      <c r="D394" s="55" t="str">
        <f>IF('Cond SAP'!AA406="","",'Cond SAP'!AA406)</f>
        <v/>
      </c>
      <c r="E394" t="str">
        <f>IF(AND(Formulario!G406&lt;&gt;"",Formulario!Q406&lt;&gt;"",A394&lt;&gt;""),Formulario!Q406,"")</f>
        <v/>
      </c>
      <c r="F394" t="str" cm="1">
        <f t="array" aca="1" ref="F394" ca="1">IF(OR(A394="",B394=""),"",LEFT(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4" t="str">
        <f>IF(AND(Formulario!G406&lt;&gt;"",Formulario!G406&lt;&gt;"",A394&lt;&gt;""),Formulario!G406,"")</f>
        <v/>
      </c>
      <c r="I394" t="str">
        <f>IF(AND(Formulario!D406&lt;&gt;"",A394&lt;&gt;""),"UY10","")</f>
        <v/>
      </c>
      <c r="J394" t="str">
        <f>IF(AND(Formulario!D406&lt;&gt;"",A394&lt;&gt;""),"0001","")</f>
        <v/>
      </c>
      <c r="K394" t="str">
        <f>IF(AND(Formulario!D406&lt;&gt;"",A394&lt;&gt;""),"1","")</f>
        <v/>
      </c>
    </row>
    <row r="395" spans="1:11" x14ac:dyDescent="0.3">
      <c r="A395" t="str">
        <f>IF(AND(Formulario!D407&lt;&gt;"",ISNUMBER(Formulario!D407)),Formulario!D407,"")</f>
        <v/>
      </c>
      <c r="B395" s="146" t="str">
        <f>IF(AND(Formulario!F407&lt;&gt;"", Formulario!F407&lt;&gt;"",A395&lt;&gt;""),Formulario!F407,"")</f>
        <v/>
      </c>
      <c r="C395" s="146" t="str">
        <f>IF(AND(Formulario!D407&lt;&gt;"", Formulario!E407&lt;&gt;"",A395&lt;&gt;""),Formulario!E407,"")</f>
        <v/>
      </c>
      <c r="D395" s="55" t="str">
        <f>IF('Cond SAP'!AA407="","",'Cond SAP'!AA407)</f>
        <v/>
      </c>
      <c r="E395" t="str">
        <f>IF(AND(Formulario!G407&lt;&gt;"",Formulario!Q407&lt;&gt;"",A395&lt;&gt;""),Formulario!Q407,"")</f>
        <v/>
      </c>
      <c r="F395" t="str" cm="1">
        <f t="array" aca="1" ref="F395" ca="1">IF(OR(A395="",B395=""),"",LEFT(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5" t="str">
        <f>IF(AND(Formulario!G407&lt;&gt;"",Formulario!G407&lt;&gt;"",A395&lt;&gt;""),Formulario!G407,"")</f>
        <v/>
      </c>
      <c r="I395" t="str">
        <f>IF(AND(Formulario!D407&lt;&gt;"",A395&lt;&gt;""),"UY10","")</f>
        <v/>
      </c>
      <c r="J395" t="str">
        <f>IF(AND(Formulario!D407&lt;&gt;"",A395&lt;&gt;""),"0001","")</f>
        <v/>
      </c>
      <c r="K395" t="str">
        <f>IF(AND(Formulario!D407&lt;&gt;"",A395&lt;&gt;""),"1","")</f>
        <v/>
      </c>
    </row>
    <row r="396" spans="1:11" x14ac:dyDescent="0.3">
      <c r="A396" t="str">
        <f>IF(AND(Formulario!D408&lt;&gt;"",ISNUMBER(Formulario!D408)),Formulario!D408,"")</f>
        <v/>
      </c>
      <c r="B396" s="146" t="str">
        <f>IF(AND(Formulario!F408&lt;&gt;"", Formulario!F408&lt;&gt;"",A396&lt;&gt;""),Formulario!F408,"")</f>
        <v/>
      </c>
      <c r="C396" s="146" t="str">
        <f>IF(AND(Formulario!D408&lt;&gt;"", Formulario!E408&lt;&gt;"",A396&lt;&gt;""),Formulario!E408,"")</f>
        <v/>
      </c>
      <c r="D396" s="55" t="str">
        <f>IF('Cond SAP'!AA408="","",'Cond SAP'!AA408)</f>
        <v/>
      </c>
      <c r="E396" t="str">
        <f>IF(AND(Formulario!G408&lt;&gt;"",Formulario!Q408&lt;&gt;"",A396&lt;&gt;""),Formulario!Q408,"")</f>
        <v/>
      </c>
      <c r="F396" t="str" cm="1">
        <f t="array" aca="1" ref="F396" ca="1">IF(OR(A396="",B396=""),"",LEFT(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6" t="str">
        <f>IF(AND(Formulario!G408&lt;&gt;"",Formulario!G408&lt;&gt;"",A396&lt;&gt;""),Formulario!G408,"")</f>
        <v/>
      </c>
      <c r="I396" t="str">
        <f>IF(AND(Formulario!D408&lt;&gt;"",A396&lt;&gt;""),"UY10","")</f>
        <v/>
      </c>
      <c r="J396" t="str">
        <f>IF(AND(Formulario!D408&lt;&gt;"",A396&lt;&gt;""),"0001","")</f>
        <v/>
      </c>
      <c r="K396" t="str">
        <f>IF(AND(Formulario!D408&lt;&gt;"",A396&lt;&gt;""),"1","")</f>
        <v/>
      </c>
    </row>
    <row r="397" spans="1:11" x14ac:dyDescent="0.3">
      <c r="A397" t="str">
        <f>IF(AND(Formulario!D409&lt;&gt;"",ISNUMBER(Formulario!D409)),Formulario!D409,"")</f>
        <v/>
      </c>
      <c r="B397" s="146" t="str">
        <f>IF(AND(Formulario!F409&lt;&gt;"", Formulario!F409&lt;&gt;"",A397&lt;&gt;""),Formulario!F409,"")</f>
        <v/>
      </c>
      <c r="C397" s="146" t="str">
        <f>IF(AND(Formulario!D409&lt;&gt;"", Formulario!E409&lt;&gt;"",A397&lt;&gt;""),Formulario!E409,"")</f>
        <v/>
      </c>
      <c r="D397" s="55" t="str">
        <f>IF('Cond SAP'!AA409="","",'Cond SAP'!AA409)</f>
        <v/>
      </c>
      <c r="E397" t="str">
        <f>IF(AND(Formulario!G409&lt;&gt;"",Formulario!Q409&lt;&gt;"",A397&lt;&gt;""),Formulario!Q409,"")</f>
        <v/>
      </c>
      <c r="F397" t="str" cm="1">
        <f t="array" aca="1" ref="F397" ca="1">IF(OR(A397="",B397=""),"",LEFT(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7" t="str">
        <f>IF(AND(Formulario!G409&lt;&gt;"",Formulario!G409&lt;&gt;"",A397&lt;&gt;""),Formulario!G409,"")</f>
        <v/>
      </c>
      <c r="I397" t="str">
        <f>IF(AND(Formulario!D409&lt;&gt;"",A397&lt;&gt;""),"UY10","")</f>
        <v/>
      </c>
      <c r="J397" t="str">
        <f>IF(AND(Formulario!D409&lt;&gt;"",A397&lt;&gt;""),"0001","")</f>
        <v/>
      </c>
      <c r="K397" t="str">
        <f>IF(AND(Formulario!D409&lt;&gt;"",A397&lt;&gt;""),"1","")</f>
        <v/>
      </c>
    </row>
    <row r="398" spans="1:11" x14ac:dyDescent="0.3">
      <c r="A398" t="str">
        <f>IF(AND(Formulario!D410&lt;&gt;"",ISNUMBER(Formulario!D410)),Formulario!D410,"")</f>
        <v/>
      </c>
      <c r="B398" s="146" t="str">
        <f>IF(AND(Formulario!F410&lt;&gt;"", Formulario!F410&lt;&gt;"",A398&lt;&gt;""),Formulario!F410,"")</f>
        <v/>
      </c>
      <c r="C398" s="146" t="str">
        <f>IF(AND(Formulario!D410&lt;&gt;"", Formulario!E410&lt;&gt;"",A398&lt;&gt;""),Formulario!E410,"")</f>
        <v/>
      </c>
      <c r="D398" s="55" t="str">
        <f>IF('Cond SAP'!AA410="","",'Cond SAP'!AA410)</f>
        <v/>
      </c>
      <c r="E398" t="str">
        <f>IF(AND(Formulario!G410&lt;&gt;"",Formulario!Q410&lt;&gt;"",A398&lt;&gt;""),Formulario!Q410,"")</f>
        <v/>
      </c>
      <c r="F398" t="str" cm="1">
        <f t="array" aca="1" ref="F398" ca="1">IF(OR(A398="",B398=""),"",LEFT(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8" t="str">
        <f>IF(AND(Formulario!G410&lt;&gt;"",Formulario!G410&lt;&gt;"",A398&lt;&gt;""),Formulario!G410,"")</f>
        <v/>
      </c>
      <c r="I398" t="str">
        <f>IF(AND(Formulario!D410&lt;&gt;"",A398&lt;&gt;""),"UY10","")</f>
        <v/>
      </c>
      <c r="J398" t="str">
        <f>IF(AND(Formulario!D410&lt;&gt;"",A398&lt;&gt;""),"0001","")</f>
        <v/>
      </c>
      <c r="K398" t="str">
        <f>IF(AND(Formulario!D410&lt;&gt;"",A398&lt;&gt;""),"1","")</f>
        <v/>
      </c>
    </row>
    <row r="399" spans="1:11" x14ac:dyDescent="0.3">
      <c r="A399" t="str">
        <f>IF(AND(Formulario!D411&lt;&gt;"",ISNUMBER(Formulario!D411)),Formulario!D411,"")</f>
        <v/>
      </c>
      <c r="B399" s="146" t="str">
        <f>IF(AND(Formulario!F411&lt;&gt;"", Formulario!F411&lt;&gt;"",A399&lt;&gt;""),Formulario!F411,"")</f>
        <v/>
      </c>
      <c r="C399" s="146" t="str">
        <f>IF(AND(Formulario!D411&lt;&gt;"", Formulario!E411&lt;&gt;"",A399&lt;&gt;""),Formulario!E411,"")</f>
        <v/>
      </c>
      <c r="D399" s="55" t="str">
        <f>IF('Cond SAP'!AA411="","",'Cond SAP'!AA411)</f>
        <v/>
      </c>
      <c r="E399" t="str">
        <f>IF(AND(Formulario!G411&lt;&gt;"",Formulario!Q411&lt;&gt;"",A399&lt;&gt;""),Formulario!Q411,"")</f>
        <v/>
      </c>
      <c r="F399" t="str" cm="1">
        <f t="array" aca="1" ref="F399" ca="1">IF(OR(A399="",B399=""),"",LEFT(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399" t="str">
        <f>IF(AND(Formulario!G411&lt;&gt;"",Formulario!G411&lt;&gt;"",A399&lt;&gt;""),Formulario!G411,"")</f>
        <v/>
      </c>
      <c r="I399" t="str">
        <f>IF(AND(Formulario!D411&lt;&gt;"",A399&lt;&gt;""),"UY10","")</f>
        <v/>
      </c>
      <c r="J399" t="str">
        <f>IF(AND(Formulario!D411&lt;&gt;"",A399&lt;&gt;""),"0001","")</f>
        <v/>
      </c>
      <c r="K399" t="str">
        <f>IF(AND(Formulario!D411&lt;&gt;"",A399&lt;&gt;""),"1","")</f>
        <v/>
      </c>
    </row>
    <row r="400" spans="1:11" x14ac:dyDescent="0.3">
      <c r="A400" t="str">
        <f>IF(AND(Formulario!D412&lt;&gt;"",ISNUMBER(Formulario!D412)),Formulario!D412,"")</f>
        <v/>
      </c>
      <c r="B400" s="146" t="str">
        <f>IF(AND(Formulario!F412&lt;&gt;"", Formulario!F412&lt;&gt;"",A400&lt;&gt;""),Formulario!F412,"")</f>
        <v/>
      </c>
      <c r="C400" s="146" t="str">
        <f>IF(AND(Formulario!D412&lt;&gt;"", Formulario!E412&lt;&gt;"",A400&lt;&gt;""),Formulario!E412,"")</f>
        <v/>
      </c>
      <c r="D400" s="55" t="str">
        <f>IF('Cond SAP'!AA412="","",'Cond SAP'!AA412)</f>
        <v/>
      </c>
      <c r="E400" t="str">
        <f>IF(AND(Formulario!G412&lt;&gt;"",Formulario!Q412&lt;&gt;"",A400&lt;&gt;""),Formulario!Q412,"")</f>
        <v/>
      </c>
      <c r="F400" t="str" cm="1">
        <f t="array" aca="1" ref="F400" ca="1">IF(OR(A400="",B400=""),"",LEFT(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0" t="str">
        <f>IF(AND(Formulario!G412&lt;&gt;"",Formulario!G412&lt;&gt;"",A400&lt;&gt;""),Formulario!G412,"")</f>
        <v/>
      </c>
      <c r="I400" t="str">
        <f>IF(AND(Formulario!D412&lt;&gt;"",A400&lt;&gt;""),"UY10","")</f>
        <v/>
      </c>
      <c r="J400" t="str">
        <f>IF(AND(Formulario!D412&lt;&gt;"",A400&lt;&gt;""),"0001","")</f>
        <v/>
      </c>
      <c r="K400" t="str">
        <f>IF(AND(Formulario!D412&lt;&gt;"",A400&lt;&gt;""),"1","")</f>
        <v/>
      </c>
    </row>
    <row r="401" spans="1:11" x14ac:dyDescent="0.3">
      <c r="A401" t="str">
        <f>IF(AND(Formulario!D413&lt;&gt;"",ISNUMBER(Formulario!D413)),Formulario!D413,"")</f>
        <v/>
      </c>
      <c r="B401" s="146" t="str">
        <f>IF(AND(Formulario!F413&lt;&gt;"", Formulario!F413&lt;&gt;"",A401&lt;&gt;""),Formulario!F413,"")</f>
        <v/>
      </c>
      <c r="C401" s="146" t="str">
        <f>IF(AND(Formulario!D413&lt;&gt;"", Formulario!E413&lt;&gt;"",A401&lt;&gt;""),Formulario!E413,"")</f>
        <v/>
      </c>
      <c r="D401" s="55" t="str">
        <f>IF('Cond SAP'!AA413="","",'Cond SAP'!AA413)</f>
        <v/>
      </c>
      <c r="E401" t="str">
        <f>IF(AND(Formulario!G413&lt;&gt;"",Formulario!Q413&lt;&gt;"",A401&lt;&gt;""),Formulario!Q413,"")</f>
        <v/>
      </c>
      <c r="F401" t="str" cm="1">
        <f t="array" aca="1" ref="F401" ca="1">IF(OR(A401="",B401=""),"",LEFT(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1" t="str">
        <f>IF(AND(Formulario!G413&lt;&gt;"",Formulario!G413&lt;&gt;"",A401&lt;&gt;""),Formulario!G413,"")</f>
        <v/>
      </c>
      <c r="I401" t="str">
        <f>IF(AND(Formulario!D413&lt;&gt;"",A401&lt;&gt;""),"UY10","")</f>
        <v/>
      </c>
      <c r="J401" t="str">
        <f>IF(AND(Formulario!D413&lt;&gt;"",A401&lt;&gt;""),"0001","")</f>
        <v/>
      </c>
      <c r="K401" t="str">
        <f>IF(AND(Formulario!D413&lt;&gt;"",A401&lt;&gt;""),"1","")</f>
        <v/>
      </c>
    </row>
    <row r="402" spans="1:11" x14ac:dyDescent="0.3">
      <c r="A402" t="str">
        <f>IF(AND(Formulario!D414&lt;&gt;"",ISNUMBER(Formulario!D414)),Formulario!D414,"")</f>
        <v/>
      </c>
      <c r="B402" s="146" t="str">
        <f>IF(AND(Formulario!F414&lt;&gt;"", Formulario!F414&lt;&gt;"",A402&lt;&gt;""),Formulario!F414,"")</f>
        <v/>
      </c>
      <c r="C402" s="146" t="str">
        <f>IF(AND(Formulario!D414&lt;&gt;"", Formulario!E414&lt;&gt;"",A402&lt;&gt;""),Formulario!E414,"")</f>
        <v/>
      </c>
      <c r="D402" s="55" t="str">
        <f>IF('Cond SAP'!AA414="","",'Cond SAP'!AA414)</f>
        <v/>
      </c>
      <c r="E402" t="str">
        <f>IF(AND(Formulario!G414&lt;&gt;"",Formulario!Q414&lt;&gt;"",A402&lt;&gt;""),Formulario!Q414,"")</f>
        <v/>
      </c>
      <c r="F402" t="str" cm="1">
        <f t="array" aca="1" ref="F402" ca="1">IF(OR(A402="",B402=""),"",LEFT(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2" t="str">
        <f>IF(AND(Formulario!G414&lt;&gt;"",Formulario!G414&lt;&gt;"",A402&lt;&gt;""),Formulario!G414,"")</f>
        <v/>
      </c>
      <c r="I402" t="str">
        <f>IF(AND(Formulario!D414&lt;&gt;"",A402&lt;&gt;""),"UY10","")</f>
        <v/>
      </c>
      <c r="J402" t="str">
        <f>IF(AND(Formulario!D414&lt;&gt;"",A402&lt;&gt;""),"0001","")</f>
        <v/>
      </c>
      <c r="K402" t="str">
        <f>IF(AND(Formulario!D414&lt;&gt;"",A402&lt;&gt;""),"1","")</f>
        <v/>
      </c>
    </row>
    <row r="403" spans="1:11" x14ac:dyDescent="0.3">
      <c r="A403" t="str">
        <f>IF(AND(Formulario!D415&lt;&gt;"",ISNUMBER(Formulario!D415)),Formulario!D415,"")</f>
        <v/>
      </c>
      <c r="B403" s="146" t="str">
        <f>IF(AND(Formulario!F415&lt;&gt;"", Formulario!F415&lt;&gt;"",A403&lt;&gt;""),Formulario!F415,"")</f>
        <v/>
      </c>
      <c r="C403" s="146" t="str">
        <f>IF(AND(Formulario!D415&lt;&gt;"", Formulario!E415&lt;&gt;"",A403&lt;&gt;""),Formulario!E415,"")</f>
        <v/>
      </c>
      <c r="D403" s="55" t="str">
        <f>IF('Cond SAP'!AA415="","",'Cond SAP'!AA415)</f>
        <v/>
      </c>
      <c r="E403" t="str">
        <f>IF(AND(Formulario!G415&lt;&gt;"",Formulario!Q415&lt;&gt;"",A403&lt;&gt;""),Formulario!Q415,"")</f>
        <v/>
      </c>
      <c r="F403" t="str" cm="1">
        <f t="array" aca="1" ref="F403" ca="1">IF(OR(A403="",B403=""),"",LEFT(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3" t="str">
        <f>IF(AND(Formulario!G415&lt;&gt;"",Formulario!G415&lt;&gt;"",A403&lt;&gt;""),Formulario!G415,"")</f>
        <v/>
      </c>
      <c r="I403" t="str">
        <f>IF(AND(Formulario!D415&lt;&gt;"",A403&lt;&gt;""),"UY10","")</f>
        <v/>
      </c>
      <c r="J403" t="str">
        <f>IF(AND(Formulario!D415&lt;&gt;"",A403&lt;&gt;""),"0001","")</f>
        <v/>
      </c>
      <c r="K403" t="str">
        <f>IF(AND(Formulario!D415&lt;&gt;"",A403&lt;&gt;""),"1","")</f>
        <v/>
      </c>
    </row>
    <row r="404" spans="1:11" x14ac:dyDescent="0.3">
      <c r="A404" t="str">
        <f>IF(AND(Formulario!D416&lt;&gt;"",ISNUMBER(Formulario!D416)),Formulario!D416,"")</f>
        <v/>
      </c>
      <c r="B404" s="146" t="str">
        <f>IF(AND(Formulario!F416&lt;&gt;"", Formulario!F416&lt;&gt;"",A404&lt;&gt;""),Formulario!F416,"")</f>
        <v/>
      </c>
      <c r="C404" s="146" t="str">
        <f>IF(AND(Formulario!D416&lt;&gt;"", Formulario!E416&lt;&gt;"",A404&lt;&gt;""),Formulario!E416,"")</f>
        <v/>
      </c>
      <c r="D404" s="55" t="str">
        <f>IF('Cond SAP'!AA416="","",'Cond SAP'!AA416)</f>
        <v/>
      </c>
      <c r="E404" t="str">
        <f>IF(AND(Formulario!G416&lt;&gt;"",Formulario!Q416&lt;&gt;"",A404&lt;&gt;""),Formulario!Q416,"")</f>
        <v/>
      </c>
      <c r="F404" t="str" cm="1">
        <f t="array" aca="1" ref="F404" ca="1">IF(OR(A404="",B404=""),"",LEFT(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4" t="str">
        <f>IF(AND(Formulario!G416&lt;&gt;"",Formulario!G416&lt;&gt;"",A404&lt;&gt;""),Formulario!G416,"")</f>
        <v/>
      </c>
      <c r="I404" t="str">
        <f>IF(AND(Formulario!D416&lt;&gt;"",A404&lt;&gt;""),"UY10","")</f>
        <v/>
      </c>
      <c r="J404" t="str">
        <f>IF(AND(Formulario!D416&lt;&gt;"",A404&lt;&gt;""),"0001","")</f>
        <v/>
      </c>
      <c r="K404" t="str">
        <f>IF(AND(Formulario!D416&lt;&gt;"",A404&lt;&gt;""),"1","")</f>
        <v/>
      </c>
    </row>
    <row r="405" spans="1:11" x14ac:dyDescent="0.3">
      <c r="A405" t="str">
        <f>IF(AND(Formulario!D417&lt;&gt;"",ISNUMBER(Formulario!D417)),Formulario!D417,"")</f>
        <v/>
      </c>
      <c r="B405" s="146" t="str">
        <f>IF(AND(Formulario!F417&lt;&gt;"", Formulario!F417&lt;&gt;"",A405&lt;&gt;""),Formulario!F417,"")</f>
        <v/>
      </c>
      <c r="C405" s="146" t="str">
        <f>IF(AND(Formulario!D417&lt;&gt;"", Formulario!E417&lt;&gt;"",A405&lt;&gt;""),Formulario!E417,"")</f>
        <v/>
      </c>
      <c r="D405" s="55" t="str">
        <f>IF('Cond SAP'!AA417="","",'Cond SAP'!AA417)</f>
        <v/>
      </c>
      <c r="E405" t="str">
        <f>IF(AND(Formulario!G417&lt;&gt;"",Formulario!Q417&lt;&gt;"",A405&lt;&gt;""),Formulario!Q417,"")</f>
        <v/>
      </c>
      <c r="F405" t="str" cm="1">
        <f t="array" aca="1" ref="F405" ca="1">IF(OR(A405="",B405=""),"",LEFT(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5" t="str">
        <f>IF(AND(Formulario!G417&lt;&gt;"",Formulario!G417&lt;&gt;"",A405&lt;&gt;""),Formulario!G417,"")</f>
        <v/>
      </c>
      <c r="I405" t="str">
        <f>IF(AND(Formulario!D417&lt;&gt;"",A405&lt;&gt;""),"UY10","")</f>
        <v/>
      </c>
      <c r="J405" t="str">
        <f>IF(AND(Formulario!D417&lt;&gt;"",A405&lt;&gt;""),"0001","")</f>
        <v/>
      </c>
      <c r="K405" t="str">
        <f>IF(AND(Formulario!D417&lt;&gt;"",A405&lt;&gt;""),"1","")</f>
        <v/>
      </c>
    </row>
    <row r="406" spans="1:11" x14ac:dyDescent="0.3">
      <c r="A406" t="str">
        <f>IF(AND(Formulario!D418&lt;&gt;"",ISNUMBER(Formulario!D418)),Formulario!D418,"")</f>
        <v/>
      </c>
      <c r="B406" s="146" t="str">
        <f>IF(AND(Formulario!F418&lt;&gt;"", Formulario!F418&lt;&gt;"",A406&lt;&gt;""),Formulario!F418,"")</f>
        <v/>
      </c>
      <c r="C406" s="146" t="str">
        <f>IF(AND(Formulario!D418&lt;&gt;"", Formulario!E418&lt;&gt;"",A406&lt;&gt;""),Formulario!E418,"")</f>
        <v/>
      </c>
      <c r="D406" s="55" t="str">
        <f>IF('Cond SAP'!AA418="","",'Cond SAP'!AA418)</f>
        <v/>
      </c>
      <c r="E406" t="str">
        <f>IF(AND(Formulario!G418&lt;&gt;"",Formulario!Q418&lt;&gt;"",A406&lt;&gt;""),Formulario!Q418,"")</f>
        <v/>
      </c>
      <c r="F406" t="str" cm="1">
        <f t="array" aca="1" ref="F406" ca="1">IF(OR(A406="",B406=""),"",LEFT(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6" t="str">
        <f>IF(AND(Formulario!G418&lt;&gt;"",Formulario!G418&lt;&gt;"",A406&lt;&gt;""),Formulario!G418,"")</f>
        <v/>
      </c>
      <c r="I406" t="str">
        <f>IF(AND(Formulario!D418&lt;&gt;"",A406&lt;&gt;""),"UY10","")</f>
        <v/>
      </c>
      <c r="J406" t="str">
        <f>IF(AND(Formulario!D418&lt;&gt;"",A406&lt;&gt;""),"0001","")</f>
        <v/>
      </c>
      <c r="K406" t="str">
        <f>IF(AND(Formulario!D418&lt;&gt;"",A406&lt;&gt;""),"1","")</f>
        <v/>
      </c>
    </row>
    <row r="407" spans="1:11" x14ac:dyDescent="0.3">
      <c r="A407" t="str">
        <f>IF(AND(Formulario!D419&lt;&gt;"",ISNUMBER(Formulario!D419)),Formulario!D419,"")</f>
        <v/>
      </c>
      <c r="B407" s="146" t="str">
        <f>IF(AND(Formulario!F419&lt;&gt;"", Formulario!F419&lt;&gt;"",A407&lt;&gt;""),Formulario!F419,"")</f>
        <v/>
      </c>
      <c r="C407" s="146" t="str">
        <f>IF(AND(Formulario!D419&lt;&gt;"", Formulario!E419&lt;&gt;"",A407&lt;&gt;""),Formulario!E419,"")</f>
        <v/>
      </c>
      <c r="D407" s="55" t="str">
        <f>IF('Cond SAP'!AA419="","",'Cond SAP'!AA419)</f>
        <v/>
      </c>
      <c r="E407" t="str">
        <f>IF(AND(Formulario!G419&lt;&gt;"",Formulario!Q419&lt;&gt;"",A407&lt;&gt;""),Formulario!Q419,"")</f>
        <v/>
      </c>
      <c r="F407" t="str" cm="1">
        <f t="array" aca="1" ref="F407" ca="1">IF(OR(A407="",B407=""),"",LEFT(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7" t="str">
        <f>IF(AND(Formulario!G419&lt;&gt;"",Formulario!G419&lt;&gt;"",A407&lt;&gt;""),Formulario!G419,"")</f>
        <v/>
      </c>
      <c r="I407" t="str">
        <f>IF(AND(Formulario!D419&lt;&gt;"",A407&lt;&gt;""),"UY10","")</f>
        <v/>
      </c>
      <c r="J407" t="str">
        <f>IF(AND(Formulario!D419&lt;&gt;"",A407&lt;&gt;""),"0001","")</f>
        <v/>
      </c>
      <c r="K407" t="str">
        <f>IF(AND(Formulario!D419&lt;&gt;"",A407&lt;&gt;""),"1","")</f>
        <v/>
      </c>
    </row>
    <row r="408" spans="1:11" x14ac:dyDescent="0.3">
      <c r="A408" t="str">
        <f>IF(AND(Formulario!D420&lt;&gt;"",ISNUMBER(Formulario!D420)),Formulario!D420,"")</f>
        <v/>
      </c>
      <c r="B408" s="146" t="str">
        <f>IF(AND(Formulario!F420&lt;&gt;"", Formulario!F420&lt;&gt;"",A408&lt;&gt;""),Formulario!F420,"")</f>
        <v/>
      </c>
      <c r="C408" s="146" t="str">
        <f>IF(AND(Formulario!D420&lt;&gt;"", Formulario!E420&lt;&gt;"",A408&lt;&gt;""),Formulario!E420,"")</f>
        <v/>
      </c>
      <c r="D408" s="55" t="str">
        <f>IF('Cond SAP'!AA420="","",'Cond SAP'!AA420)</f>
        <v/>
      </c>
      <c r="E408" t="str">
        <f>IF(AND(Formulario!G420&lt;&gt;"",Formulario!Q420&lt;&gt;"",A408&lt;&gt;""),Formulario!Q420,"")</f>
        <v/>
      </c>
      <c r="F408" t="str" cm="1">
        <f t="array" aca="1" ref="F408" ca="1">IF(OR(A408="",B408=""),"",LEFT(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8" t="str">
        <f>IF(AND(Formulario!G420&lt;&gt;"",Formulario!G420&lt;&gt;"",A408&lt;&gt;""),Formulario!G420,"")</f>
        <v/>
      </c>
      <c r="I408" t="str">
        <f>IF(AND(Formulario!D420&lt;&gt;"",A408&lt;&gt;""),"UY10","")</f>
        <v/>
      </c>
      <c r="J408" t="str">
        <f>IF(AND(Formulario!D420&lt;&gt;"",A408&lt;&gt;""),"0001","")</f>
        <v/>
      </c>
      <c r="K408" t="str">
        <f>IF(AND(Formulario!D420&lt;&gt;"",A408&lt;&gt;""),"1","")</f>
        <v/>
      </c>
    </row>
    <row r="409" spans="1:11" x14ac:dyDescent="0.3">
      <c r="A409" t="str">
        <f>IF(AND(Formulario!D421&lt;&gt;"",ISNUMBER(Formulario!D421)),Formulario!D421,"")</f>
        <v/>
      </c>
      <c r="B409" s="146" t="str">
        <f>IF(AND(Formulario!F421&lt;&gt;"", Formulario!F421&lt;&gt;"",A409&lt;&gt;""),Formulario!F421,"")</f>
        <v/>
      </c>
      <c r="C409" s="146" t="str">
        <f>IF(AND(Formulario!D421&lt;&gt;"", Formulario!E421&lt;&gt;"",A409&lt;&gt;""),Formulario!E421,"")</f>
        <v/>
      </c>
      <c r="D409" s="55" t="str">
        <f>IF('Cond SAP'!AA421="","",'Cond SAP'!AA421)</f>
        <v/>
      </c>
      <c r="E409" t="str">
        <f>IF(AND(Formulario!G421&lt;&gt;"",Formulario!Q421&lt;&gt;"",A409&lt;&gt;""),Formulario!Q421,"")</f>
        <v/>
      </c>
      <c r="F409" t="str" cm="1">
        <f t="array" aca="1" ref="F409" ca="1">IF(OR(A409="",B409=""),"",LEFT(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09" t="str">
        <f>IF(AND(Formulario!G421&lt;&gt;"",Formulario!G421&lt;&gt;"",A409&lt;&gt;""),Formulario!G421,"")</f>
        <v/>
      </c>
      <c r="I409" t="str">
        <f>IF(AND(Formulario!D421&lt;&gt;"",A409&lt;&gt;""),"UY10","")</f>
        <v/>
      </c>
      <c r="J409" t="str">
        <f>IF(AND(Formulario!D421&lt;&gt;"",A409&lt;&gt;""),"0001","")</f>
        <v/>
      </c>
      <c r="K409" t="str">
        <f>IF(AND(Formulario!D421&lt;&gt;"",A409&lt;&gt;""),"1","")</f>
        <v/>
      </c>
    </row>
    <row r="410" spans="1:11" x14ac:dyDescent="0.3">
      <c r="A410" t="str">
        <f>IF(AND(Formulario!D422&lt;&gt;"",ISNUMBER(Formulario!D422)),Formulario!D422,"")</f>
        <v/>
      </c>
      <c r="B410" s="146" t="str">
        <f>IF(AND(Formulario!F422&lt;&gt;"", Formulario!F422&lt;&gt;"",A410&lt;&gt;""),Formulario!F422,"")</f>
        <v/>
      </c>
      <c r="C410" s="146" t="str">
        <f>IF(AND(Formulario!D422&lt;&gt;"", Formulario!E422&lt;&gt;"",A410&lt;&gt;""),Formulario!E422,"")</f>
        <v/>
      </c>
      <c r="D410" s="55" t="str">
        <f>IF('Cond SAP'!AA422="","",'Cond SAP'!AA422)</f>
        <v/>
      </c>
      <c r="E410" t="str">
        <f>IF(AND(Formulario!G422&lt;&gt;"",Formulario!Q422&lt;&gt;"",A410&lt;&gt;""),Formulario!Q422,"")</f>
        <v/>
      </c>
      <c r="F410" t="str" cm="1">
        <f t="array" aca="1" ref="F410" ca="1">IF(OR(A410="",B410=""),"",LEFT(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0" t="str">
        <f>IF(AND(Formulario!G422&lt;&gt;"",Formulario!G422&lt;&gt;"",A410&lt;&gt;""),Formulario!G422,"")</f>
        <v/>
      </c>
      <c r="I410" t="str">
        <f>IF(AND(Formulario!D422&lt;&gt;"",A410&lt;&gt;""),"UY10","")</f>
        <v/>
      </c>
      <c r="J410" t="str">
        <f>IF(AND(Formulario!D422&lt;&gt;"",A410&lt;&gt;""),"0001","")</f>
        <v/>
      </c>
      <c r="K410" t="str">
        <f>IF(AND(Formulario!D422&lt;&gt;"",A410&lt;&gt;""),"1","")</f>
        <v/>
      </c>
    </row>
    <row r="411" spans="1:11" x14ac:dyDescent="0.3">
      <c r="A411" t="str">
        <f>IF(AND(Formulario!D423&lt;&gt;"",ISNUMBER(Formulario!D423)),Formulario!D423,"")</f>
        <v/>
      </c>
      <c r="B411" s="146" t="str">
        <f>IF(AND(Formulario!F423&lt;&gt;"", Formulario!F423&lt;&gt;"",A411&lt;&gt;""),Formulario!F423,"")</f>
        <v/>
      </c>
      <c r="C411" s="146" t="str">
        <f>IF(AND(Formulario!D423&lt;&gt;"", Formulario!E423&lt;&gt;"",A411&lt;&gt;""),Formulario!E423,"")</f>
        <v/>
      </c>
      <c r="D411" s="55" t="str">
        <f>IF('Cond SAP'!AA423="","",'Cond SAP'!AA423)</f>
        <v/>
      </c>
      <c r="E411" t="str">
        <f>IF(AND(Formulario!G423&lt;&gt;"",Formulario!Q423&lt;&gt;"",A411&lt;&gt;""),Formulario!Q423,"")</f>
        <v/>
      </c>
      <c r="F411" t="str" cm="1">
        <f t="array" aca="1" ref="F411" ca="1">IF(OR(A411="",B411=""),"",LEFT(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1" t="str">
        <f>IF(AND(Formulario!G423&lt;&gt;"",Formulario!G423&lt;&gt;"",A411&lt;&gt;""),Formulario!G423,"")</f>
        <v/>
      </c>
      <c r="I411" t="str">
        <f>IF(AND(Formulario!D423&lt;&gt;"",A411&lt;&gt;""),"UY10","")</f>
        <v/>
      </c>
      <c r="J411" t="str">
        <f>IF(AND(Formulario!D423&lt;&gt;"",A411&lt;&gt;""),"0001","")</f>
        <v/>
      </c>
      <c r="K411" t="str">
        <f>IF(AND(Formulario!D423&lt;&gt;"",A411&lt;&gt;""),"1","")</f>
        <v/>
      </c>
    </row>
    <row r="412" spans="1:11" x14ac:dyDescent="0.3">
      <c r="A412" t="str">
        <f>IF(AND(Formulario!D424&lt;&gt;"",ISNUMBER(Formulario!D424)),Formulario!D424,"")</f>
        <v/>
      </c>
      <c r="B412" s="146" t="str">
        <f>IF(AND(Formulario!F424&lt;&gt;"", Formulario!F424&lt;&gt;"",A412&lt;&gt;""),Formulario!F424,"")</f>
        <v/>
      </c>
      <c r="C412" s="146" t="str">
        <f>IF(AND(Formulario!D424&lt;&gt;"", Formulario!E424&lt;&gt;"",A412&lt;&gt;""),Formulario!E424,"")</f>
        <v/>
      </c>
      <c r="D412" s="55" t="str">
        <f>IF('Cond SAP'!AA424="","",'Cond SAP'!AA424)</f>
        <v/>
      </c>
      <c r="E412" t="str">
        <f>IF(AND(Formulario!G424&lt;&gt;"",Formulario!Q424&lt;&gt;"",A412&lt;&gt;""),Formulario!Q424,"")</f>
        <v/>
      </c>
      <c r="F412" t="str" cm="1">
        <f t="array" aca="1" ref="F412" ca="1">IF(OR(A412="",B412=""),"",LEFT(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2" t="str">
        <f>IF(AND(Formulario!G424&lt;&gt;"",Formulario!G424&lt;&gt;"",A412&lt;&gt;""),Formulario!G424,"")</f>
        <v/>
      </c>
      <c r="I412" t="str">
        <f>IF(AND(Formulario!D424&lt;&gt;"",A412&lt;&gt;""),"UY10","")</f>
        <v/>
      </c>
      <c r="J412" t="str">
        <f>IF(AND(Formulario!D424&lt;&gt;"",A412&lt;&gt;""),"0001","")</f>
        <v/>
      </c>
      <c r="K412" t="str">
        <f>IF(AND(Formulario!D424&lt;&gt;"",A412&lt;&gt;""),"1","")</f>
        <v/>
      </c>
    </row>
    <row r="413" spans="1:11" x14ac:dyDescent="0.3">
      <c r="A413" t="str">
        <f>IF(AND(Formulario!D425&lt;&gt;"",ISNUMBER(Formulario!D425)),Formulario!D425,"")</f>
        <v/>
      </c>
      <c r="B413" s="146" t="str">
        <f>IF(AND(Formulario!F425&lt;&gt;"", Formulario!F425&lt;&gt;"",A413&lt;&gt;""),Formulario!F425,"")</f>
        <v/>
      </c>
      <c r="C413" s="146" t="str">
        <f>IF(AND(Formulario!D425&lt;&gt;"", Formulario!E425&lt;&gt;"",A413&lt;&gt;""),Formulario!E425,"")</f>
        <v/>
      </c>
      <c r="D413" s="55" t="str">
        <f>IF('Cond SAP'!AA425="","",'Cond SAP'!AA425)</f>
        <v/>
      </c>
      <c r="E413" t="str">
        <f>IF(AND(Formulario!G425&lt;&gt;"",Formulario!Q425&lt;&gt;"",A413&lt;&gt;""),Formulario!Q425,"")</f>
        <v/>
      </c>
      <c r="F413" t="str" cm="1">
        <f t="array" aca="1" ref="F413" ca="1">IF(OR(A413="",B413=""),"",LEFT(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3" t="str">
        <f>IF(AND(Formulario!G425&lt;&gt;"",Formulario!G425&lt;&gt;"",A413&lt;&gt;""),Formulario!G425,"")</f>
        <v/>
      </c>
      <c r="I413" t="str">
        <f>IF(AND(Formulario!D425&lt;&gt;"",A413&lt;&gt;""),"UY10","")</f>
        <v/>
      </c>
      <c r="J413" t="str">
        <f>IF(AND(Formulario!D425&lt;&gt;"",A413&lt;&gt;""),"0001","")</f>
        <v/>
      </c>
      <c r="K413" t="str">
        <f>IF(AND(Formulario!D425&lt;&gt;"",A413&lt;&gt;""),"1","")</f>
        <v/>
      </c>
    </row>
    <row r="414" spans="1:11" x14ac:dyDescent="0.3">
      <c r="A414" t="str">
        <f>IF(AND(Formulario!D426&lt;&gt;"",ISNUMBER(Formulario!D426)),Formulario!D426,"")</f>
        <v/>
      </c>
      <c r="B414" s="146" t="str">
        <f>IF(AND(Formulario!F426&lt;&gt;"", Formulario!F426&lt;&gt;"",A414&lt;&gt;""),Formulario!F426,"")</f>
        <v/>
      </c>
      <c r="C414" s="146" t="str">
        <f>IF(AND(Formulario!D426&lt;&gt;"", Formulario!E426&lt;&gt;"",A414&lt;&gt;""),Formulario!E426,"")</f>
        <v/>
      </c>
      <c r="D414" s="55" t="str">
        <f>IF('Cond SAP'!AA426="","",'Cond SAP'!AA426)</f>
        <v/>
      </c>
      <c r="E414" t="str">
        <f>IF(AND(Formulario!G426&lt;&gt;"",Formulario!Q426&lt;&gt;"",A414&lt;&gt;""),Formulario!Q426,"")</f>
        <v/>
      </c>
      <c r="F414" t="str" cm="1">
        <f t="array" aca="1" ref="F414" ca="1">IF(OR(A414="",B414=""),"",LEFT(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4" t="str">
        <f>IF(AND(Formulario!G426&lt;&gt;"",Formulario!G426&lt;&gt;"",A414&lt;&gt;""),Formulario!G426,"")</f>
        <v/>
      </c>
      <c r="I414" t="str">
        <f>IF(AND(Formulario!D426&lt;&gt;"",A414&lt;&gt;""),"UY10","")</f>
        <v/>
      </c>
      <c r="J414" t="str">
        <f>IF(AND(Formulario!D426&lt;&gt;"",A414&lt;&gt;""),"0001","")</f>
        <v/>
      </c>
      <c r="K414" t="str">
        <f>IF(AND(Formulario!D426&lt;&gt;"",A414&lt;&gt;""),"1","")</f>
        <v/>
      </c>
    </row>
    <row r="415" spans="1:11" x14ac:dyDescent="0.3">
      <c r="A415" t="str">
        <f>IF(AND(Formulario!D427&lt;&gt;"",ISNUMBER(Formulario!D427)),Formulario!D427,"")</f>
        <v/>
      </c>
      <c r="B415" s="146" t="str">
        <f>IF(AND(Formulario!F427&lt;&gt;"", Formulario!F427&lt;&gt;"",A415&lt;&gt;""),Formulario!F427,"")</f>
        <v/>
      </c>
      <c r="C415" s="146" t="str">
        <f>IF(AND(Formulario!D427&lt;&gt;"", Formulario!E427&lt;&gt;"",A415&lt;&gt;""),Formulario!E427,"")</f>
        <v/>
      </c>
      <c r="D415" s="55" t="str">
        <f>IF('Cond SAP'!AA427="","",'Cond SAP'!AA427)</f>
        <v/>
      </c>
      <c r="E415" t="str">
        <f>IF(AND(Formulario!G427&lt;&gt;"",Formulario!Q427&lt;&gt;"",A415&lt;&gt;""),Formulario!Q427,"")</f>
        <v/>
      </c>
      <c r="F415" t="str" cm="1">
        <f t="array" aca="1" ref="F415" ca="1">IF(OR(A415="",B415=""),"",LEFT(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5" t="str">
        <f>IF(AND(Formulario!G427&lt;&gt;"",Formulario!G427&lt;&gt;"",A415&lt;&gt;""),Formulario!G427,"")</f>
        <v/>
      </c>
      <c r="I415" t="str">
        <f>IF(AND(Formulario!D427&lt;&gt;"",A415&lt;&gt;""),"UY10","")</f>
        <v/>
      </c>
      <c r="J415" t="str">
        <f>IF(AND(Formulario!D427&lt;&gt;"",A415&lt;&gt;""),"0001","")</f>
        <v/>
      </c>
      <c r="K415" t="str">
        <f>IF(AND(Formulario!D427&lt;&gt;"",A415&lt;&gt;""),"1","")</f>
        <v/>
      </c>
    </row>
    <row r="416" spans="1:11" x14ac:dyDescent="0.3">
      <c r="A416" t="str">
        <f>IF(AND(Formulario!D428&lt;&gt;"",ISNUMBER(Formulario!D428)),Formulario!D428,"")</f>
        <v/>
      </c>
      <c r="B416" s="146" t="str">
        <f>IF(AND(Formulario!F428&lt;&gt;"", Formulario!F428&lt;&gt;"",A416&lt;&gt;""),Formulario!F428,"")</f>
        <v/>
      </c>
      <c r="C416" s="146" t="str">
        <f>IF(AND(Formulario!D428&lt;&gt;"", Formulario!E428&lt;&gt;"",A416&lt;&gt;""),Formulario!E428,"")</f>
        <v/>
      </c>
      <c r="D416" s="55" t="str">
        <f>IF('Cond SAP'!AA428="","",'Cond SAP'!AA428)</f>
        <v/>
      </c>
      <c r="E416" t="str">
        <f>IF(AND(Formulario!G428&lt;&gt;"",Formulario!Q428&lt;&gt;"",A416&lt;&gt;""),Formulario!Q428,"")</f>
        <v/>
      </c>
      <c r="F416" t="str" cm="1">
        <f t="array" aca="1" ref="F416" ca="1">IF(OR(A416="",B416=""),"",LEFT(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6" t="str">
        <f>IF(AND(Formulario!G428&lt;&gt;"",Formulario!G428&lt;&gt;"",A416&lt;&gt;""),Formulario!G428,"")</f>
        <v/>
      </c>
      <c r="I416" t="str">
        <f>IF(AND(Formulario!D428&lt;&gt;"",A416&lt;&gt;""),"UY10","")</f>
        <v/>
      </c>
      <c r="J416" t="str">
        <f>IF(AND(Formulario!D428&lt;&gt;"",A416&lt;&gt;""),"0001","")</f>
        <v/>
      </c>
      <c r="K416" t="str">
        <f>IF(AND(Formulario!D428&lt;&gt;"",A416&lt;&gt;""),"1","")</f>
        <v/>
      </c>
    </row>
    <row r="417" spans="1:11" x14ac:dyDescent="0.3">
      <c r="A417" t="str">
        <f>IF(AND(Formulario!D429&lt;&gt;"",ISNUMBER(Formulario!D429)),Formulario!D429,"")</f>
        <v/>
      </c>
      <c r="B417" s="146" t="str">
        <f>IF(AND(Formulario!F429&lt;&gt;"", Formulario!F429&lt;&gt;"",A417&lt;&gt;""),Formulario!F429,"")</f>
        <v/>
      </c>
      <c r="C417" s="146" t="str">
        <f>IF(AND(Formulario!D429&lt;&gt;"", Formulario!E429&lt;&gt;"",A417&lt;&gt;""),Formulario!E429,"")</f>
        <v/>
      </c>
      <c r="D417" s="55" t="str">
        <f>IF('Cond SAP'!AA429="","",'Cond SAP'!AA429)</f>
        <v/>
      </c>
      <c r="E417" t="str">
        <f>IF(AND(Formulario!G429&lt;&gt;"",Formulario!Q429&lt;&gt;"",A417&lt;&gt;""),Formulario!Q429,"")</f>
        <v/>
      </c>
      <c r="F417" t="str" cm="1">
        <f t="array" aca="1" ref="F417" ca="1">IF(OR(A417="",B417=""),"",LEFT(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7" t="str">
        <f>IF(AND(Formulario!G429&lt;&gt;"",Formulario!G429&lt;&gt;"",A417&lt;&gt;""),Formulario!G429,"")</f>
        <v/>
      </c>
      <c r="I417" t="str">
        <f>IF(AND(Formulario!D429&lt;&gt;"",A417&lt;&gt;""),"UY10","")</f>
        <v/>
      </c>
      <c r="J417" t="str">
        <f>IF(AND(Formulario!D429&lt;&gt;"",A417&lt;&gt;""),"0001","")</f>
        <v/>
      </c>
      <c r="K417" t="str">
        <f>IF(AND(Formulario!D429&lt;&gt;"",A417&lt;&gt;""),"1","")</f>
        <v/>
      </c>
    </row>
    <row r="418" spans="1:11" x14ac:dyDescent="0.3">
      <c r="A418" t="str">
        <f>IF(AND(Formulario!D430&lt;&gt;"",ISNUMBER(Formulario!D430)),Formulario!D430,"")</f>
        <v/>
      </c>
      <c r="B418" s="146" t="str">
        <f>IF(AND(Formulario!F430&lt;&gt;"", Formulario!F430&lt;&gt;"",A418&lt;&gt;""),Formulario!F430,"")</f>
        <v/>
      </c>
      <c r="C418" s="146" t="str">
        <f>IF(AND(Formulario!D430&lt;&gt;"", Formulario!E430&lt;&gt;"",A418&lt;&gt;""),Formulario!E430,"")</f>
        <v/>
      </c>
      <c r="D418" s="55" t="str">
        <f>IF('Cond SAP'!AA430="","",'Cond SAP'!AA430)</f>
        <v/>
      </c>
      <c r="E418" t="str">
        <f>IF(AND(Formulario!G430&lt;&gt;"",Formulario!Q430&lt;&gt;"",A418&lt;&gt;""),Formulario!Q430,"")</f>
        <v/>
      </c>
      <c r="F418" t="str" cm="1">
        <f t="array" aca="1" ref="F418" ca="1">IF(OR(A418="",B418=""),"",LEFT(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8" t="str">
        <f>IF(AND(Formulario!G430&lt;&gt;"",Formulario!G430&lt;&gt;"",A418&lt;&gt;""),Formulario!G430,"")</f>
        <v/>
      </c>
      <c r="I418" t="str">
        <f>IF(AND(Formulario!D430&lt;&gt;"",A418&lt;&gt;""),"UY10","")</f>
        <v/>
      </c>
      <c r="J418" t="str">
        <f>IF(AND(Formulario!D430&lt;&gt;"",A418&lt;&gt;""),"0001","")</f>
        <v/>
      </c>
      <c r="K418" t="str">
        <f>IF(AND(Formulario!D430&lt;&gt;"",A418&lt;&gt;""),"1","")</f>
        <v/>
      </c>
    </row>
    <row r="419" spans="1:11" x14ac:dyDescent="0.3">
      <c r="A419" t="str">
        <f>IF(AND(Formulario!D431&lt;&gt;"",ISNUMBER(Formulario!D431)),Formulario!D431,"")</f>
        <v/>
      </c>
      <c r="B419" s="146" t="str">
        <f>IF(AND(Formulario!F431&lt;&gt;"", Formulario!F431&lt;&gt;"",A419&lt;&gt;""),Formulario!F431,"")</f>
        <v/>
      </c>
      <c r="C419" s="146" t="str">
        <f>IF(AND(Formulario!D431&lt;&gt;"", Formulario!E431&lt;&gt;"",A419&lt;&gt;""),Formulario!E431,"")</f>
        <v/>
      </c>
      <c r="D419" s="55" t="str">
        <f>IF('Cond SAP'!AA431="","",'Cond SAP'!AA431)</f>
        <v/>
      </c>
      <c r="E419" t="str">
        <f>IF(AND(Formulario!G431&lt;&gt;"",Formulario!Q431&lt;&gt;"",A419&lt;&gt;""),Formulario!Q431,"")</f>
        <v/>
      </c>
      <c r="F419" t="str" cm="1">
        <f t="array" aca="1" ref="F419" ca="1">IF(OR(A419="",B419=""),"",LEFT(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19" t="str">
        <f>IF(AND(Formulario!G431&lt;&gt;"",Formulario!G431&lt;&gt;"",A419&lt;&gt;""),Formulario!G431,"")</f>
        <v/>
      </c>
      <c r="I419" t="str">
        <f>IF(AND(Formulario!D431&lt;&gt;"",A419&lt;&gt;""),"UY10","")</f>
        <v/>
      </c>
      <c r="J419" t="str">
        <f>IF(AND(Formulario!D431&lt;&gt;"",A419&lt;&gt;""),"0001","")</f>
        <v/>
      </c>
      <c r="K419" t="str">
        <f>IF(AND(Formulario!D431&lt;&gt;"",A419&lt;&gt;""),"1","")</f>
        <v/>
      </c>
    </row>
    <row r="420" spans="1:11" x14ac:dyDescent="0.3">
      <c r="A420" t="str">
        <f>IF(AND(Formulario!D432&lt;&gt;"",ISNUMBER(Formulario!D432)),Formulario!D432,"")</f>
        <v/>
      </c>
      <c r="B420" s="146" t="str">
        <f>IF(AND(Formulario!F432&lt;&gt;"", Formulario!F432&lt;&gt;"",A420&lt;&gt;""),Formulario!F432,"")</f>
        <v/>
      </c>
      <c r="C420" s="146" t="str">
        <f>IF(AND(Formulario!D432&lt;&gt;"", Formulario!E432&lt;&gt;"",A420&lt;&gt;""),Formulario!E432,"")</f>
        <v/>
      </c>
      <c r="D420" s="55" t="str">
        <f>IF('Cond SAP'!AA432="","",'Cond SAP'!AA432)</f>
        <v/>
      </c>
      <c r="E420" t="str">
        <f>IF(AND(Formulario!G432&lt;&gt;"",Formulario!Q432&lt;&gt;"",A420&lt;&gt;""),Formulario!Q432,"")</f>
        <v/>
      </c>
      <c r="F420" t="str" cm="1">
        <f t="array" aca="1" ref="F420" ca="1">IF(OR(A420="",B420=""),"",LEFT(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0" t="str">
        <f>IF(AND(Formulario!G432&lt;&gt;"",Formulario!G432&lt;&gt;"",A420&lt;&gt;""),Formulario!G432,"")</f>
        <v/>
      </c>
      <c r="I420" t="str">
        <f>IF(AND(Formulario!D432&lt;&gt;"",A420&lt;&gt;""),"UY10","")</f>
        <v/>
      </c>
      <c r="J420" t="str">
        <f>IF(AND(Formulario!D432&lt;&gt;"",A420&lt;&gt;""),"0001","")</f>
        <v/>
      </c>
      <c r="K420" t="str">
        <f>IF(AND(Formulario!D432&lt;&gt;"",A420&lt;&gt;""),"1","")</f>
        <v/>
      </c>
    </row>
    <row r="421" spans="1:11" x14ac:dyDescent="0.3">
      <c r="A421" t="str">
        <f>IF(AND(Formulario!D433&lt;&gt;"",ISNUMBER(Formulario!D433)),Formulario!D433,"")</f>
        <v/>
      </c>
      <c r="B421" s="146" t="str">
        <f>IF(AND(Formulario!F433&lt;&gt;"", Formulario!F433&lt;&gt;"",A421&lt;&gt;""),Formulario!F433,"")</f>
        <v/>
      </c>
      <c r="C421" s="146" t="str">
        <f>IF(AND(Formulario!D433&lt;&gt;"", Formulario!E433&lt;&gt;"",A421&lt;&gt;""),Formulario!E433,"")</f>
        <v/>
      </c>
      <c r="D421" s="55" t="str">
        <f>IF('Cond SAP'!AA433="","",'Cond SAP'!AA433)</f>
        <v/>
      </c>
      <c r="E421" t="str">
        <f>IF(AND(Formulario!G433&lt;&gt;"",Formulario!Q433&lt;&gt;"",A421&lt;&gt;""),Formulario!Q433,"")</f>
        <v/>
      </c>
      <c r="F421" t="str" cm="1">
        <f t="array" aca="1" ref="F421" ca="1">IF(OR(A421="",B421=""),"",LEFT(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1" t="str">
        <f>IF(AND(Formulario!G433&lt;&gt;"",Formulario!G433&lt;&gt;"",A421&lt;&gt;""),Formulario!G433,"")</f>
        <v/>
      </c>
      <c r="I421" t="str">
        <f>IF(AND(Formulario!D433&lt;&gt;"",A421&lt;&gt;""),"UY10","")</f>
        <v/>
      </c>
      <c r="J421" t="str">
        <f>IF(AND(Formulario!D433&lt;&gt;"",A421&lt;&gt;""),"0001","")</f>
        <v/>
      </c>
      <c r="K421" t="str">
        <f>IF(AND(Formulario!D433&lt;&gt;"",A421&lt;&gt;""),"1","")</f>
        <v/>
      </c>
    </row>
    <row r="422" spans="1:11" x14ac:dyDescent="0.3">
      <c r="A422" t="str">
        <f>IF(AND(Formulario!D434&lt;&gt;"",ISNUMBER(Formulario!D434)),Formulario!D434,"")</f>
        <v/>
      </c>
      <c r="B422" s="146" t="str">
        <f>IF(AND(Formulario!F434&lt;&gt;"", Formulario!F434&lt;&gt;"",A422&lt;&gt;""),Formulario!F434,"")</f>
        <v/>
      </c>
      <c r="C422" s="146" t="str">
        <f>IF(AND(Formulario!D434&lt;&gt;"", Formulario!E434&lt;&gt;"",A422&lt;&gt;""),Formulario!E434,"")</f>
        <v/>
      </c>
      <c r="D422" s="55" t="str">
        <f>IF('Cond SAP'!AA434="","",'Cond SAP'!AA434)</f>
        <v/>
      </c>
      <c r="E422" t="str">
        <f>IF(AND(Formulario!G434&lt;&gt;"",Formulario!Q434&lt;&gt;"",A422&lt;&gt;""),Formulario!Q434,"")</f>
        <v/>
      </c>
      <c r="F422" t="str" cm="1">
        <f t="array" aca="1" ref="F422" ca="1">IF(OR(A422="",B422=""),"",LEFT(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2" t="str">
        <f>IF(AND(Formulario!G434&lt;&gt;"",Formulario!G434&lt;&gt;"",A422&lt;&gt;""),Formulario!G434,"")</f>
        <v/>
      </c>
      <c r="I422" t="str">
        <f>IF(AND(Formulario!D434&lt;&gt;"",A422&lt;&gt;""),"UY10","")</f>
        <v/>
      </c>
      <c r="J422" t="str">
        <f>IF(AND(Formulario!D434&lt;&gt;"",A422&lt;&gt;""),"0001","")</f>
        <v/>
      </c>
      <c r="K422" t="str">
        <f>IF(AND(Formulario!D434&lt;&gt;"",A422&lt;&gt;""),"1","")</f>
        <v/>
      </c>
    </row>
    <row r="423" spans="1:11" x14ac:dyDescent="0.3">
      <c r="A423" t="str">
        <f>IF(AND(Formulario!D435&lt;&gt;"",ISNUMBER(Formulario!D435)),Formulario!D435,"")</f>
        <v/>
      </c>
      <c r="B423" s="146" t="str">
        <f>IF(AND(Formulario!F435&lt;&gt;"", Formulario!F435&lt;&gt;"",A423&lt;&gt;""),Formulario!F435,"")</f>
        <v/>
      </c>
      <c r="C423" s="146" t="str">
        <f>IF(AND(Formulario!D435&lt;&gt;"", Formulario!E435&lt;&gt;"",A423&lt;&gt;""),Formulario!E435,"")</f>
        <v/>
      </c>
      <c r="D423" s="55" t="str">
        <f>IF('Cond SAP'!AA435="","",'Cond SAP'!AA435)</f>
        <v/>
      </c>
      <c r="E423" t="str">
        <f>IF(AND(Formulario!G435&lt;&gt;"",Formulario!Q435&lt;&gt;"",A423&lt;&gt;""),Formulario!Q435,"")</f>
        <v/>
      </c>
      <c r="F423" t="str" cm="1">
        <f t="array" aca="1" ref="F423" ca="1">IF(OR(A423="",B423=""),"",LEFT(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3" t="str">
        <f>IF(AND(Formulario!G435&lt;&gt;"",Formulario!G435&lt;&gt;"",A423&lt;&gt;""),Formulario!G435,"")</f>
        <v/>
      </c>
      <c r="I423" t="str">
        <f>IF(AND(Formulario!D435&lt;&gt;"",A423&lt;&gt;""),"UY10","")</f>
        <v/>
      </c>
      <c r="J423" t="str">
        <f>IF(AND(Formulario!D435&lt;&gt;"",A423&lt;&gt;""),"0001","")</f>
        <v/>
      </c>
      <c r="K423" t="str">
        <f>IF(AND(Formulario!D435&lt;&gt;"",A423&lt;&gt;""),"1","")</f>
        <v/>
      </c>
    </row>
    <row r="424" spans="1:11" x14ac:dyDescent="0.3">
      <c r="A424" t="str">
        <f>IF(AND(Formulario!D436&lt;&gt;"",ISNUMBER(Formulario!D436)),Formulario!D436,"")</f>
        <v/>
      </c>
      <c r="B424" s="146" t="str">
        <f>IF(AND(Formulario!F436&lt;&gt;"", Formulario!F436&lt;&gt;"",A424&lt;&gt;""),Formulario!F436,"")</f>
        <v/>
      </c>
      <c r="C424" s="146" t="str">
        <f>IF(AND(Formulario!D436&lt;&gt;"", Formulario!E436&lt;&gt;"",A424&lt;&gt;""),Formulario!E436,"")</f>
        <v/>
      </c>
      <c r="D424" s="55" t="str">
        <f>IF('Cond SAP'!AA436="","",'Cond SAP'!AA436)</f>
        <v/>
      </c>
      <c r="E424" t="str">
        <f>IF(AND(Formulario!G436&lt;&gt;"",Formulario!Q436&lt;&gt;"",A424&lt;&gt;""),Formulario!Q436,"")</f>
        <v/>
      </c>
      <c r="F424" t="str" cm="1">
        <f t="array" aca="1" ref="F424" ca="1">IF(OR(A424="",B424=""),"",LEFT(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4" t="str">
        <f>IF(AND(Formulario!G436&lt;&gt;"",Formulario!G436&lt;&gt;"",A424&lt;&gt;""),Formulario!G436,"")</f>
        <v/>
      </c>
      <c r="I424" t="str">
        <f>IF(AND(Formulario!D436&lt;&gt;"",A424&lt;&gt;""),"UY10","")</f>
        <v/>
      </c>
      <c r="J424" t="str">
        <f>IF(AND(Formulario!D436&lt;&gt;"",A424&lt;&gt;""),"0001","")</f>
        <v/>
      </c>
      <c r="K424" t="str">
        <f>IF(AND(Formulario!D436&lt;&gt;"",A424&lt;&gt;""),"1","")</f>
        <v/>
      </c>
    </row>
    <row r="425" spans="1:11" x14ac:dyDescent="0.3">
      <c r="A425" t="str">
        <f>IF(AND(Formulario!D437&lt;&gt;"",ISNUMBER(Formulario!D437)),Formulario!D437,"")</f>
        <v/>
      </c>
      <c r="B425" s="146" t="str">
        <f>IF(AND(Formulario!F437&lt;&gt;"", Formulario!F437&lt;&gt;"",A425&lt;&gt;""),Formulario!F437,"")</f>
        <v/>
      </c>
      <c r="C425" s="146" t="str">
        <f>IF(AND(Formulario!D437&lt;&gt;"", Formulario!E437&lt;&gt;"",A425&lt;&gt;""),Formulario!E437,"")</f>
        <v/>
      </c>
      <c r="D425" s="55" t="str">
        <f>IF('Cond SAP'!AA437="","",'Cond SAP'!AA437)</f>
        <v/>
      </c>
      <c r="E425" t="str">
        <f>IF(AND(Formulario!G437&lt;&gt;"",Formulario!Q437&lt;&gt;"",A425&lt;&gt;""),Formulario!Q437,"")</f>
        <v/>
      </c>
      <c r="F425" t="str" cm="1">
        <f t="array" aca="1" ref="F425" ca="1">IF(OR(A425="",B425=""),"",LEFT(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5" t="str">
        <f>IF(AND(Formulario!G437&lt;&gt;"",Formulario!G437&lt;&gt;"",A425&lt;&gt;""),Formulario!G437,"")</f>
        <v/>
      </c>
      <c r="I425" t="str">
        <f>IF(AND(Formulario!D437&lt;&gt;"",A425&lt;&gt;""),"UY10","")</f>
        <v/>
      </c>
      <c r="J425" t="str">
        <f>IF(AND(Formulario!D437&lt;&gt;"",A425&lt;&gt;""),"0001","")</f>
        <v/>
      </c>
      <c r="K425" t="str">
        <f>IF(AND(Formulario!D437&lt;&gt;"",A425&lt;&gt;""),"1","")</f>
        <v/>
      </c>
    </row>
    <row r="426" spans="1:11" x14ac:dyDescent="0.3">
      <c r="A426" t="str">
        <f>IF(AND(Formulario!D438&lt;&gt;"",ISNUMBER(Formulario!D438)),Formulario!D438,"")</f>
        <v/>
      </c>
      <c r="B426" s="146" t="str">
        <f>IF(AND(Formulario!F438&lt;&gt;"", Formulario!F438&lt;&gt;"",A426&lt;&gt;""),Formulario!F438,"")</f>
        <v/>
      </c>
      <c r="C426" s="146" t="str">
        <f>IF(AND(Formulario!D438&lt;&gt;"", Formulario!E438&lt;&gt;"",A426&lt;&gt;""),Formulario!E438,"")</f>
        <v/>
      </c>
      <c r="D426" s="55" t="str">
        <f>IF('Cond SAP'!AA438="","",'Cond SAP'!AA438)</f>
        <v/>
      </c>
      <c r="E426" t="str">
        <f>IF(AND(Formulario!G438&lt;&gt;"",Formulario!Q438&lt;&gt;"",A426&lt;&gt;""),Formulario!Q438,"")</f>
        <v/>
      </c>
      <c r="F426" t="str" cm="1">
        <f t="array" aca="1" ref="F426" ca="1">IF(OR(A426="",B426=""),"",LEFT(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6" t="str">
        <f>IF(AND(Formulario!G438&lt;&gt;"",Formulario!G438&lt;&gt;"",A426&lt;&gt;""),Formulario!G438,"")</f>
        <v/>
      </c>
      <c r="I426" t="str">
        <f>IF(AND(Formulario!D438&lt;&gt;"",A426&lt;&gt;""),"UY10","")</f>
        <v/>
      </c>
      <c r="J426" t="str">
        <f>IF(AND(Formulario!D438&lt;&gt;"",A426&lt;&gt;""),"0001","")</f>
        <v/>
      </c>
      <c r="K426" t="str">
        <f>IF(AND(Formulario!D438&lt;&gt;"",A426&lt;&gt;""),"1","")</f>
        <v/>
      </c>
    </row>
    <row r="427" spans="1:11" x14ac:dyDescent="0.3">
      <c r="A427" t="str">
        <f>IF(AND(Formulario!D439&lt;&gt;"",ISNUMBER(Formulario!D439)),Formulario!D439,"")</f>
        <v/>
      </c>
      <c r="B427" s="146" t="str">
        <f>IF(AND(Formulario!F439&lt;&gt;"", Formulario!F439&lt;&gt;"",A427&lt;&gt;""),Formulario!F439,"")</f>
        <v/>
      </c>
      <c r="C427" s="146" t="str">
        <f>IF(AND(Formulario!D439&lt;&gt;"", Formulario!E439&lt;&gt;"",A427&lt;&gt;""),Formulario!E439,"")</f>
        <v/>
      </c>
      <c r="D427" s="55" t="str">
        <f>IF('Cond SAP'!AA439="","",'Cond SAP'!AA439)</f>
        <v/>
      </c>
      <c r="E427" t="str">
        <f>IF(AND(Formulario!G439&lt;&gt;"",Formulario!Q439&lt;&gt;"",A427&lt;&gt;""),Formulario!Q439,"")</f>
        <v/>
      </c>
      <c r="F427" t="str" cm="1">
        <f t="array" aca="1" ref="F427" ca="1">IF(OR(A427="",B427=""),"",LEFT(
    MID(
        CELL("filename"),
        SEARCH("[",CELL("filename"))+1,
        SEARCH("]",CELL("filename"))-SEARCH("[",CELL("filename"))-1
    ),
    SEARCH(
        ".",
        MID(
            CELL("filename"),
            SEARCH("[",CELL("filename"))+1,
            SEARCH("]",CELL("filename"))-SEARCH("[",CELL("filename"))-1
        )
    )-1
))</f>
        <v/>
      </c>
      <c r="G427" t="str">
        <f>IF(AND(Formulario!G439&lt;&gt;"",Formulario!G439&lt;&gt;"",A427&lt;&gt;""),Formulario!G439,"")</f>
        <v/>
      </c>
      <c r="I427" t="str">
        <f>IF(AND(Formulario!D439&lt;&gt;"",A427&lt;&gt;""),"UY10","")</f>
        <v/>
      </c>
      <c r="J427" t="str">
        <f>IF(AND(Formulario!D439&lt;&gt;"",A427&lt;&gt;""),"0001","")</f>
        <v/>
      </c>
      <c r="K427" t="str">
        <f>IF(AND(Formulario!D439&lt;&gt;"",A427&lt;&gt;""),"1","")</f>
        <v/>
      </c>
    </row>
  </sheetData>
  <sheetProtection algorithmName="SHA-512" hashValue="Rpz7PjgW12lTrnTClr6JK/VOTDH9Wz4U8nGaVSWQ57TahA28CNcxUbhyHSEQ2Yhdl2ISENvwswjXzaOEJQmi+g==" saltValue="HiKMSjO1mY2Ie6zXl4JQyw==" spinCount="100000" sheet="1" objects="1" scenarios="1"/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F2E6A-70F9-4496-9752-9D0E5869B5A7}">
  <sheetPr codeName="Hoja6"/>
  <dimension ref="A1:V376"/>
  <sheetViews>
    <sheetView workbookViewId="0">
      <selection activeCell="F19" sqref="F19"/>
    </sheetView>
  </sheetViews>
  <sheetFormatPr defaultColWidth="11.5546875" defaultRowHeight="14.4" x14ac:dyDescent="0.3"/>
  <cols>
    <col min="1" max="1" width="19.21875" bestFit="1" customWidth="1"/>
    <col min="2" max="3" width="11.21875" bestFit="1" customWidth="1"/>
    <col min="12" max="12" width="11.21875" bestFit="1" customWidth="1"/>
    <col min="15" max="16" width="11.21875" bestFit="1" customWidth="1"/>
  </cols>
  <sheetData>
    <row r="1" spans="1:13" x14ac:dyDescent="0.3">
      <c r="A1" s="105" t="s">
        <v>1658</v>
      </c>
      <c r="B1" s="105" t="s">
        <v>1659</v>
      </c>
      <c r="C1" s="105" t="s">
        <v>164</v>
      </c>
      <c r="D1" s="105" t="s">
        <v>165</v>
      </c>
      <c r="E1" s="105" t="s">
        <v>166</v>
      </c>
      <c r="F1" s="105" t="s">
        <v>167</v>
      </c>
      <c r="G1" s="105" t="s">
        <v>168</v>
      </c>
      <c r="H1" s="105" t="s">
        <v>169</v>
      </c>
      <c r="I1" s="105" t="s">
        <v>170</v>
      </c>
      <c r="J1" s="105" t="s">
        <v>171</v>
      </c>
      <c r="K1" s="105" t="s">
        <v>172</v>
      </c>
      <c r="L1" s="105" t="s">
        <v>173</v>
      </c>
      <c r="M1" s="105" t="s">
        <v>174</v>
      </c>
    </row>
    <row r="2" spans="1:13" x14ac:dyDescent="0.3">
      <c r="A2" t="str" cm="1">
        <f t="array" ref="A2">INDEX(Tabla1[N Doc], ROUNDUP((ROW()-1)/9, 0))</f>
        <v/>
      </c>
      <c r="B2" t="str">
        <f>IF(OR(A2="",A2=0),"",CHOOSE(
    COUNTIF($A$2:A2,A2),
    1,2,3,4,5,6,7,8,9
))</f>
        <v/>
      </c>
      <c r="C2" t="str">
        <f>IF(A2="","",IF(B2=1,31,IF(B2=9,50,40)))</f>
        <v/>
      </c>
      <c r="D2" s="7" t="str" cm="1">
        <f t="array" ref="D2">IF(OR($A2="",$A2=0),"",
IF(AND(INDEX(Formulario!$H$14:$H$100, $A2)="Si", C2&lt;&gt;31),
        VLOOKUP("cta puente",'Descripciones de gastos'!G:H, 2, FALSE),
IF(B2=1,
        INDEX(Tabla13[Titular], MATCH($A2, Tabla1[N Doc], 0)),
IF(B2=2,
        INDEX(Tabla1[Cuenta contable], MATCH($A2, Tabla1[N Doc], 0)),
IF(B2=3,
        INDEX(Tabla13[Cta Iva 22], MATCH($A2, Tabla1[N Doc], 0)),
IF(B2=4,
        INDEX(Tabla1[Cuenta contable], MATCH($A2, Tabla1[N Doc], 0)),
IF(B2=5,
        INDEX(Tabla13[Cta Iva 10], MATCH($A2, Tabla1[N Doc], 0)),
IF(B2=6,
        INDEX(Tabla1[Cuenta contable], MATCH($A2, Tabla1[N Doc], 0)),
IF(B2=7,
        INDEX(Tabla1[Cuenta contable], MATCH($A2, Tabla1[N Doc], 0)),
IF(B2=8,
        IF(INDEX(Tabla1[Tipo IVA], MATCH($A2, Tabla1[N Doc], 0))="22%",
             INDEX(Tabla13[Cta Iva 22], MATCH($A2, Tabla1[N Doc], 0)),
             INDEX(Tabla13[Cta Iva 10], MATCH($A2, Tabla1[N Doc], 0))),
IF(B2=9,
        INDEX(Tabla1[Cuenta contable], MATCH($A2, Tabla1[N Doc], 0))
)))))))))))</f>
        <v/>
      </c>
      <c r="F2" t="str">
        <f>IF(OR($A2="",$A2=0),"",IF(B2=1,
        INDEX(Tabla1[Importe total], MATCH($A2, Tabla1[N Doc], 0)),
IF(B2=2,
        INDEX(Tabla1[Base imponible 22], MATCH($A2, Tabla1[N Doc], 0)),
IF(B2=3,
        INDEX(Tabla1[Iva 22], MATCH($A2, Tabla1[N Doc], 0)),
IF(B2=4,
        INDEX(Tabla1[Base imponible 10], MATCH($A2, Tabla1[N Doc], 0)),
IF(B2=5,
        INDEX(Tabla1[Iva 10], MATCH($A2, Tabla1[N Doc], 0)),
IF(B2=6,
        INDEX(Tabla1[Exento], MATCH($A2, Tabla1[N Doc], 0)),
IF(B2=7,
        INDEX(#REF!, MATCH($A2, Tabla1[N Doc], 0)),
IF(B2=8,
        INDEX(#REF!, MATCH($A2, Tabla1[N Doc], 0)),
IF(B2=9,
        INDEX(Tabla1[Descuentos], MATCH($A2, Tabla1[N Doc], 0)),
""))))))))))</f>
        <v/>
      </c>
      <c r="G2" t="str">
        <f>IF(OR($A2="",$A2=0),"",IF(OR(B2=2,B2=4,B2=6,B2=7),
    INDEX(Tabla13[Ind impuestos], MATCH($A2, Tabla13[N Doc], 0)),
""))</f>
        <v/>
      </c>
      <c r="J2" t="str">
        <f>IF(OR($A2="",$A2=0),"",IF(OR(B2=2,B2=4,B2=6,B2=7),
    INDEX(Tabla1[CECO], MATCH($A2, Tabla1[N Doc], 0)),
""))</f>
        <v/>
      </c>
      <c r="M2" t="str">
        <f>IF(C2=31,INDEX(Tabla1[Descripción], MATCH($A2, Tabla1[N Doc], 0)),"")</f>
        <v/>
      </c>
    </row>
    <row r="3" spans="1:13" x14ac:dyDescent="0.3">
      <c r="A3" t="str" cm="1">
        <f t="array" ref="A3">INDEX(Tabla1[N Doc], ROUNDUP((ROW()-1)/9, 0))</f>
        <v/>
      </c>
      <c r="B3" t="str">
        <f>IF(OR(A3="",A3=0),"",CHOOSE(
    COUNTIF($A$2:A3,A3),
    1,2,3,4,5,6,7,8,9
))</f>
        <v/>
      </c>
      <c r="C3" t="str">
        <f t="shared" ref="C3:C66" si="0">IF(A3="","",IF(B3=1,31,IF(B3=9,50,40)))</f>
        <v/>
      </c>
      <c r="D3" s="7" t="str" cm="1">
        <f t="array" ref="D3">IF(OR($A3="",$A3=0),"",
IF(AND(INDEX(Formulario!$H$14:$H$100, $A3)="Si", C3&lt;&gt;31),
        VLOOKUP("cta puente",'Descripciones de gastos'!G:H, 2, FALSE),
IF(B3=1,
        INDEX(Tabla13[Titular], MATCH($A3, Tabla1[N Doc], 0)),
IF(B3=2,
        INDEX(Tabla1[Cuenta contable], MATCH($A3, Tabla1[N Doc], 0)),
IF(B3=3,
        INDEX(Tabla13[Cta Iva 22], MATCH($A3, Tabla1[N Doc], 0)),
IF(B3=4,
        INDEX(Tabla1[Cuenta contable], MATCH($A3, Tabla1[N Doc], 0)),
IF(B3=5,
        INDEX(Tabla13[Cta Iva 10], MATCH($A3, Tabla1[N Doc], 0)),
IF(B3=6,
        INDEX(Tabla1[Cuenta contable], MATCH($A3, Tabla1[N Doc], 0)),
IF(B3=7,
        INDEX(Tabla1[Cuenta contable], MATCH($A3, Tabla1[N Doc], 0)),
IF(B3=8,
        IF(INDEX(Tabla1[Tipo IVA], MATCH($A3, Tabla1[N Doc], 0))="22%",
             INDEX(Tabla13[Cta Iva 22], MATCH($A3, Tabla1[N Doc], 0)),
             INDEX(Tabla13[Cta Iva 10], MATCH($A3, Tabla1[N Doc], 0))),
IF(B3=9,
        INDEX(Tabla1[Cuenta contable], MATCH($A3, Tabla1[N Doc], 0))
)))))))))))</f>
        <v/>
      </c>
      <c r="F3" t="str">
        <f>IF(OR($A3="",$A3=0),"",IF(B3=1,
        INDEX(Tabla1[Importe total], MATCH($A3, Tabla1[N Doc], 0)),
IF(B3=2,
        INDEX(Tabla1[Base imponible 22], MATCH($A3, Tabla1[N Doc], 0)),
IF(B3=3,
        INDEX(Tabla1[Iva 22], MATCH($A3, Tabla1[N Doc], 0)),
IF(B3=4,
        INDEX(Tabla1[Base imponible 10], MATCH($A3, Tabla1[N Doc], 0)),
IF(B3=5,
        INDEX(Tabla1[Iva 10], MATCH($A3, Tabla1[N Doc], 0)),
IF(B3=6,
        INDEX(Tabla1[Exento], MATCH($A3, Tabla1[N Doc], 0)),
IF(B3=7,
        INDEX(#REF!, MATCH($A3, Tabla1[N Doc], 0)),
IF(B3=8,
        INDEX(#REF!, MATCH($A3, Tabla1[N Doc], 0)),
IF(B3=9,
        INDEX(Tabla1[Descuentos], MATCH($A3, Tabla1[N Doc], 0)),
""))))))))))</f>
        <v/>
      </c>
      <c r="G3" t="str">
        <f>IF(OR($A3="",$A3=0),"",IF(OR(B3=2,B3=4,B3=6,B3=7),
    INDEX(Tabla13[Ind impuestos], MATCH($A3, Tabla13[N Doc], 0)),
""))</f>
        <v/>
      </c>
      <c r="J3" t="str">
        <f>IF(OR($A3="",$A3=0),"",IF(OR(B3=2,B3=4,B3=6,B3=7),
    INDEX(Tabla1[CECO], MATCH($A3, Tabla1[N Doc], 0)),
""))</f>
        <v/>
      </c>
      <c r="M3" t="str">
        <f>IF(C3=31,INDEX(Tabla1[Descripción], MATCH($A3, Tabla1[N Doc], 0)),"")</f>
        <v/>
      </c>
    </row>
    <row r="4" spans="1:13" x14ac:dyDescent="0.3">
      <c r="A4" t="str" cm="1">
        <f t="array" ref="A4">INDEX(Tabla1[N Doc], ROUNDUP((ROW()-1)/9, 0))</f>
        <v/>
      </c>
      <c r="B4" t="str">
        <f>IF(OR(A4="",A4=0),"",CHOOSE(
    COUNTIF($A$2:A4,A4),
    1,2,3,4,5,6,7,8,9
))</f>
        <v/>
      </c>
      <c r="C4" t="str">
        <f t="shared" si="0"/>
        <v/>
      </c>
      <c r="D4" s="7" t="str" cm="1">
        <f t="array" ref="D4">IF(OR($A4="",$A4=0),"",
IF(AND(INDEX(Formulario!$H$14:$H$100, $A4)="Si", C4&lt;&gt;31),
        VLOOKUP("cta puente",'Descripciones de gastos'!G:H, 2, FALSE),
IF(B4=1,
        INDEX(Tabla13[Titular], MATCH($A4, Tabla1[N Doc], 0)),
IF(B4=2,
        INDEX(Tabla1[Cuenta contable], MATCH($A4, Tabla1[N Doc], 0)),
IF(B4=3,
        INDEX(Tabla13[Cta Iva 22], MATCH($A4, Tabla1[N Doc], 0)),
IF(B4=4,
        INDEX(Tabla1[Cuenta contable], MATCH($A4, Tabla1[N Doc], 0)),
IF(B4=5,
        INDEX(Tabla13[Cta Iva 10], MATCH($A4, Tabla1[N Doc], 0)),
IF(B4=6,
        INDEX(Tabla1[Cuenta contable], MATCH($A4, Tabla1[N Doc], 0)),
IF(B4=7,
        INDEX(Tabla1[Cuenta contable], MATCH($A4, Tabla1[N Doc], 0)),
IF(B4=8,
        IF(INDEX(Tabla1[Tipo IVA], MATCH($A4, Tabla1[N Doc], 0))="22%",
             INDEX(Tabla13[Cta Iva 22], MATCH($A4, Tabla1[N Doc], 0)),
             INDEX(Tabla13[Cta Iva 10], MATCH($A4, Tabla1[N Doc], 0))),
IF(B4=9,
        INDEX(Tabla1[Cuenta contable], MATCH($A4, Tabla1[N Doc], 0))
)))))))))))</f>
        <v/>
      </c>
      <c r="F4" t="str">
        <f>IF(OR($A4="",$A4=0),"",IF(B4=1,
        INDEX(Tabla1[Importe total], MATCH($A4, Tabla1[N Doc], 0)),
IF(B4=2,
        INDEX(Tabla1[Base imponible 22], MATCH($A4, Tabla1[N Doc], 0)),
IF(B4=3,
        INDEX(Tabla1[Iva 22], MATCH($A4, Tabla1[N Doc], 0)),
IF(B4=4,
        INDEX(Tabla1[Base imponible 10], MATCH($A4, Tabla1[N Doc], 0)),
IF(B4=5,
        INDEX(Tabla1[Iva 10], MATCH($A4, Tabla1[N Doc], 0)),
IF(B4=6,
        INDEX(Tabla1[Exento], MATCH($A4, Tabla1[N Doc], 0)),
IF(B4=7,
        INDEX(#REF!, MATCH($A4, Tabla1[N Doc], 0)),
IF(B4=8,
        INDEX(#REF!, MATCH($A4, Tabla1[N Doc], 0)),
IF(B4=9,
        INDEX(Tabla1[Descuentos], MATCH($A4, Tabla1[N Doc], 0)),
""))))))))))</f>
        <v/>
      </c>
      <c r="G4" t="str">
        <f>IF(OR($A4="",$A4=0),"",IF(OR(B4=2,B4=4,B4=6,B4=7),
    INDEX(Tabla13[Ind impuestos], MATCH($A4, Tabla13[N Doc], 0)),
""))</f>
        <v/>
      </c>
      <c r="J4" t="str">
        <f>IF(OR($A4="",$A4=0),"",IF(OR(B4=2,B4=4,B4=6,B4=7),
    INDEX(Tabla1[CECO], MATCH($A4, Tabla1[N Doc], 0)),
""))</f>
        <v/>
      </c>
      <c r="M4" t="str">
        <f>IF(C4=31,INDEX(Tabla1[Descripción], MATCH($A4, Tabla1[N Doc], 0)),"")</f>
        <v/>
      </c>
    </row>
    <row r="5" spans="1:13" x14ac:dyDescent="0.3">
      <c r="A5" t="str" cm="1">
        <f t="array" ref="A5">INDEX(Tabla1[N Doc], ROUNDUP((ROW()-1)/9, 0))</f>
        <v/>
      </c>
      <c r="B5" t="str">
        <f>IF(OR(A5="",A5=0),"",CHOOSE(
    COUNTIF($A$2:A5,A5),
    1,2,3,4,5,6,7,8,9
))</f>
        <v/>
      </c>
      <c r="C5" t="str">
        <f t="shared" si="0"/>
        <v/>
      </c>
      <c r="D5" s="7" t="str" cm="1">
        <f t="array" ref="D5">IF(OR($A5="",$A5=0),"",
IF(AND(INDEX(Formulario!$H$14:$H$100, $A5)="Si", C5&lt;&gt;31),
        VLOOKUP("cta puente",'Descripciones de gastos'!G:H, 2, FALSE),
IF(B5=1,
        INDEX(Tabla13[Titular], MATCH($A5, Tabla1[N Doc], 0)),
IF(B5=2,
        INDEX(Tabla1[Cuenta contable], MATCH($A5, Tabla1[N Doc], 0)),
IF(B5=3,
        INDEX(Tabla13[Cta Iva 22], MATCH($A5, Tabla1[N Doc], 0)),
IF(B5=4,
        INDEX(Tabla1[Cuenta contable], MATCH($A5, Tabla1[N Doc], 0)),
IF(B5=5,
        INDEX(Tabla13[Cta Iva 10], MATCH($A5, Tabla1[N Doc], 0)),
IF(B5=6,
        INDEX(Tabla1[Cuenta contable], MATCH($A5, Tabla1[N Doc], 0)),
IF(B5=7,
        INDEX(Tabla1[Cuenta contable], MATCH($A5, Tabla1[N Doc], 0)),
IF(B5=8,
        IF(INDEX(Tabla1[Tipo IVA], MATCH($A5, Tabla1[N Doc], 0))="22%",
             INDEX(Tabla13[Cta Iva 22], MATCH($A5, Tabla1[N Doc], 0)),
             INDEX(Tabla13[Cta Iva 10], MATCH($A5, Tabla1[N Doc], 0))),
IF(B5=9,
        INDEX(Tabla1[Cuenta contable], MATCH($A5, Tabla1[N Doc], 0))
)))))))))))</f>
        <v/>
      </c>
      <c r="F5" t="str">
        <f>IF(OR($A5="",$A5=0),"",IF(B5=1,
        INDEX(Tabla1[Importe total], MATCH($A5, Tabla1[N Doc], 0)),
IF(B5=2,
        INDEX(Tabla1[Base imponible 22], MATCH($A5, Tabla1[N Doc], 0)),
IF(B5=3,
        INDEX(Tabla1[Iva 22], MATCH($A5, Tabla1[N Doc], 0)),
IF(B5=4,
        INDEX(Tabla1[Base imponible 10], MATCH($A5, Tabla1[N Doc], 0)),
IF(B5=5,
        INDEX(Tabla1[Iva 10], MATCH($A5, Tabla1[N Doc], 0)),
IF(B5=6,
        INDEX(Tabla1[Exento], MATCH($A5, Tabla1[N Doc], 0)),
IF(B5=7,
        INDEX(#REF!, MATCH($A5, Tabla1[N Doc], 0)),
IF(B5=8,
        INDEX(#REF!, MATCH($A5, Tabla1[N Doc], 0)),
IF(B5=9,
        INDEX(Tabla1[Descuentos], MATCH($A5, Tabla1[N Doc], 0)),
""))))))))))</f>
        <v/>
      </c>
      <c r="G5" t="str">
        <f>IF(OR($A5="",$A5=0),"",IF(OR(B5=2,B5=4,B5=6,B5=7),
    INDEX(Tabla13[Ind impuestos], MATCH($A5, Tabla13[N Doc], 0)),
""))</f>
        <v/>
      </c>
      <c r="J5" t="str">
        <f>IF(OR($A5="",$A5=0),"",IF(OR(B5=2,B5=4,B5=6,B5=7),
    INDEX(Tabla1[CECO], MATCH($A5, Tabla1[N Doc], 0)),
""))</f>
        <v/>
      </c>
      <c r="M5" t="str">
        <f>IF(C5=31,INDEX(Tabla1[Descripción], MATCH($A5, Tabla1[N Doc], 0)),"")</f>
        <v/>
      </c>
    </row>
    <row r="6" spans="1:13" x14ac:dyDescent="0.3">
      <c r="A6" t="str" cm="1">
        <f t="array" ref="A6">INDEX(Tabla1[N Doc], ROUNDUP((ROW()-1)/9, 0))</f>
        <v/>
      </c>
      <c r="B6" t="str">
        <f>IF(OR(A6="",A6=0),"",CHOOSE(
    COUNTIF($A$2:A6,A6),
    1,2,3,4,5,6,7,8,9
))</f>
        <v/>
      </c>
      <c r="C6" t="str">
        <f t="shared" si="0"/>
        <v/>
      </c>
      <c r="D6" s="7" t="str" cm="1">
        <f t="array" ref="D6">IF(OR($A6="",$A6=0),"",
IF(AND(INDEX(Formulario!$H$14:$H$100, $A6)="Si", C6&lt;&gt;31),
        VLOOKUP("cta puente",'Descripciones de gastos'!G:H, 2, FALSE),
IF(B6=1,
        INDEX(Tabla13[Titular], MATCH($A6, Tabla1[N Doc], 0)),
IF(B6=2,
        INDEX(Tabla1[Cuenta contable], MATCH($A6, Tabla1[N Doc], 0)),
IF(B6=3,
        INDEX(Tabla13[Cta Iva 22], MATCH($A6, Tabla1[N Doc], 0)),
IF(B6=4,
        INDEX(Tabla1[Cuenta contable], MATCH($A6, Tabla1[N Doc], 0)),
IF(B6=5,
        INDEX(Tabla13[Cta Iva 10], MATCH($A6, Tabla1[N Doc], 0)),
IF(B6=6,
        INDEX(Tabla1[Cuenta contable], MATCH($A6, Tabla1[N Doc], 0)),
IF(B6=7,
        INDEX(Tabla1[Cuenta contable], MATCH($A6, Tabla1[N Doc], 0)),
IF(B6=8,
        IF(INDEX(Tabla1[Tipo IVA], MATCH($A6, Tabla1[N Doc], 0))="22%",
             INDEX(Tabla13[Cta Iva 22], MATCH($A6, Tabla1[N Doc], 0)),
             INDEX(Tabla13[Cta Iva 10], MATCH($A6, Tabla1[N Doc], 0))),
IF(B6=9,
        INDEX(Tabla1[Cuenta contable], MATCH($A6, Tabla1[N Doc], 0))
)))))))))))</f>
        <v/>
      </c>
      <c r="F6" t="str">
        <f>IF(OR($A6="",$A6=0),"",IF(B6=1,
        INDEX(Tabla1[Importe total], MATCH($A6, Tabla1[N Doc], 0)),
IF(B6=2,
        INDEX(Tabla1[Base imponible 22], MATCH($A6, Tabla1[N Doc], 0)),
IF(B6=3,
        INDEX(Tabla1[Iva 22], MATCH($A6, Tabla1[N Doc], 0)),
IF(B6=4,
        INDEX(Tabla1[Base imponible 10], MATCH($A6, Tabla1[N Doc], 0)),
IF(B6=5,
        INDEX(Tabla1[Iva 10], MATCH($A6, Tabla1[N Doc], 0)),
IF(B6=6,
        INDEX(Tabla1[Exento], MATCH($A6, Tabla1[N Doc], 0)),
IF(B6=7,
        INDEX(#REF!, MATCH($A6, Tabla1[N Doc], 0)),
IF(B6=8,
        INDEX(#REF!, MATCH($A6, Tabla1[N Doc], 0)),
IF(B6=9,
        INDEX(Tabla1[Descuentos], MATCH($A6, Tabla1[N Doc], 0)),
""))))))))))</f>
        <v/>
      </c>
      <c r="G6" t="str">
        <f>IF(OR($A6="",$A6=0),"",IF(OR(B6=2,B6=4,B6=6,B6=7),
    INDEX(Tabla13[Ind impuestos], MATCH($A6, Tabla13[N Doc], 0)),
""))</f>
        <v/>
      </c>
      <c r="J6" t="str">
        <f>IF(OR($A6="",$A6=0),"",IF(OR(B6=2,B6=4,B6=6,B6=7),
    INDEX(Tabla1[CECO], MATCH($A6, Tabla1[N Doc], 0)),
""))</f>
        <v/>
      </c>
      <c r="M6" t="str">
        <f>IF(C6=31,INDEX(Tabla1[Descripción], MATCH($A6, Tabla1[N Doc], 0)),"")</f>
        <v/>
      </c>
    </row>
    <row r="7" spans="1:13" x14ac:dyDescent="0.3">
      <c r="A7" t="str" cm="1">
        <f t="array" ref="A7">INDEX(Tabla1[N Doc], ROUNDUP((ROW()-1)/9, 0))</f>
        <v/>
      </c>
      <c r="B7" t="str">
        <f>IF(OR(A7="",A7=0),"",CHOOSE(
    COUNTIF($A$2:A7,A7),
    1,2,3,4,5,6,7,8,9
))</f>
        <v/>
      </c>
      <c r="C7" t="str">
        <f t="shared" si="0"/>
        <v/>
      </c>
      <c r="D7" s="7" t="str" cm="1">
        <f t="array" ref="D7">IF(OR($A7="",$A7=0),"",
IF(AND(INDEX(Formulario!$H$14:$H$100, $A7)="Si", C7&lt;&gt;31),
        VLOOKUP("cta puente",'Descripciones de gastos'!G:H, 2, FALSE),
IF(B7=1,
        INDEX(Tabla13[Titular], MATCH($A7, Tabla1[N Doc], 0)),
IF(B7=2,
        INDEX(Tabla1[Cuenta contable], MATCH($A7, Tabla1[N Doc], 0)),
IF(B7=3,
        INDEX(Tabla13[Cta Iva 22], MATCH($A7, Tabla1[N Doc], 0)),
IF(B7=4,
        INDEX(Tabla1[Cuenta contable], MATCH($A7, Tabla1[N Doc], 0)),
IF(B7=5,
        INDEX(Tabla13[Cta Iva 10], MATCH($A7, Tabla1[N Doc], 0)),
IF(B7=6,
        INDEX(Tabla1[Cuenta contable], MATCH($A7, Tabla1[N Doc], 0)),
IF(B7=7,
        INDEX(Tabla1[Cuenta contable], MATCH($A7, Tabla1[N Doc], 0)),
IF(B7=8,
        IF(INDEX(Tabla1[Tipo IVA], MATCH($A7, Tabla1[N Doc], 0))="22%",
             INDEX(Tabla13[Cta Iva 22], MATCH($A7, Tabla1[N Doc], 0)),
             INDEX(Tabla13[Cta Iva 10], MATCH($A7, Tabla1[N Doc], 0))),
IF(B7=9,
        INDEX(Tabla1[Cuenta contable], MATCH($A7, Tabla1[N Doc], 0))
)))))))))))</f>
        <v/>
      </c>
      <c r="F7" t="str">
        <f>IF(OR($A7="",$A7=0),"",IF(B7=1,
        INDEX(Tabla1[Importe total], MATCH($A7, Tabla1[N Doc], 0)),
IF(B7=2,
        INDEX(Tabla1[Base imponible 22], MATCH($A7, Tabla1[N Doc], 0)),
IF(B7=3,
        INDEX(Tabla1[Iva 22], MATCH($A7, Tabla1[N Doc], 0)),
IF(B7=4,
        INDEX(Tabla1[Base imponible 10], MATCH($A7, Tabla1[N Doc], 0)),
IF(B7=5,
        INDEX(Tabla1[Iva 10], MATCH($A7, Tabla1[N Doc], 0)),
IF(B7=6,
        INDEX(Tabla1[Exento], MATCH($A7, Tabla1[N Doc], 0)),
IF(B7=7,
        INDEX(#REF!, MATCH($A7, Tabla1[N Doc], 0)),
IF(B7=8,
        INDEX(#REF!, MATCH($A7, Tabla1[N Doc], 0)),
IF(B7=9,
        INDEX(Tabla1[Descuentos], MATCH($A7, Tabla1[N Doc], 0)),
""))))))))))</f>
        <v/>
      </c>
      <c r="G7" t="str">
        <f>IF(OR($A7="",$A7=0),"",IF(OR(B7=2,B7=4,B7=6,B7=7),
    INDEX(Tabla13[Ind impuestos], MATCH($A7, Tabla13[N Doc], 0)),
""))</f>
        <v/>
      </c>
      <c r="J7" t="str">
        <f>IF(OR($A7="",$A7=0),"",IF(OR(B7=2,B7=4,B7=6,B7=7),
    INDEX(Tabla1[CECO], MATCH($A7, Tabla1[N Doc], 0)),
""))</f>
        <v/>
      </c>
      <c r="M7" t="str">
        <f>IF(C7=31,INDEX(Tabla1[Descripción], MATCH($A7, Tabla1[N Doc], 0)),"")</f>
        <v/>
      </c>
    </row>
    <row r="8" spans="1:13" x14ac:dyDescent="0.3">
      <c r="A8" t="str" cm="1">
        <f t="array" ref="A8">INDEX(Tabla1[N Doc], ROUNDUP((ROW()-1)/9, 0))</f>
        <v/>
      </c>
      <c r="B8" t="str">
        <f>IF(OR(A8="",A8=0),"",CHOOSE(
    COUNTIF($A$2:A8,A8),
    1,2,3,4,5,6,7,8,9
))</f>
        <v/>
      </c>
      <c r="C8" t="str">
        <f t="shared" si="0"/>
        <v/>
      </c>
      <c r="D8" s="7" t="str" cm="1">
        <f t="array" ref="D8">IF(OR($A8="",$A8=0),"",
IF(AND(INDEX(Formulario!$H$14:$H$100, $A8)="Si", C8&lt;&gt;31),
        VLOOKUP("cta puente",'Descripciones de gastos'!G:H, 2, FALSE),
IF(B8=1,
        INDEX(Tabla13[Titular], MATCH($A8, Tabla1[N Doc], 0)),
IF(B8=2,
        INDEX(Tabla1[Cuenta contable], MATCH($A8, Tabla1[N Doc], 0)),
IF(B8=3,
        INDEX(Tabla13[Cta Iva 22], MATCH($A8, Tabla1[N Doc], 0)),
IF(B8=4,
        INDEX(Tabla1[Cuenta contable], MATCH($A8, Tabla1[N Doc], 0)),
IF(B8=5,
        INDEX(Tabla13[Cta Iva 10], MATCH($A8, Tabla1[N Doc], 0)),
IF(B8=6,
        INDEX(Tabla1[Cuenta contable], MATCH($A8, Tabla1[N Doc], 0)),
IF(B8=7,
        INDEX(Tabla1[Cuenta contable], MATCH($A8, Tabla1[N Doc], 0)),
IF(B8=8,
        IF(INDEX(Tabla1[Tipo IVA], MATCH($A8, Tabla1[N Doc], 0))="22%",
             INDEX(Tabla13[Cta Iva 22], MATCH($A8, Tabla1[N Doc], 0)),
             INDEX(Tabla13[Cta Iva 10], MATCH($A8, Tabla1[N Doc], 0))),
IF(B8=9,
        INDEX(Tabla1[Cuenta contable], MATCH($A8, Tabla1[N Doc], 0))
)))))))))))</f>
        <v/>
      </c>
      <c r="F8" t="str">
        <f>IF(OR($A8="",$A8=0),"",IF(B8=1,
        INDEX(Tabla1[Importe total], MATCH($A8, Tabla1[N Doc], 0)),
IF(B8=2,
        INDEX(Tabla1[Base imponible 22], MATCH($A8, Tabla1[N Doc], 0)),
IF(B8=3,
        INDEX(Tabla1[Iva 22], MATCH($A8, Tabla1[N Doc], 0)),
IF(B8=4,
        INDEX(Tabla1[Base imponible 10], MATCH($A8, Tabla1[N Doc], 0)),
IF(B8=5,
        INDEX(Tabla1[Iva 10], MATCH($A8, Tabla1[N Doc], 0)),
IF(B8=6,
        INDEX(Tabla1[Exento], MATCH($A8, Tabla1[N Doc], 0)),
IF(B8=7,
        INDEX(#REF!, MATCH($A8, Tabla1[N Doc], 0)),
IF(B8=8,
        INDEX(#REF!, MATCH($A8, Tabla1[N Doc], 0)),
IF(B8=9,
        INDEX(Tabla1[Descuentos], MATCH($A8, Tabla1[N Doc], 0)),
""))))))))))</f>
        <v/>
      </c>
      <c r="G8" t="str">
        <f>IF(OR($A8="",$A8=0),"",IF(OR(B8=2,B8=4,B8=6,B8=7),
    INDEX(Tabla13[Ind impuestos], MATCH($A8, Tabla13[N Doc], 0)),
""))</f>
        <v/>
      </c>
      <c r="J8" t="str">
        <f>IF(OR($A8="",$A8=0),"",IF(OR(B8=2,B8=4,B8=6,B8=7),
    INDEX(Tabla1[CECO], MATCH($A8, Tabla1[N Doc], 0)),
""))</f>
        <v/>
      </c>
      <c r="M8" t="str">
        <f>IF(C8=31,INDEX(Tabla1[Descripción], MATCH($A8, Tabla1[N Doc], 0)),"")</f>
        <v/>
      </c>
    </row>
    <row r="9" spans="1:13" x14ac:dyDescent="0.3">
      <c r="A9" t="str" cm="1">
        <f t="array" ref="A9">INDEX(Tabla1[N Doc], ROUNDUP((ROW()-1)/9, 0))</f>
        <v/>
      </c>
      <c r="B9" t="str">
        <f>IF(OR(A9="",A9=0),"",CHOOSE(
    COUNTIF($A$2:A9,A9),
    1,2,3,4,5,6,7,8,9
))</f>
        <v/>
      </c>
      <c r="C9" t="str">
        <f t="shared" si="0"/>
        <v/>
      </c>
      <c r="D9" s="7" t="str" cm="1">
        <f t="array" ref="D9">IF(OR($A9="",$A9=0),"",
IF(AND(INDEX(Formulario!$H$14:$H$100, $A9)="Si", C9&lt;&gt;31),
        VLOOKUP("cta puente",'Descripciones de gastos'!G:H, 2, FALSE),
IF(B9=1,
        INDEX(Tabla13[Titular], MATCH($A9, Tabla1[N Doc], 0)),
IF(B9=2,
        INDEX(Tabla1[Cuenta contable], MATCH($A9, Tabla1[N Doc], 0)),
IF(B9=3,
        INDEX(Tabla13[Cta Iva 22], MATCH($A9, Tabla1[N Doc], 0)),
IF(B9=4,
        INDEX(Tabla1[Cuenta contable], MATCH($A9, Tabla1[N Doc], 0)),
IF(B9=5,
        INDEX(Tabla13[Cta Iva 10], MATCH($A9, Tabla1[N Doc], 0)),
IF(B9=6,
        INDEX(Tabla1[Cuenta contable], MATCH($A9, Tabla1[N Doc], 0)),
IF(B9=7,
        INDEX(Tabla1[Cuenta contable], MATCH($A9, Tabla1[N Doc], 0)),
IF(B9=8,
        IF(INDEX(Tabla1[Tipo IVA], MATCH($A9, Tabla1[N Doc], 0))="22%",
             INDEX(Tabla13[Cta Iva 22], MATCH($A9, Tabla1[N Doc], 0)),
             INDEX(Tabla13[Cta Iva 10], MATCH($A9, Tabla1[N Doc], 0))),
IF(B9=9,
        INDEX(Tabla1[Cuenta contable], MATCH($A9, Tabla1[N Doc], 0))
)))))))))))</f>
        <v/>
      </c>
      <c r="F9" t="str">
        <f>IF(OR($A9="",$A9=0),"",IF(B9=1,
        INDEX(Tabla1[Importe total], MATCH($A9, Tabla1[N Doc], 0)),
IF(B9=2,
        INDEX(Tabla1[Base imponible 22], MATCH($A9, Tabla1[N Doc], 0)),
IF(B9=3,
        INDEX(Tabla1[Iva 22], MATCH($A9, Tabla1[N Doc], 0)),
IF(B9=4,
        INDEX(Tabla1[Base imponible 10], MATCH($A9, Tabla1[N Doc], 0)),
IF(B9=5,
        INDEX(Tabla1[Iva 10], MATCH($A9, Tabla1[N Doc], 0)),
IF(B9=6,
        INDEX(Tabla1[Exento], MATCH($A9, Tabla1[N Doc], 0)),
IF(B9=7,
        INDEX(#REF!, MATCH($A9, Tabla1[N Doc], 0)),
IF(B9=8,
        INDEX(#REF!, MATCH($A9, Tabla1[N Doc], 0)),
IF(B9=9,
        INDEX(Tabla1[Descuentos], MATCH($A9, Tabla1[N Doc], 0)),
""))))))))))</f>
        <v/>
      </c>
      <c r="G9" t="str">
        <f>IF(OR($A9="",$A9=0),"",IF(OR(B9=2,B9=4,B9=6,B9=7),
    INDEX(Tabla13[Ind impuestos], MATCH($A9, Tabla13[N Doc], 0)),
""))</f>
        <v/>
      </c>
      <c r="J9" t="str">
        <f>IF(OR($A9="",$A9=0),"",IF(OR(B9=2,B9=4,B9=6,B9=7),
    INDEX(Tabla1[CECO], MATCH($A9, Tabla1[N Doc], 0)),
""))</f>
        <v/>
      </c>
      <c r="M9" t="str">
        <f>IF(C9=31,INDEX(Tabla1[Descripción], MATCH($A9, Tabla1[N Doc], 0)),"")</f>
        <v/>
      </c>
    </row>
    <row r="10" spans="1:13" x14ac:dyDescent="0.3">
      <c r="A10" t="str" cm="1">
        <f t="array" ref="A10">INDEX(Tabla1[N Doc], ROUNDUP((ROW()-1)/9, 0))</f>
        <v/>
      </c>
      <c r="B10" t="str">
        <f>IF(OR(A10="",A10=0),"",CHOOSE(
    COUNTIF($A$2:A10,A10),
    1,2,3,4,5,6,7,8,9
))</f>
        <v/>
      </c>
      <c r="C10" t="str">
        <f t="shared" si="0"/>
        <v/>
      </c>
      <c r="D10" s="7" t="str" cm="1">
        <f t="array" ref="D10">IF(OR($A10="",$A10=0),"",
IF(AND(INDEX(Formulario!$H$14:$H$100, $A10)="Si", C10&lt;&gt;31),
        VLOOKUP("cta puente",'Descripciones de gastos'!G:H, 2, FALSE),
IF(B10=1,
        INDEX(Tabla13[Titular], MATCH($A10, Tabla1[N Doc], 0)),
IF(B10=2,
        INDEX(Tabla1[Cuenta contable], MATCH($A10, Tabla1[N Doc], 0)),
IF(B10=3,
        INDEX(Tabla13[Cta Iva 22], MATCH($A10, Tabla1[N Doc], 0)),
IF(B10=4,
        INDEX(Tabla1[Cuenta contable], MATCH($A10, Tabla1[N Doc], 0)),
IF(B10=5,
        INDEX(Tabla13[Cta Iva 10], MATCH($A10, Tabla1[N Doc], 0)),
IF(B10=6,
        INDEX(Tabla1[Cuenta contable], MATCH($A10, Tabla1[N Doc], 0)),
IF(B10=7,
        INDEX(Tabla1[Cuenta contable], MATCH($A10, Tabla1[N Doc], 0)),
IF(B10=8,
        IF(INDEX(Tabla1[Tipo IVA], MATCH($A10, Tabla1[N Doc], 0))="22%",
             INDEX(Tabla13[Cta Iva 22], MATCH($A10, Tabla1[N Doc], 0)),
             INDEX(Tabla13[Cta Iva 10], MATCH($A10, Tabla1[N Doc], 0))),
IF(B10=9,
        INDEX(Tabla1[Cuenta contable], MATCH($A10, Tabla1[N Doc], 0))
)))))))))))</f>
        <v/>
      </c>
      <c r="F10" t="str">
        <f>IF(OR($A10="",$A10=0),"",IF(B10=1,
        INDEX(Tabla1[Importe total], MATCH($A10, Tabla1[N Doc], 0)),
IF(B10=2,
        INDEX(Tabla1[Base imponible 22], MATCH($A10, Tabla1[N Doc], 0)),
IF(B10=3,
        INDEX(Tabla1[Iva 22], MATCH($A10, Tabla1[N Doc], 0)),
IF(B10=4,
        INDEX(Tabla1[Base imponible 10], MATCH($A10, Tabla1[N Doc], 0)),
IF(B10=5,
        INDEX(Tabla1[Iva 10], MATCH($A10, Tabla1[N Doc], 0)),
IF(B10=6,
        INDEX(Tabla1[Exento], MATCH($A10, Tabla1[N Doc], 0)),
IF(B10=7,
        INDEX(#REF!, MATCH($A10, Tabla1[N Doc], 0)),
IF(B10=8,
        INDEX(#REF!, MATCH($A10, Tabla1[N Doc], 0)),
IF(B10=9,
        INDEX(Tabla1[Descuentos], MATCH($A10, Tabla1[N Doc], 0)),
""))))))))))</f>
        <v/>
      </c>
      <c r="G10" t="str">
        <f>IF(OR($A10="",$A10=0),"",IF(OR(B10=2,B10=4,B10=6,B10=7),
    INDEX(Tabla13[Ind impuestos], MATCH($A10, Tabla13[N Doc], 0)),
""))</f>
        <v/>
      </c>
      <c r="J10" t="str">
        <f>IF(OR($A10="",$A10=0),"",IF(OR(B10=2,B10=4,B10=6,B10=7),
    INDEX(Tabla1[CECO], MATCH($A10, Tabla1[N Doc], 0)),
""))</f>
        <v/>
      </c>
      <c r="M10" t="str">
        <f>IF(C10=31,INDEX(Tabla1[Descripción], MATCH($A10, Tabla1[N Doc], 0)),"")</f>
        <v/>
      </c>
    </row>
    <row r="11" spans="1:13" x14ac:dyDescent="0.3">
      <c r="A11" t="str" cm="1">
        <f t="array" ref="A11">INDEX(Tabla1[N Doc], ROUNDUP((ROW()-1)/9, 0))</f>
        <v/>
      </c>
      <c r="B11" t="str">
        <f>IF(OR(A11="",A11=0),"",CHOOSE(
    COUNTIF($A$2:A11,A11),
    1,2,3,4,5,6,7,8,9
))</f>
        <v/>
      </c>
      <c r="C11" t="str">
        <f t="shared" si="0"/>
        <v/>
      </c>
      <c r="D11" s="7" t="str" cm="1">
        <f t="array" ref="D11">IF(OR($A11="",$A11=0),"",
IF(AND(INDEX(Formulario!$H$14:$H$100, $A11)="Si", C11&lt;&gt;31),
        VLOOKUP("cta puente",'Descripciones de gastos'!G:H, 2, FALSE),
IF(B11=1,
        INDEX(Tabla13[Titular], MATCH($A11, Tabla1[N Doc], 0)),
IF(B11=2,
        INDEX(Tabla1[Cuenta contable], MATCH($A11, Tabla1[N Doc], 0)),
IF(B11=3,
        INDEX(Tabla13[Cta Iva 22], MATCH($A11, Tabla1[N Doc], 0)),
IF(B11=4,
        INDEX(Tabla1[Cuenta contable], MATCH($A11, Tabla1[N Doc], 0)),
IF(B11=5,
        INDEX(Tabla13[Cta Iva 10], MATCH($A11, Tabla1[N Doc], 0)),
IF(B11=6,
        INDEX(Tabla1[Cuenta contable], MATCH($A11, Tabla1[N Doc], 0)),
IF(B11=7,
        INDEX(Tabla1[Cuenta contable], MATCH($A11, Tabla1[N Doc], 0)),
IF(B11=8,
        IF(INDEX(Tabla1[Tipo IVA], MATCH($A11, Tabla1[N Doc], 0))="22%",
             INDEX(Tabla13[Cta Iva 22], MATCH($A11, Tabla1[N Doc], 0)),
             INDEX(Tabla13[Cta Iva 10], MATCH($A11, Tabla1[N Doc], 0))),
IF(B11=9,
        INDEX(Tabla1[Cuenta contable], MATCH($A11, Tabla1[N Doc], 0))
)))))))))))</f>
        <v/>
      </c>
      <c r="F11" t="str">
        <f>IF(OR($A11="",$A11=0),"",IF(B11=1,
        INDEX(Tabla1[Importe total], MATCH($A11, Tabla1[N Doc], 0)),
IF(B11=2,
        INDEX(Tabla1[Base imponible 22], MATCH($A11, Tabla1[N Doc], 0)),
IF(B11=3,
        INDEX(Tabla1[Iva 22], MATCH($A11, Tabla1[N Doc], 0)),
IF(B11=4,
        INDEX(Tabla1[Base imponible 10], MATCH($A11, Tabla1[N Doc], 0)),
IF(B11=5,
        INDEX(Tabla1[Iva 10], MATCH($A11, Tabla1[N Doc], 0)),
IF(B11=6,
        INDEX(Tabla1[Exento], MATCH($A11, Tabla1[N Doc], 0)),
IF(B11=7,
        INDEX(#REF!, MATCH($A11, Tabla1[N Doc], 0)),
IF(B11=8,
        INDEX(#REF!, MATCH($A11, Tabla1[N Doc], 0)),
IF(B11=9,
        INDEX(Tabla1[Descuentos], MATCH($A11, Tabla1[N Doc], 0)),
""))))))))))</f>
        <v/>
      </c>
      <c r="G11" t="str">
        <f>IF(OR($A11="",$A11=0),"",IF(OR(B11=2,B11=4,B11=6,B11=7),
    INDEX(Tabla13[Ind impuestos], MATCH($A11, Tabla13[N Doc], 0)),
""))</f>
        <v/>
      </c>
      <c r="J11" t="str">
        <f>IF(OR($A11="",$A11=0),"",IF(OR(B11=2,B11=4,B11=6,B11=7),
    INDEX(Tabla1[CECO], MATCH($A11, Tabla1[N Doc], 0)),
""))</f>
        <v/>
      </c>
      <c r="M11" t="str">
        <f>IF(C11=31,INDEX(Tabla1[Descripción], MATCH($A11, Tabla1[N Doc], 0)),"")</f>
        <v/>
      </c>
    </row>
    <row r="12" spans="1:13" x14ac:dyDescent="0.3">
      <c r="A12" t="str" cm="1">
        <f t="array" ref="A12">INDEX(Tabla1[N Doc], ROUNDUP((ROW()-1)/9, 0))</f>
        <v/>
      </c>
      <c r="B12" t="str">
        <f>IF(OR(A12="",A12=0),"",CHOOSE(
    COUNTIF($A$2:A12,A12),
    1,2,3,4,5,6,7,8,9
))</f>
        <v/>
      </c>
      <c r="C12" t="str">
        <f t="shared" si="0"/>
        <v/>
      </c>
      <c r="D12" s="7" t="str" cm="1">
        <f t="array" ref="D12">IF(OR($A12="",$A12=0),"",
IF(AND(INDEX(Formulario!$H$14:$H$100, $A12)="Si", C12&lt;&gt;31),
        VLOOKUP("cta puente",'Descripciones de gastos'!G:H, 2, FALSE),
IF(B12=1,
        INDEX(Tabla13[Titular], MATCH($A12, Tabla1[N Doc], 0)),
IF(B12=2,
        INDEX(Tabla1[Cuenta contable], MATCH($A12, Tabla1[N Doc], 0)),
IF(B12=3,
        INDEX(Tabla13[Cta Iva 22], MATCH($A12, Tabla1[N Doc], 0)),
IF(B12=4,
        INDEX(Tabla1[Cuenta contable], MATCH($A12, Tabla1[N Doc], 0)),
IF(B12=5,
        INDEX(Tabla13[Cta Iva 10], MATCH($A12, Tabla1[N Doc], 0)),
IF(B12=6,
        INDEX(Tabla1[Cuenta contable], MATCH($A12, Tabla1[N Doc], 0)),
IF(B12=7,
        INDEX(Tabla1[Cuenta contable], MATCH($A12, Tabla1[N Doc], 0)),
IF(B12=8,
        IF(INDEX(Tabla1[Tipo IVA], MATCH($A12, Tabla1[N Doc], 0))="22%",
             INDEX(Tabla13[Cta Iva 22], MATCH($A12, Tabla1[N Doc], 0)),
             INDEX(Tabla13[Cta Iva 10], MATCH($A12, Tabla1[N Doc], 0))),
IF(B12=9,
        INDEX(Tabla1[Cuenta contable], MATCH($A12, Tabla1[N Doc], 0))
)))))))))))</f>
        <v/>
      </c>
      <c r="F12" t="str">
        <f>IF(OR($A12="",$A12=0),"",IF(B12=1,
        INDEX(Tabla1[Importe total], MATCH($A12, Tabla1[N Doc], 0)),
IF(B12=2,
        INDEX(Tabla1[Base imponible 22], MATCH($A12, Tabla1[N Doc], 0)),
IF(B12=3,
        INDEX(Tabla1[Iva 22], MATCH($A12, Tabla1[N Doc], 0)),
IF(B12=4,
        INDEX(Tabla1[Base imponible 10], MATCH($A12, Tabla1[N Doc], 0)),
IF(B12=5,
        INDEX(Tabla1[Iva 10], MATCH($A12, Tabla1[N Doc], 0)),
IF(B12=6,
        INDEX(Tabla1[Exento], MATCH($A12, Tabla1[N Doc], 0)),
IF(B12=7,
        INDEX(#REF!, MATCH($A12, Tabla1[N Doc], 0)),
IF(B12=8,
        INDEX(#REF!, MATCH($A12, Tabla1[N Doc], 0)),
IF(B12=9,
        INDEX(Tabla1[Descuentos], MATCH($A12, Tabla1[N Doc], 0)),
""))))))))))</f>
        <v/>
      </c>
      <c r="G12" t="str">
        <f>IF(OR($A12="",$A12=0),"",IF(OR(B12=2,B12=4,B12=6,B12=7),
    INDEX(Tabla13[Ind impuestos], MATCH($A12, Tabla13[N Doc], 0)),
""))</f>
        <v/>
      </c>
      <c r="J12" t="str">
        <f>IF(OR($A12="",$A12=0),"",IF(OR(B12=2,B12=4,B12=6,B12=7),
    INDEX(Tabla1[CECO], MATCH($A12, Tabla1[N Doc], 0)),
""))</f>
        <v/>
      </c>
      <c r="M12" t="str">
        <f>IF(C12=31,INDEX(Tabla1[Descripción], MATCH($A12, Tabla1[N Doc], 0)),"")</f>
        <v/>
      </c>
    </row>
    <row r="13" spans="1:13" x14ac:dyDescent="0.3">
      <c r="A13" t="str" cm="1">
        <f t="array" ref="A13">INDEX(Tabla1[N Doc], ROUNDUP((ROW()-1)/9, 0))</f>
        <v/>
      </c>
      <c r="B13" t="str">
        <f>IF(OR(A13="",A13=0),"",CHOOSE(
    COUNTIF($A$2:A13,A13),
    1,2,3,4,5,6,7,8,9
))</f>
        <v/>
      </c>
      <c r="C13" t="str">
        <f t="shared" si="0"/>
        <v/>
      </c>
      <c r="D13" s="7" t="str" cm="1">
        <f t="array" ref="D13">IF(OR($A13="",$A13=0),"",
IF(AND(INDEX(Formulario!$H$14:$H$100, $A13)="Si", C13&lt;&gt;31),
        VLOOKUP("cta puente",'Descripciones de gastos'!G:H, 2, FALSE),
IF(B13=1,
        INDEX(Tabla13[Titular], MATCH($A13, Tabla1[N Doc], 0)),
IF(B13=2,
        INDEX(Tabla1[Cuenta contable], MATCH($A13, Tabla1[N Doc], 0)),
IF(B13=3,
        INDEX(Tabla13[Cta Iva 22], MATCH($A13, Tabla1[N Doc], 0)),
IF(B13=4,
        INDEX(Tabla1[Cuenta contable], MATCH($A13, Tabla1[N Doc], 0)),
IF(B13=5,
        INDEX(Tabla13[Cta Iva 10], MATCH($A13, Tabla1[N Doc], 0)),
IF(B13=6,
        INDEX(Tabla1[Cuenta contable], MATCH($A13, Tabla1[N Doc], 0)),
IF(B13=7,
        INDEX(Tabla1[Cuenta contable], MATCH($A13, Tabla1[N Doc], 0)),
IF(B13=8,
        IF(INDEX(Tabla1[Tipo IVA], MATCH($A13, Tabla1[N Doc], 0))="22%",
             INDEX(Tabla13[Cta Iva 22], MATCH($A13, Tabla1[N Doc], 0)),
             INDEX(Tabla13[Cta Iva 10], MATCH($A13, Tabla1[N Doc], 0))),
IF(B13=9,
        INDEX(Tabla1[Cuenta contable], MATCH($A13, Tabla1[N Doc], 0))
)))))))))))</f>
        <v/>
      </c>
      <c r="F13" t="str">
        <f>IF(OR($A13="",$A13=0),"",IF(B13=1,
        INDEX(Tabla1[Importe total], MATCH($A13, Tabla1[N Doc], 0)),
IF(B13=2,
        INDEX(Tabla1[Base imponible 22], MATCH($A13, Tabla1[N Doc], 0)),
IF(B13=3,
        INDEX(Tabla1[Iva 22], MATCH($A13, Tabla1[N Doc], 0)),
IF(B13=4,
        INDEX(Tabla1[Base imponible 10], MATCH($A13, Tabla1[N Doc], 0)),
IF(B13=5,
        INDEX(Tabla1[Iva 10], MATCH($A13, Tabla1[N Doc], 0)),
IF(B13=6,
        INDEX(Tabla1[Exento], MATCH($A13, Tabla1[N Doc], 0)),
IF(B13=7,
        INDEX(#REF!, MATCH($A13, Tabla1[N Doc], 0)),
IF(B13=8,
        INDEX(#REF!, MATCH($A13, Tabla1[N Doc], 0)),
IF(B13=9,
        INDEX(Tabla1[Descuentos], MATCH($A13, Tabla1[N Doc], 0)),
""))))))))))</f>
        <v/>
      </c>
      <c r="G13" t="str">
        <f>IF(OR($A13="",$A13=0),"",IF(OR(B13=2,B13=4,B13=6,B13=7),
    INDEX(Tabla13[Ind impuestos], MATCH($A13, Tabla13[N Doc], 0)),
""))</f>
        <v/>
      </c>
      <c r="J13" t="str">
        <f>IF(OR($A13="",$A13=0),"",IF(OR(B13=2,B13=4,B13=6,B13=7),
    INDEX(Tabla1[CECO], MATCH($A13, Tabla1[N Doc], 0)),
""))</f>
        <v/>
      </c>
      <c r="M13" t="str">
        <f>IF(C13=31,INDEX(Tabla1[Descripción], MATCH($A13, Tabla1[N Doc], 0)),"")</f>
        <v/>
      </c>
    </row>
    <row r="14" spans="1:13" x14ac:dyDescent="0.3">
      <c r="A14" t="str" cm="1">
        <f t="array" ref="A14">INDEX(Tabla1[N Doc], ROUNDUP((ROW()-1)/9, 0))</f>
        <v/>
      </c>
      <c r="B14" t="str">
        <f>IF(OR(A14="",A14=0),"",CHOOSE(
    COUNTIF($A$2:A14,A14),
    1,2,3,4,5,6,7,8,9
))</f>
        <v/>
      </c>
      <c r="C14" t="str">
        <f t="shared" si="0"/>
        <v/>
      </c>
      <c r="D14" s="7" t="str" cm="1">
        <f t="array" ref="D14">IF(OR($A14="",$A14=0),"",
IF(AND(INDEX(Formulario!$H$14:$H$100, $A14)="Si", C14&lt;&gt;31),
        VLOOKUP("cta puente",'Descripciones de gastos'!G:H, 2, FALSE),
IF(B14=1,
        INDEX(Tabla13[Titular], MATCH($A14, Tabla1[N Doc], 0)),
IF(B14=2,
        INDEX(Tabla1[Cuenta contable], MATCH($A14, Tabla1[N Doc], 0)),
IF(B14=3,
        INDEX(Tabla13[Cta Iva 22], MATCH($A14, Tabla1[N Doc], 0)),
IF(B14=4,
        INDEX(Tabla1[Cuenta contable], MATCH($A14, Tabla1[N Doc], 0)),
IF(B14=5,
        INDEX(Tabla13[Cta Iva 10], MATCH($A14, Tabla1[N Doc], 0)),
IF(B14=6,
        INDEX(Tabla1[Cuenta contable], MATCH($A14, Tabla1[N Doc], 0)),
IF(B14=7,
        INDEX(Tabla1[Cuenta contable], MATCH($A14, Tabla1[N Doc], 0)),
IF(B14=8,
        IF(INDEX(Tabla1[Tipo IVA], MATCH($A14, Tabla1[N Doc], 0))="22%",
             INDEX(Tabla13[Cta Iva 22], MATCH($A14, Tabla1[N Doc], 0)),
             INDEX(Tabla13[Cta Iva 10], MATCH($A14, Tabla1[N Doc], 0))),
IF(B14=9,
        INDEX(Tabla1[Cuenta contable], MATCH($A14, Tabla1[N Doc], 0))
)))))))))))</f>
        <v/>
      </c>
      <c r="F14" t="str">
        <f>IF(OR($A14="",$A14=0),"",IF(B14=1,
        INDEX(Tabla1[Importe total], MATCH($A14, Tabla1[N Doc], 0)),
IF(B14=2,
        INDEX(Tabla1[Base imponible 22], MATCH($A14, Tabla1[N Doc], 0)),
IF(B14=3,
        INDEX(Tabla1[Iva 22], MATCH($A14, Tabla1[N Doc], 0)),
IF(B14=4,
        INDEX(Tabla1[Base imponible 10], MATCH($A14, Tabla1[N Doc], 0)),
IF(B14=5,
        INDEX(Tabla1[Iva 10], MATCH($A14, Tabla1[N Doc], 0)),
IF(B14=6,
        INDEX(Tabla1[Exento], MATCH($A14, Tabla1[N Doc], 0)),
IF(B14=7,
        INDEX(#REF!, MATCH($A14, Tabla1[N Doc], 0)),
IF(B14=8,
        INDEX(#REF!, MATCH($A14, Tabla1[N Doc], 0)),
IF(B14=9,
        INDEX(Tabla1[Descuentos], MATCH($A14, Tabla1[N Doc], 0)),
""))))))))))</f>
        <v/>
      </c>
      <c r="G14" t="str">
        <f>IF(OR($A14="",$A14=0),"",IF(OR(B14=2,B14=4,B14=6,B14=7),
    INDEX(Tabla13[Ind impuestos], MATCH($A14, Tabla13[N Doc], 0)),
""))</f>
        <v/>
      </c>
      <c r="J14" t="str">
        <f>IF(OR($A14="",$A14=0),"",IF(OR(B14=2,B14=4,B14=6,B14=7),
    INDEX(Tabla1[CECO], MATCH($A14, Tabla1[N Doc], 0)),
""))</f>
        <v/>
      </c>
      <c r="M14" t="str">
        <f>IF(C14=31,INDEX(Tabla1[Descripción], MATCH($A14, Tabla1[N Doc], 0)),"")</f>
        <v/>
      </c>
    </row>
    <row r="15" spans="1:13" x14ac:dyDescent="0.3">
      <c r="A15" t="str" cm="1">
        <f t="array" ref="A15">INDEX(Tabla1[N Doc], ROUNDUP((ROW()-1)/9, 0))</f>
        <v/>
      </c>
      <c r="B15" t="str">
        <f>IF(OR(A15="",A15=0),"",CHOOSE(
    COUNTIF($A$2:A15,A15),
    1,2,3,4,5,6,7,8,9
))</f>
        <v/>
      </c>
      <c r="C15" t="str">
        <f t="shared" si="0"/>
        <v/>
      </c>
      <c r="D15" s="7" t="str" cm="1">
        <f t="array" ref="D15">IF(OR($A15="",$A15=0),"",
IF(AND(INDEX(Formulario!$H$14:$H$100, $A15)="Si", C15&lt;&gt;31),
        VLOOKUP("cta puente",'Descripciones de gastos'!G:H, 2, FALSE),
IF(B15=1,
        INDEX(Tabla13[Titular], MATCH($A15, Tabla1[N Doc], 0)),
IF(B15=2,
        INDEX(Tabla1[Cuenta contable], MATCH($A15, Tabla1[N Doc], 0)),
IF(B15=3,
        INDEX(Tabla13[Cta Iva 22], MATCH($A15, Tabla1[N Doc], 0)),
IF(B15=4,
        INDEX(Tabla1[Cuenta contable], MATCH($A15, Tabla1[N Doc], 0)),
IF(B15=5,
        INDEX(Tabla13[Cta Iva 10], MATCH($A15, Tabla1[N Doc], 0)),
IF(B15=6,
        INDEX(Tabla1[Cuenta contable], MATCH($A15, Tabla1[N Doc], 0)),
IF(B15=7,
        INDEX(Tabla1[Cuenta contable], MATCH($A15, Tabla1[N Doc], 0)),
IF(B15=8,
        IF(INDEX(Tabla1[Tipo IVA], MATCH($A15, Tabla1[N Doc], 0))="22%",
             INDEX(Tabla13[Cta Iva 22], MATCH($A15, Tabla1[N Doc], 0)),
             INDEX(Tabla13[Cta Iva 10], MATCH($A15, Tabla1[N Doc], 0))),
IF(B15=9,
        INDEX(Tabla1[Cuenta contable], MATCH($A15, Tabla1[N Doc], 0))
)))))))))))</f>
        <v/>
      </c>
      <c r="F15" t="str">
        <f>IF(OR($A15="",$A15=0),"",IF(B15=1,
        INDEX(Tabla1[Importe total], MATCH($A15, Tabla1[N Doc], 0)),
IF(B15=2,
        INDEX(Tabla1[Base imponible 22], MATCH($A15, Tabla1[N Doc], 0)),
IF(B15=3,
        INDEX(Tabla1[Iva 22], MATCH($A15, Tabla1[N Doc], 0)),
IF(B15=4,
        INDEX(Tabla1[Base imponible 10], MATCH($A15, Tabla1[N Doc], 0)),
IF(B15=5,
        INDEX(Tabla1[Iva 10], MATCH($A15, Tabla1[N Doc], 0)),
IF(B15=6,
        INDEX(Tabla1[Exento], MATCH($A15, Tabla1[N Doc], 0)),
IF(B15=7,
        INDEX(#REF!, MATCH($A15, Tabla1[N Doc], 0)),
IF(B15=8,
        INDEX(#REF!, MATCH($A15, Tabla1[N Doc], 0)),
IF(B15=9,
        INDEX(Tabla1[Descuentos], MATCH($A15, Tabla1[N Doc], 0)),
""))))))))))</f>
        <v/>
      </c>
      <c r="G15" t="str">
        <f>IF(OR($A15="",$A15=0),"",IF(OR(B15=2,B15=4,B15=6,B15=7),
    INDEX(Tabla13[Ind impuestos], MATCH($A15, Tabla13[N Doc], 0)),
""))</f>
        <v/>
      </c>
      <c r="J15" t="str">
        <f>IF(OR($A15="",$A15=0),"",IF(OR(B15=2,B15=4,B15=6,B15=7),
    INDEX(Tabla1[CECO], MATCH($A15, Tabla1[N Doc], 0)),
""))</f>
        <v/>
      </c>
      <c r="M15" t="str">
        <f>IF(C15=31,INDEX(Tabla1[Descripción], MATCH($A15, Tabla1[N Doc], 0)),"")</f>
        <v/>
      </c>
    </row>
    <row r="16" spans="1:13" x14ac:dyDescent="0.3">
      <c r="A16" t="str" cm="1">
        <f t="array" ref="A16">INDEX(Tabla1[N Doc], ROUNDUP((ROW()-1)/9, 0))</f>
        <v/>
      </c>
      <c r="B16" t="str">
        <f>IF(OR(A16="",A16=0),"",CHOOSE(
    COUNTIF($A$2:A16,A16),
    1,2,3,4,5,6,7,8,9
))</f>
        <v/>
      </c>
      <c r="C16" t="str">
        <f t="shared" si="0"/>
        <v/>
      </c>
      <c r="D16" s="7" t="str" cm="1">
        <f t="array" ref="D16">IF(OR($A16="",$A16=0),"",
IF(AND(INDEX(Formulario!$H$14:$H$100, $A16)="Si", C16&lt;&gt;31),
        VLOOKUP("cta puente",'Descripciones de gastos'!G:H, 2, FALSE),
IF(B16=1,
        INDEX(Tabla13[Titular], MATCH($A16, Tabla1[N Doc], 0)),
IF(B16=2,
        INDEX(Tabla1[Cuenta contable], MATCH($A16, Tabla1[N Doc], 0)),
IF(B16=3,
        INDEX(Tabla13[Cta Iva 22], MATCH($A16, Tabla1[N Doc], 0)),
IF(B16=4,
        INDEX(Tabla1[Cuenta contable], MATCH($A16, Tabla1[N Doc], 0)),
IF(B16=5,
        INDEX(Tabla13[Cta Iva 10], MATCH($A16, Tabla1[N Doc], 0)),
IF(B16=6,
        INDEX(Tabla1[Cuenta contable], MATCH($A16, Tabla1[N Doc], 0)),
IF(B16=7,
        INDEX(Tabla1[Cuenta contable], MATCH($A16, Tabla1[N Doc], 0)),
IF(B16=8,
        IF(INDEX(Tabla1[Tipo IVA], MATCH($A16, Tabla1[N Doc], 0))="22%",
             INDEX(Tabla13[Cta Iva 22], MATCH($A16, Tabla1[N Doc], 0)),
             INDEX(Tabla13[Cta Iva 10], MATCH($A16, Tabla1[N Doc], 0))),
IF(B16=9,
        INDEX(Tabla1[Cuenta contable], MATCH($A16, Tabla1[N Doc], 0))
)))))))))))</f>
        <v/>
      </c>
      <c r="F16" t="str">
        <f>IF(OR($A16="",$A16=0),"",IF(B16=1,
        INDEX(Tabla1[Importe total], MATCH($A16, Tabla1[N Doc], 0)),
IF(B16=2,
        INDEX(Tabla1[Base imponible 22], MATCH($A16, Tabla1[N Doc], 0)),
IF(B16=3,
        INDEX(Tabla1[Iva 22], MATCH($A16, Tabla1[N Doc], 0)),
IF(B16=4,
        INDEX(Tabla1[Base imponible 10], MATCH($A16, Tabla1[N Doc], 0)),
IF(B16=5,
        INDEX(Tabla1[Iva 10], MATCH($A16, Tabla1[N Doc], 0)),
IF(B16=6,
        INDEX(Tabla1[Exento], MATCH($A16, Tabla1[N Doc], 0)),
IF(B16=7,
        INDEX(#REF!, MATCH($A16, Tabla1[N Doc], 0)),
IF(B16=8,
        INDEX(#REF!, MATCH($A16, Tabla1[N Doc], 0)),
IF(B16=9,
        INDEX(Tabla1[Descuentos], MATCH($A16, Tabla1[N Doc], 0)),
""))))))))))</f>
        <v/>
      </c>
      <c r="G16" t="str">
        <f>IF(OR($A16="",$A16=0),"",IF(OR(B16=2,B16=4,B16=6,B16=7),
    INDEX(Tabla13[Ind impuestos], MATCH($A16, Tabla13[N Doc], 0)),
""))</f>
        <v/>
      </c>
      <c r="J16" t="str">
        <f>IF(OR($A16="",$A16=0),"",IF(OR(B16=2,B16=4,B16=6,B16=7),
    INDEX(Tabla1[CECO], MATCH($A16, Tabla1[N Doc], 0)),
""))</f>
        <v/>
      </c>
      <c r="M16" t="str">
        <f>IF(C16=31,INDEX(Tabla1[Descripción], MATCH($A16, Tabla1[N Doc], 0)),"")</f>
        <v/>
      </c>
    </row>
    <row r="17" spans="1:13" x14ac:dyDescent="0.3">
      <c r="A17" t="str" cm="1">
        <f t="array" ref="A17">INDEX(Tabla1[N Doc], ROUNDUP((ROW()-1)/9, 0))</f>
        <v/>
      </c>
      <c r="B17" t="str">
        <f>IF(OR(A17="",A17=0),"",CHOOSE(
    COUNTIF($A$2:A17,A17),
    1,2,3,4,5,6,7,8,9
))</f>
        <v/>
      </c>
      <c r="C17" t="str">
        <f t="shared" si="0"/>
        <v/>
      </c>
      <c r="D17" s="7" t="str" cm="1">
        <f t="array" ref="D17">IF(OR($A17="",$A17=0),"",
IF(AND(INDEX(Formulario!$H$14:$H$100, $A17)="Si", C17&lt;&gt;31),
        VLOOKUP("cta puente",'Descripciones de gastos'!G:H, 2, FALSE),
IF(B17=1,
        INDEX(Tabla13[Titular], MATCH($A17, Tabla1[N Doc], 0)),
IF(B17=2,
        INDEX(Tabla1[Cuenta contable], MATCH($A17, Tabla1[N Doc], 0)),
IF(B17=3,
        INDEX(Tabla13[Cta Iva 22], MATCH($A17, Tabla1[N Doc], 0)),
IF(B17=4,
        INDEX(Tabla1[Cuenta contable], MATCH($A17, Tabla1[N Doc], 0)),
IF(B17=5,
        INDEX(Tabla13[Cta Iva 10], MATCH($A17, Tabla1[N Doc], 0)),
IF(B17=6,
        INDEX(Tabla1[Cuenta contable], MATCH($A17, Tabla1[N Doc], 0)),
IF(B17=7,
        INDEX(Tabla1[Cuenta contable], MATCH($A17, Tabla1[N Doc], 0)),
IF(B17=8,
        IF(INDEX(Tabla1[Tipo IVA], MATCH($A17, Tabla1[N Doc], 0))="22%",
             INDEX(Tabla13[Cta Iva 22], MATCH($A17, Tabla1[N Doc], 0)),
             INDEX(Tabla13[Cta Iva 10], MATCH($A17, Tabla1[N Doc], 0))),
IF(B17=9,
        INDEX(Tabla1[Cuenta contable], MATCH($A17, Tabla1[N Doc], 0))
)))))))))))</f>
        <v/>
      </c>
      <c r="F17" t="str">
        <f>IF(OR($A17="",$A17=0),"",IF(B17=1,
        INDEX(Tabla1[Importe total], MATCH($A17, Tabla1[N Doc], 0)),
IF(B17=2,
        INDEX(Tabla1[Base imponible 22], MATCH($A17, Tabla1[N Doc], 0)),
IF(B17=3,
        INDEX(Tabla1[Iva 22], MATCH($A17, Tabla1[N Doc], 0)),
IF(B17=4,
        INDEX(Tabla1[Base imponible 10], MATCH($A17, Tabla1[N Doc], 0)),
IF(B17=5,
        INDEX(Tabla1[Iva 10], MATCH($A17, Tabla1[N Doc], 0)),
IF(B17=6,
        INDEX(Tabla1[Exento], MATCH($A17, Tabla1[N Doc], 0)),
IF(B17=7,
        INDEX(#REF!, MATCH($A17, Tabla1[N Doc], 0)),
IF(B17=8,
        INDEX(#REF!, MATCH($A17, Tabla1[N Doc], 0)),
IF(B17=9,
        INDEX(Tabla1[Descuentos], MATCH($A17, Tabla1[N Doc], 0)),
""))))))))))</f>
        <v/>
      </c>
      <c r="G17" t="str">
        <f>IF(OR($A17="",$A17=0),"",IF(OR(B17=2,B17=4,B17=6,B17=7),
    INDEX(Tabla13[Ind impuestos], MATCH($A17, Tabla13[N Doc], 0)),
""))</f>
        <v/>
      </c>
      <c r="J17" t="str">
        <f>IF(OR($A17="",$A17=0),"",IF(OR(B17=2,B17=4,B17=6,B17=7),
    INDEX(Tabla1[CECO], MATCH($A17, Tabla1[N Doc], 0)),
""))</f>
        <v/>
      </c>
      <c r="M17" t="str">
        <f>IF(C17=31,INDEX(Tabla1[Descripción], MATCH($A17, Tabla1[N Doc], 0)),"")</f>
        <v/>
      </c>
    </row>
    <row r="18" spans="1:13" x14ac:dyDescent="0.3">
      <c r="A18" t="str" cm="1">
        <f t="array" ref="A18">INDEX(Tabla1[N Doc], ROUNDUP((ROW()-1)/9, 0))</f>
        <v/>
      </c>
      <c r="B18" t="str">
        <f>IF(OR(A18="",A18=0),"",CHOOSE(
    COUNTIF($A$2:A18,A18),
    1,2,3,4,5,6,7,8,9
))</f>
        <v/>
      </c>
      <c r="C18" t="str">
        <f t="shared" si="0"/>
        <v/>
      </c>
      <c r="D18" s="7" t="str" cm="1">
        <f t="array" ref="D18">IF(OR($A18="",$A18=0),"",
IF(AND(INDEX(Formulario!$H$14:$H$100, $A18)="Si", C18&lt;&gt;31),
        VLOOKUP("cta puente",'Descripciones de gastos'!G:H, 2, FALSE),
IF(B18=1,
        INDEX(Tabla13[Titular], MATCH($A18, Tabla1[N Doc], 0)),
IF(B18=2,
        INDEX(Tabla1[Cuenta contable], MATCH($A18, Tabla1[N Doc], 0)),
IF(B18=3,
        INDEX(Tabla13[Cta Iva 22], MATCH($A18, Tabla1[N Doc], 0)),
IF(B18=4,
        INDEX(Tabla1[Cuenta contable], MATCH($A18, Tabla1[N Doc], 0)),
IF(B18=5,
        INDEX(Tabla13[Cta Iva 10], MATCH($A18, Tabla1[N Doc], 0)),
IF(B18=6,
        INDEX(Tabla1[Cuenta contable], MATCH($A18, Tabla1[N Doc], 0)),
IF(B18=7,
        INDEX(Tabla1[Cuenta contable], MATCH($A18, Tabla1[N Doc], 0)),
IF(B18=8,
        IF(INDEX(Tabla1[Tipo IVA], MATCH($A18, Tabla1[N Doc], 0))="22%",
             INDEX(Tabla13[Cta Iva 22], MATCH($A18, Tabla1[N Doc], 0)),
             INDEX(Tabla13[Cta Iva 10], MATCH($A18, Tabla1[N Doc], 0))),
IF(B18=9,
        INDEX(Tabla1[Cuenta contable], MATCH($A18, Tabla1[N Doc], 0))
)))))))))))</f>
        <v/>
      </c>
      <c r="F18" t="str">
        <f>IF(OR($A18="",$A18=0),"",IF(B18=1,
        INDEX(Tabla1[Importe total], MATCH($A18, Tabla1[N Doc], 0)),
IF(B18=2,
        INDEX(Tabla1[Base imponible 22], MATCH($A18, Tabla1[N Doc], 0)),
IF(B18=3,
        INDEX(Tabla1[Iva 22], MATCH($A18, Tabla1[N Doc], 0)),
IF(B18=4,
        INDEX(Tabla1[Base imponible 10], MATCH($A18, Tabla1[N Doc], 0)),
IF(B18=5,
        INDEX(Tabla1[Iva 10], MATCH($A18, Tabla1[N Doc], 0)),
IF(B18=6,
        INDEX(Tabla1[Exento], MATCH($A18, Tabla1[N Doc], 0)),
IF(B18=7,
        INDEX(#REF!, MATCH($A18, Tabla1[N Doc], 0)),
IF(B18=8,
        INDEX(#REF!, MATCH($A18, Tabla1[N Doc], 0)),
IF(B18=9,
        INDEX(Tabla1[Descuentos], MATCH($A18, Tabla1[N Doc], 0)),
""))))))))))</f>
        <v/>
      </c>
      <c r="G18" t="str">
        <f>IF(OR($A18="",$A18=0),"",IF(OR(B18=2,B18=4,B18=6,B18=7),
    INDEX(Tabla13[Ind impuestos], MATCH($A18, Tabla13[N Doc], 0)),
""))</f>
        <v/>
      </c>
      <c r="J18" t="str">
        <f>IF(OR($A18="",$A18=0),"",IF(OR(B18=2,B18=4,B18=6,B18=7),
    INDEX(Tabla1[CECO], MATCH($A18, Tabla1[N Doc], 0)),
""))</f>
        <v/>
      </c>
      <c r="M18" t="str">
        <f>IF(C18=31,INDEX(Tabla1[Descripción], MATCH($A18, Tabla1[N Doc], 0)),"")</f>
        <v/>
      </c>
    </row>
    <row r="19" spans="1:13" x14ac:dyDescent="0.3">
      <c r="A19" t="str" cm="1">
        <f t="array" ref="A19">INDEX(Tabla1[N Doc], ROUNDUP((ROW()-1)/9, 0))</f>
        <v/>
      </c>
      <c r="B19" t="str">
        <f>IF(OR(A19="",A19=0),"",CHOOSE(
    COUNTIF($A$2:A19,A19),
    1,2,3,4,5,6,7,8,9
))</f>
        <v/>
      </c>
      <c r="C19" t="str">
        <f t="shared" si="0"/>
        <v/>
      </c>
      <c r="D19" s="7" t="str" cm="1">
        <f t="array" ref="D19">IF(OR($A19="",$A19=0),"",
IF(AND(INDEX(Formulario!$H$14:$H$100, $A19)="Si", C19&lt;&gt;31),
        VLOOKUP("cta puente",'Descripciones de gastos'!G:H, 2, FALSE),
IF(B19=1,
        INDEX(Tabla13[Titular], MATCH($A19, Tabla1[N Doc], 0)),
IF(B19=2,
        INDEX(Tabla1[Cuenta contable], MATCH($A19, Tabla1[N Doc], 0)),
IF(B19=3,
        INDEX(Tabla13[Cta Iva 22], MATCH($A19, Tabla1[N Doc], 0)),
IF(B19=4,
        INDEX(Tabla1[Cuenta contable], MATCH($A19, Tabla1[N Doc], 0)),
IF(B19=5,
        INDEX(Tabla13[Cta Iva 10], MATCH($A19, Tabla1[N Doc], 0)),
IF(B19=6,
        INDEX(Tabla1[Cuenta contable], MATCH($A19, Tabla1[N Doc], 0)),
IF(B19=7,
        INDEX(Tabla1[Cuenta contable], MATCH($A19, Tabla1[N Doc], 0)),
IF(B19=8,
        IF(INDEX(Tabla1[Tipo IVA], MATCH($A19, Tabla1[N Doc], 0))="22%",
             INDEX(Tabla13[Cta Iva 22], MATCH($A19, Tabla1[N Doc], 0)),
             INDEX(Tabla13[Cta Iva 10], MATCH($A19, Tabla1[N Doc], 0))),
IF(B19=9,
        INDEX(Tabla1[Cuenta contable], MATCH($A19, Tabla1[N Doc], 0))
)))))))))))</f>
        <v/>
      </c>
      <c r="F19" t="str">
        <f>IF(OR($A19="",$A19=0),"",IF(B19=1,
        INDEX(Tabla1[Importe total], MATCH($A19, Tabla1[N Doc], 0)),
IF(B19=2,
        INDEX(Tabla1[Base imponible 22], MATCH($A19, Tabla1[N Doc], 0)),
IF(B19=3,
        INDEX(Tabla1[Iva 22], MATCH($A19, Tabla1[N Doc], 0)),
IF(B19=4,
        INDEX(Tabla1[Base imponible 10], MATCH($A19, Tabla1[N Doc], 0)),
IF(B19=5,
        INDEX(Tabla1[Iva 10], MATCH($A19, Tabla1[N Doc], 0)),
IF(B19=6,
        INDEX(Tabla1[Exento], MATCH($A19, Tabla1[N Doc], 0)),
IF(B19=7,
        INDEX(#REF!, MATCH($A19, Tabla1[N Doc], 0)),
IF(B19=8,
        INDEX(#REF!, MATCH($A19, Tabla1[N Doc], 0)),
IF(B19=9,
        INDEX(Tabla1[Descuentos], MATCH($A19, Tabla1[N Doc], 0)),
""))))))))))</f>
        <v/>
      </c>
      <c r="G19" t="str">
        <f>IF(OR($A19="",$A19=0),"",IF(OR(B19=2,B19=4,B19=6,B19=7),
    INDEX(Tabla13[Ind impuestos], MATCH($A19, Tabla13[N Doc], 0)),
""))</f>
        <v/>
      </c>
      <c r="J19" t="str">
        <f>IF(OR($A19="",$A19=0),"",IF(OR(B19=2,B19=4,B19=6,B19=7),
    INDEX(Tabla1[CECO], MATCH($A19, Tabla1[N Doc], 0)),
""))</f>
        <v/>
      </c>
      <c r="M19" t="str">
        <f>IF(C19=31,INDEX(Tabla1[Descripción], MATCH($A19, Tabla1[N Doc], 0)),"")</f>
        <v/>
      </c>
    </row>
    <row r="20" spans="1:13" x14ac:dyDescent="0.3">
      <c r="A20" t="str" cm="1">
        <f t="array" ref="A20">INDEX(Tabla1[N Doc], ROUNDUP((ROW()-1)/9, 0))</f>
        <v/>
      </c>
      <c r="B20" t="str">
        <f>IF(OR(A20="",A20=0),"",CHOOSE(
    COUNTIF($A$2:A20,A20),
    1,2,3,4,5,6,7,8,9
))</f>
        <v/>
      </c>
      <c r="C20" t="str">
        <f t="shared" si="0"/>
        <v/>
      </c>
      <c r="D20" s="7" t="str" cm="1">
        <f t="array" ref="D20">IF(OR($A20="",$A20=0),"",
IF(AND(INDEX(Formulario!$H$14:$H$100, $A20)="Si", C20&lt;&gt;31),
        VLOOKUP("cta puente",'Descripciones de gastos'!G:H, 2, FALSE),
IF(B20=1,
        INDEX(Tabla13[Titular], MATCH($A20, Tabla1[N Doc], 0)),
IF(B20=2,
        INDEX(Tabla1[Cuenta contable], MATCH($A20, Tabla1[N Doc], 0)),
IF(B20=3,
        INDEX(Tabla13[Cta Iva 22], MATCH($A20, Tabla1[N Doc], 0)),
IF(B20=4,
        INDEX(Tabla1[Cuenta contable], MATCH($A20, Tabla1[N Doc], 0)),
IF(B20=5,
        INDEX(Tabla13[Cta Iva 10], MATCH($A20, Tabla1[N Doc], 0)),
IF(B20=6,
        INDEX(Tabla1[Cuenta contable], MATCH($A20, Tabla1[N Doc], 0)),
IF(B20=7,
        INDEX(Tabla1[Cuenta contable], MATCH($A20, Tabla1[N Doc], 0)),
IF(B20=8,
        IF(INDEX(Tabla1[Tipo IVA], MATCH($A20, Tabla1[N Doc], 0))="22%",
             INDEX(Tabla13[Cta Iva 22], MATCH($A20, Tabla1[N Doc], 0)),
             INDEX(Tabla13[Cta Iva 10], MATCH($A20, Tabla1[N Doc], 0))),
IF(B20=9,
        INDEX(Tabla1[Cuenta contable], MATCH($A20, Tabla1[N Doc], 0))
)))))))))))</f>
        <v/>
      </c>
      <c r="F20" t="str">
        <f>IF(OR($A20="",$A20=0),"",IF(B20=1,
        INDEX(Tabla1[Importe total], MATCH($A20, Tabla1[N Doc], 0)),
IF(B20=2,
        INDEX(Tabla1[Base imponible 22], MATCH($A20, Tabla1[N Doc], 0)),
IF(B20=3,
        INDEX(Tabla1[Iva 22], MATCH($A20, Tabla1[N Doc], 0)),
IF(B20=4,
        INDEX(Tabla1[Base imponible 10], MATCH($A20, Tabla1[N Doc], 0)),
IF(B20=5,
        INDEX(Tabla1[Iva 10], MATCH($A20, Tabla1[N Doc], 0)),
IF(B20=6,
        INDEX(Tabla1[Exento], MATCH($A20, Tabla1[N Doc], 0)),
IF(B20=7,
        INDEX(#REF!, MATCH($A20, Tabla1[N Doc], 0)),
IF(B20=8,
        INDEX(#REF!, MATCH($A20, Tabla1[N Doc], 0)),
IF(B20=9,
        INDEX(Tabla1[Descuentos], MATCH($A20, Tabla1[N Doc], 0)),
""))))))))))</f>
        <v/>
      </c>
      <c r="G20" t="str">
        <f>IF(OR($A20="",$A20=0),"",IF(OR(B20=2,B20=4,B20=6,B20=7),
    INDEX(Tabla13[Ind impuestos], MATCH($A20, Tabla13[N Doc], 0)),
""))</f>
        <v/>
      </c>
      <c r="J20" t="str">
        <f>IF(OR($A20="",$A20=0),"",IF(OR(B20=2,B20=4,B20=6,B20=7),
    INDEX(Tabla1[CECO], MATCH($A20, Tabla1[N Doc], 0)),
""))</f>
        <v/>
      </c>
      <c r="M20" t="str">
        <f>IF(C20=31,INDEX(Tabla1[Descripción], MATCH($A20, Tabla1[N Doc], 0)),"")</f>
        <v/>
      </c>
    </row>
    <row r="21" spans="1:13" x14ac:dyDescent="0.3">
      <c r="A21" t="str" cm="1">
        <f t="array" ref="A21">INDEX(Tabla1[N Doc], ROUNDUP((ROW()-1)/9, 0))</f>
        <v/>
      </c>
      <c r="B21" t="str">
        <f>IF(OR(A21="",A21=0),"",CHOOSE(
    COUNTIF($A$2:A21,A21),
    1,2,3,4,5,6,7,8,9
))</f>
        <v/>
      </c>
      <c r="C21" t="str">
        <f t="shared" si="0"/>
        <v/>
      </c>
      <c r="D21" s="7" t="str" cm="1">
        <f t="array" ref="D21">IF(OR($A21="",$A21=0),"",
IF(AND(INDEX(Formulario!$H$14:$H$100, $A21)="Si", C21&lt;&gt;31),
        VLOOKUP("cta puente",'Descripciones de gastos'!G:H, 2, FALSE),
IF(B21=1,
        INDEX(Tabla13[Titular], MATCH($A21, Tabla1[N Doc], 0)),
IF(B21=2,
        INDEX(Tabla1[Cuenta contable], MATCH($A21, Tabla1[N Doc], 0)),
IF(B21=3,
        INDEX(Tabla13[Cta Iva 22], MATCH($A21, Tabla1[N Doc], 0)),
IF(B21=4,
        INDEX(Tabla1[Cuenta contable], MATCH($A21, Tabla1[N Doc], 0)),
IF(B21=5,
        INDEX(Tabla13[Cta Iva 10], MATCH($A21, Tabla1[N Doc], 0)),
IF(B21=6,
        INDEX(Tabla1[Cuenta contable], MATCH($A21, Tabla1[N Doc], 0)),
IF(B21=7,
        INDEX(Tabla1[Cuenta contable], MATCH($A21, Tabla1[N Doc], 0)),
IF(B21=8,
        IF(INDEX(Tabla1[Tipo IVA], MATCH($A21, Tabla1[N Doc], 0))="22%",
             INDEX(Tabla13[Cta Iva 22], MATCH($A21, Tabla1[N Doc], 0)),
             INDEX(Tabla13[Cta Iva 10], MATCH($A21, Tabla1[N Doc], 0))),
IF(B21=9,
        INDEX(Tabla1[Cuenta contable], MATCH($A21, Tabla1[N Doc], 0))
)))))))))))</f>
        <v/>
      </c>
      <c r="F21" t="str">
        <f>IF(OR($A21="",$A21=0),"",IF(B21=1,
        INDEX(Tabla1[Importe total], MATCH($A21, Tabla1[N Doc], 0)),
IF(B21=2,
        INDEX(Tabla1[Base imponible 22], MATCH($A21, Tabla1[N Doc], 0)),
IF(B21=3,
        INDEX(Tabla1[Iva 22], MATCH($A21, Tabla1[N Doc], 0)),
IF(B21=4,
        INDEX(Tabla1[Base imponible 10], MATCH($A21, Tabla1[N Doc], 0)),
IF(B21=5,
        INDEX(Tabla1[Iva 10], MATCH($A21, Tabla1[N Doc], 0)),
IF(B21=6,
        INDEX(Tabla1[Exento], MATCH($A21, Tabla1[N Doc], 0)),
IF(B21=7,
        INDEX(#REF!, MATCH($A21, Tabla1[N Doc], 0)),
IF(B21=8,
        INDEX(#REF!, MATCH($A21, Tabla1[N Doc], 0)),
IF(B21=9,
        INDEX(Tabla1[Descuentos], MATCH($A21, Tabla1[N Doc], 0)),
""))))))))))</f>
        <v/>
      </c>
      <c r="G21" t="str">
        <f>IF(OR($A21="",$A21=0),"",IF(OR(B21=2,B21=4,B21=6,B21=7),
    INDEX(Tabla13[Ind impuestos], MATCH($A21, Tabla13[N Doc], 0)),
""))</f>
        <v/>
      </c>
      <c r="J21" t="str">
        <f>IF(OR($A21="",$A21=0),"",IF(OR(B21=2,B21=4,B21=6,B21=7),
    INDEX(Tabla1[CECO], MATCH($A21, Tabla1[N Doc], 0)),
""))</f>
        <v/>
      </c>
      <c r="M21" t="str">
        <f>IF(C21=31,INDEX(Tabla1[Descripción], MATCH($A21, Tabla1[N Doc], 0)),"")</f>
        <v/>
      </c>
    </row>
    <row r="22" spans="1:13" x14ac:dyDescent="0.3">
      <c r="A22" t="str" cm="1">
        <f t="array" ref="A22">INDEX(Tabla1[N Doc], ROUNDUP((ROW()-1)/9, 0))</f>
        <v/>
      </c>
      <c r="B22" t="str">
        <f>IF(OR(A22="",A22=0),"",CHOOSE(
    COUNTIF($A$2:A22,A22),
    1,2,3,4,5,6,7,8,9
))</f>
        <v/>
      </c>
      <c r="C22" t="str">
        <f t="shared" si="0"/>
        <v/>
      </c>
      <c r="D22" s="7" t="str" cm="1">
        <f t="array" ref="D22">IF(OR($A22="",$A22=0),"",
IF(AND(INDEX(Formulario!$H$14:$H$100, $A22)="Si", C22&lt;&gt;31),
        VLOOKUP("cta puente",'Descripciones de gastos'!G:H, 2, FALSE),
IF(B22=1,
        INDEX(Tabla13[Titular], MATCH($A22, Tabla1[N Doc], 0)),
IF(B22=2,
        INDEX(Tabla1[Cuenta contable], MATCH($A22, Tabla1[N Doc], 0)),
IF(B22=3,
        INDEX(Tabla13[Cta Iva 22], MATCH($A22, Tabla1[N Doc], 0)),
IF(B22=4,
        INDEX(Tabla1[Cuenta contable], MATCH($A22, Tabla1[N Doc], 0)),
IF(B22=5,
        INDEX(Tabla13[Cta Iva 10], MATCH($A22, Tabla1[N Doc], 0)),
IF(B22=6,
        INDEX(Tabla1[Cuenta contable], MATCH($A22, Tabla1[N Doc], 0)),
IF(B22=7,
        INDEX(Tabla1[Cuenta contable], MATCH($A22, Tabla1[N Doc], 0)),
IF(B22=8,
        IF(INDEX(Tabla1[Tipo IVA], MATCH($A22, Tabla1[N Doc], 0))="22%",
             INDEX(Tabla13[Cta Iva 22], MATCH($A22, Tabla1[N Doc], 0)),
             INDEX(Tabla13[Cta Iva 10], MATCH($A22, Tabla1[N Doc], 0))),
IF(B22=9,
        INDEX(Tabla1[Cuenta contable], MATCH($A22, Tabla1[N Doc], 0))
)))))))))))</f>
        <v/>
      </c>
      <c r="F22" t="str">
        <f>IF(OR($A22="",$A22=0),"",IF(B22=1,
        INDEX(Tabla1[Importe total], MATCH($A22, Tabla1[N Doc], 0)),
IF(B22=2,
        INDEX(Tabla1[Base imponible 22], MATCH($A22, Tabla1[N Doc], 0)),
IF(B22=3,
        INDEX(Tabla1[Iva 22], MATCH($A22, Tabla1[N Doc], 0)),
IF(B22=4,
        INDEX(Tabla1[Base imponible 10], MATCH($A22, Tabla1[N Doc], 0)),
IF(B22=5,
        INDEX(Tabla1[Iva 10], MATCH($A22, Tabla1[N Doc], 0)),
IF(B22=6,
        INDEX(Tabla1[Exento], MATCH($A22, Tabla1[N Doc], 0)),
IF(B22=7,
        INDEX(#REF!, MATCH($A22, Tabla1[N Doc], 0)),
IF(B22=8,
        INDEX(#REF!, MATCH($A22, Tabla1[N Doc], 0)),
IF(B22=9,
        INDEX(Tabla1[Descuentos], MATCH($A22, Tabla1[N Doc], 0)),
""))))))))))</f>
        <v/>
      </c>
      <c r="G22" t="str">
        <f>IF(OR($A22="",$A22=0),"",IF(OR(B22=2,B22=4,B22=6,B22=7),
    INDEX(Tabla13[Ind impuestos], MATCH($A22, Tabla13[N Doc], 0)),
""))</f>
        <v/>
      </c>
      <c r="J22" t="str">
        <f>IF(OR($A22="",$A22=0),"",IF(OR(B22=2,B22=4,B22=6,B22=7),
    INDEX(Tabla1[CECO], MATCH($A22, Tabla1[N Doc], 0)),
""))</f>
        <v/>
      </c>
      <c r="M22" t="str">
        <f>IF(C22=31,INDEX(Tabla1[Descripción], MATCH($A22, Tabla1[N Doc], 0)),"")</f>
        <v/>
      </c>
    </row>
    <row r="23" spans="1:13" x14ac:dyDescent="0.3">
      <c r="A23" t="str" cm="1">
        <f t="array" ref="A23">INDEX(Tabla1[N Doc], ROUNDUP((ROW()-1)/9, 0))</f>
        <v/>
      </c>
      <c r="B23" t="str">
        <f>IF(OR(A23="",A23=0),"",CHOOSE(
    COUNTIF($A$2:A23,A23),
    1,2,3,4,5,6,7,8,9
))</f>
        <v/>
      </c>
      <c r="C23" t="str">
        <f t="shared" si="0"/>
        <v/>
      </c>
      <c r="D23" s="7" t="str" cm="1">
        <f t="array" ref="D23">IF(OR($A23="",$A23=0),"",
IF(AND(INDEX(Formulario!$H$14:$H$100, $A23)="Si", C23&lt;&gt;31),
        VLOOKUP("cta puente",'Descripciones de gastos'!G:H, 2, FALSE),
IF(B23=1,
        INDEX(Tabla13[Titular], MATCH($A23, Tabla1[N Doc], 0)),
IF(B23=2,
        INDEX(Tabla1[Cuenta contable], MATCH($A23, Tabla1[N Doc], 0)),
IF(B23=3,
        INDEX(Tabla13[Cta Iva 22], MATCH($A23, Tabla1[N Doc], 0)),
IF(B23=4,
        INDEX(Tabla1[Cuenta contable], MATCH($A23, Tabla1[N Doc], 0)),
IF(B23=5,
        INDEX(Tabla13[Cta Iva 10], MATCH($A23, Tabla1[N Doc], 0)),
IF(B23=6,
        INDEX(Tabla1[Cuenta contable], MATCH($A23, Tabla1[N Doc], 0)),
IF(B23=7,
        INDEX(Tabla1[Cuenta contable], MATCH($A23, Tabla1[N Doc], 0)),
IF(B23=8,
        IF(INDEX(Tabla1[Tipo IVA], MATCH($A23, Tabla1[N Doc], 0))="22%",
             INDEX(Tabla13[Cta Iva 22], MATCH($A23, Tabla1[N Doc], 0)),
             INDEX(Tabla13[Cta Iva 10], MATCH($A23, Tabla1[N Doc], 0))),
IF(B23=9,
        INDEX(Tabla1[Cuenta contable], MATCH($A23, Tabla1[N Doc], 0))
)))))))))))</f>
        <v/>
      </c>
      <c r="F23" t="str">
        <f>IF(OR($A23="",$A23=0),"",IF(B23=1,
        INDEX(Tabla1[Importe total], MATCH($A23, Tabla1[N Doc], 0)),
IF(B23=2,
        INDEX(Tabla1[Base imponible 22], MATCH($A23, Tabla1[N Doc], 0)),
IF(B23=3,
        INDEX(Tabla1[Iva 22], MATCH($A23, Tabla1[N Doc], 0)),
IF(B23=4,
        INDEX(Tabla1[Base imponible 10], MATCH($A23, Tabla1[N Doc], 0)),
IF(B23=5,
        INDEX(Tabla1[Iva 10], MATCH($A23, Tabla1[N Doc], 0)),
IF(B23=6,
        INDEX(Tabla1[Exento], MATCH($A23, Tabla1[N Doc], 0)),
IF(B23=7,
        INDEX(#REF!, MATCH($A23, Tabla1[N Doc], 0)),
IF(B23=8,
        INDEX(#REF!, MATCH($A23, Tabla1[N Doc], 0)),
IF(B23=9,
        INDEX(Tabla1[Descuentos], MATCH($A23, Tabla1[N Doc], 0)),
""))))))))))</f>
        <v/>
      </c>
      <c r="G23" t="str">
        <f>IF(OR($A23="",$A23=0),"",IF(OR(B23=2,B23=4,B23=6,B23=7),
    INDEX(Tabla13[Ind impuestos], MATCH($A23, Tabla13[N Doc], 0)),
""))</f>
        <v/>
      </c>
      <c r="J23" t="str">
        <f>IF(OR($A23="",$A23=0),"",IF(OR(B23=2,B23=4,B23=6,B23=7),
    INDEX(Tabla1[CECO], MATCH($A23, Tabla1[N Doc], 0)),
""))</f>
        <v/>
      </c>
      <c r="M23" t="str">
        <f>IF(C23=31,INDEX(Tabla1[Descripción], MATCH($A23, Tabla1[N Doc], 0)),"")</f>
        <v/>
      </c>
    </row>
    <row r="24" spans="1:13" x14ac:dyDescent="0.3">
      <c r="A24" t="str" cm="1">
        <f t="array" ref="A24">INDEX(Tabla1[N Doc], ROUNDUP((ROW()-1)/9, 0))</f>
        <v/>
      </c>
      <c r="B24" t="str">
        <f>IF(OR(A24="",A24=0),"",CHOOSE(
    COUNTIF($A$2:A24,A24),
    1,2,3,4,5,6,7,8,9
))</f>
        <v/>
      </c>
      <c r="C24" t="str">
        <f t="shared" si="0"/>
        <v/>
      </c>
      <c r="D24" s="7" t="str" cm="1">
        <f t="array" ref="D24">IF(OR($A24="",$A24=0),"",
IF(AND(INDEX(Formulario!$H$14:$H$100, $A24)="Si", C24&lt;&gt;31),
        VLOOKUP("cta puente",'Descripciones de gastos'!G:H, 2, FALSE),
IF(B24=1,
        INDEX(Tabla13[Titular], MATCH($A24, Tabla1[N Doc], 0)),
IF(B24=2,
        INDEX(Tabla1[Cuenta contable], MATCH($A24, Tabla1[N Doc], 0)),
IF(B24=3,
        INDEX(Tabla13[Cta Iva 22], MATCH($A24, Tabla1[N Doc], 0)),
IF(B24=4,
        INDEX(Tabla1[Cuenta contable], MATCH($A24, Tabla1[N Doc], 0)),
IF(B24=5,
        INDEX(Tabla13[Cta Iva 10], MATCH($A24, Tabla1[N Doc], 0)),
IF(B24=6,
        INDEX(Tabla1[Cuenta contable], MATCH($A24, Tabla1[N Doc], 0)),
IF(B24=7,
        INDEX(Tabla1[Cuenta contable], MATCH($A24, Tabla1[N Doc], 0)),
IF(B24=8,
        IF(INDEX(Tabla1[Tipo IVA], MATCH($A24, Tabla1[N Doc], 0))="22%",
             INDEX(Tabla13[Cta Iva 22], MATCH($A24, Tabla1[N Doc], 0)),
             INDEX(Tabla13[Cta Iva 10], MATCH($A24, Tabla1[N Doc], 0))),
IF(B24=9,
        INDEX(Tabla1[Cuenta contable], MATCH($A24, Tabla1[N Doc], 0))
)))))))))))</f>
        <v/>
      </c>
      <c r="F24" t="str">
        <f>IF(OR($A24="",$A24=0),"",IF(B24=1,
        INDEX(Tabla1[Importe total], MATCH($A24, Tabla1[N Doc], 0)),
IF(B24=2,
        INDEX(Tabla1[Base imponible 22], MATCH($A24, Tabla1[N Doc], 0)),
IF(B24=3,
        INDEX(Tabla1[Iva 22], MATCH($A24, Tabla1[N Doc], 0)),
IF(B24=4,
        INDEX(Tabla1[Base imponible 10], MATCH($A24, Tabla1[N Doc], 0)),
IF(B24=5,
        INDEX(Tabla1[Iva 10], MATCH($A24, Tabla1[N Doc], 0)),
IF(B24=6,
        INDEX(Tabla1[Exento], MATCH($A24, Tabla1[N Doc], 0)),
IF(B24=7,
        INDEX(#REF!, MATCH($A24, Tabla1[N Doc], 0)),
IF(B24=8,
        INDEX(#REF!, MATCH($A24, Tabla1[N Doc], 0)),
IF(B24=9,
        INDEX(Tabla1[Descuentos], MATCH($A24, Tabla1[N Doc], 0)),
""))))))))))</f>
        <v/>
      </c>
      <c r="G24" t="str">
        <f>IF(OR($A24="",$A24=0),"",IF(OR(B24=2,B24=4,B24=6,B24=7),
    INDEX(Tabla13[Ind impuestos], MATCH($A24, Tabla13[N Doc], 0)),
""))</f>
        <v/>
      </c>
      <c r="J24" t="str">
        <f>IF(OR($A24="",$A24=0),"",IF(OR(B24=2,B24=4,B24=6,B24=7),
    INDEX(Tabla1[CECO], MATCH($A24, Tabla1[N Doc], 0)),
""))</f>
        <v/>
      </c>
      <c r="M24" t="str">
        <f>IF(C24=31,INDEX(Tabla1[Descripción], MATCH($A24, Tabla1[N Doc], 0)),"")</f>
        <v/>
      </c>
    </row>
    <row r="25" spans="1:13" x14ac:dyDescent="0.3">
      <c r="A25" t="str" cm="1">
        <f t="array" ref="A25">INDEX(Tabla1[N Doc], ROUNDUP((ROW()-1)/9, 0))</f>
        <v/>
      </c>
      <c r="B25" t="str">
        <f>IF(OR(A25="",A25=0),"",CHOOSE(
    COUNTIF($A$2:A25,A25),
    1,2,3,4,5,6,7,8,9
))</f>
        <v/>
      </c>
      <c r="C25" t="str">
        <f t="shared" si="0"/>
        <v/>
      </c>
      <c r="D25" s="7" t="str" cm="1">
        <f t="array" ref="D25">IF(OR($A25="",$A25=0),"",
IF(AND(INDEX(Formulario!$H$14:$H$100, $A25)="Si", C25&lt;&gt;31),
        VLOOKUP("cta puente",'Descripciones de gastos'!G:H, 2, FALSE),
IF(B25=1,
        INDEX(Tabla13[Titular], MATCH($A25, Tabla1[N Doc], 0)),
IF(B25=2,
        INDEX(Tabla1[Cuenta contable], MATCH($A25, Tabla1[N Doc], 0)),
IF(B25=3,
        INDEX(Tabla13[Cta Iva 22], MATCH($A25, Tabla1[N Doc], 0)),
IF(B25=4,
        INDEX(Tabla1[Cuenta contable], MATCH($A25, Tabla1[N Doc], 0)),
IF(B25=5,
        INDEX(Tabla13[Cta Iva 10], MATCH($A25, Tabla1[N Doc], 0)),
IF(B25=6,
        INDEX(Tabla1[Cuenta contable], MATCH($A25, Tabla1[N Doc], 0)),
IF(B25=7,
        INDEX(Tabla1[Cuenta contable], MATCH($A25, Tabla1[N Doc], 0)),
IF(B25=8,
        IF(INDEX(Tabla1[Tipo IVA], MATCH($A25, Tabla1[N Doc], 0))="22%",
             INDEX(Tabla13[Cta Iva 22], MATCH($A25, Tabla1[N Doc], 0)),
             INDEX(Tabla13[Cta Iva 10], MATCH($A25, Tabla1[N Doc], 0))),
IF(B25=9,
        INDEX(Tabla1[Cuenta contable], MATCH($A25, Tabla1[N Doc], 0))
)))))))))))</f>
        <v/>
      </c>
      <c r="F25" t="str">
        <f>IF(OR($A25="",$A25=0),"",IF(B25=1,
        INDEX(Tabla1[Importe total], MATCH($A25, Tabla1[N Doc], 0)),
IF(B25=2,
        INDEX(Tabla1[Base imponible 22], MATCH($A25, Tabla1[N Doc], 0)),
IF(B25=3,
        INDEX(Tabla1[Iva 22], MATCH($A25, Tabla1[N Doc], 0)),
IF(B25=4,
        INDEX(Tabla1[Base imponible 10], MATCH($A25, Tabla1[N Doc], 0)),
IF(B25=5,
        INDEX(Tabla1[Iva 10], MATCH($A25, Tabla1[N Doc], 0)),
IF(B25=6,
        INDEX(Tabla1[Exento], MATCH($A25, Tabla1[N Doc], 0)),
IF(B25=7,
        INDEX(#REF!, MATCH($A25, Tabla1[N Doc], 0)),
IF(B25=8,
        INDEX(#REF!, MATCH($A25, Tabla1[N Doc], 0)),
IF(B25=9,
        INDEX(Tabla1[Descuentos], MATCH($A25, Tabla1[N Doc], 0)),
""))))))))))</f>
        <v/>
      </c>
      <c r="G25" t="str">
        <f>IF(OR($A25="",$A25=0),"",IF(OR(B25=2,B25=4,B25=6,B25=7),
    INDEX(Tabla13[Ind impuestos], MATCH($A25, Tabla13[N Doc], 0)),
""))</f>
        <v/>
      </c>
      <c r="J25" t="str">
        <f>IF(OR($A25="",$A25=0),"",IF(OR(B25=2,B25=4,B25=6,B25=7),
    INDEX(Tabla1[CECO], MATCH($A25, Tabla1[N Doc], 0)),
""))</f>
        <v/>
      </c>
      <c r="M25" t="str">
        <f>IF(C25=31,INDEX(Tabla1[Descripción], MATCH($A25, Tabla1[N Doc], 0)),"")</f>
        <v/>
      </c>
    </row>
    <row r="26" spans="1:13" x14ac:dyDescent="0.3">
      <c r="A26" t="str" cm="1">
        <f t="array" ref="A26">INDEX(Tabla1[N Doc], ROUNDUP((ROW()-1)/9, 0))</f>
        <v/>
      </c>
      <c r="B26" t="str">
        <f>IF(OR(A26="",A26=0),"",CHOOSE(
    COUNTIF($A$2:A26,A26),
    1,2,3,4,5,6,7,8,9
))</f>
        <v/>
      </c>
      <c r="C26" t="str">
        <f t="shared" si="0"/>
        <v/>
      </c>
      <c r="D26" s="7" t="str" cm="1">
        <f t="array" ref="D26">IF(OR($A26="",$A26=0),"",
IF(AND(INDEX(Formulario!$H$14:$H$100, $A26)="Si", C26&lt;&gt;31),
        VLOOKUP("cta puente",'Descripciones de gastos'!G:H, 2, FALSE),
IF(B26=1,
        INDEX(Tabla13[Titular], MATCH($A26, Tabla1[N Doc], 0)),
IF(B26=2,
        INDEX(Tabla1[Cuenta contable], MATCH($A26, Tabla1[N Doc], 0)),
IF(B26=3,
        INDEX(Tabla13[Cta Iva 22], MATCH($A26, Tabla1[N Doc], 0)),
IF(B26=4,
        INDEX(Tabla1[Cuenta contable], MATCH($A26, Tabla1[N Doc], 0)),
IF(B26=5,
        INDEX(Tabla13[Cta Iva 10], MATCH($A26, Tabla1[N Doc], 0)),
IF(B26=6,
        INDEX(Tabla1[Cuenta contable], MATCH($A26, Tabla1[N Doc], 0)),
IF(B26=7,
        INDEX(Tabla1[Cuenta contable], MATCH($A26, Tabla1[N Doc], 0)),
IF(B26=8,
        IF(INDEX(Tabla1[Tipo IVA], MATCH($A26, Tabla1[N Doc], 0))="22%",
             INDEX(Tabla13[Cta Iva 22], MATCH($A26, Tabla1[N Doc], 0)),
             INDEX(Tabla13[Cta Iva 10], MATCH($A26, Tabla1[N Doc], 0))),
IF(B26=9,
        INDEX(Tabla1[Cuenta contable], MATCH($A26, Tabla1[N Doc], 0))
)))))))))))</f>
        <v/>
      </c>
      <c r="F26" t="str">
        <f>IF(OR($A26="",$A26=0),"",IF(B26=1,
        INDEX(Tabla1[Importe total], MATCH($A26, Tabla1[N Doc], 0)),
IF(B26=2,
        INDEX(Tabla1[Base imponible 22], MATCH($A26, Tabla1[N Doc], 0)),
IF(B26=3,
        INDEX(Tabla1[Iva 22], MATCH($A26, Tabla1[N Doc], 0)),
IF(B26=4,
        INDEX(Tabla1[Base imponible 10], MATCH($A26, Tabla1[N Doc], 0)),
IF(B26=5,
        INDEX(Tabla1[Iva 10], MATCH($A26, Tabla1[N Doc], 0)),
IF(B26=6,
        INDEX(Tabla1[Exento], MATCH($A26, Tabla1[N Doc], 0)),
IF(B26=7,
        INDEX(#REF!, MATCH($A26, Tabla1[N Doc], 0)),
IF(B26=8,
        INDEX(#REF!, MATCH($A26, Tabla1[N Doc], 0)),
IF(B26=9,
        INDEX(Tabla1[Descuentos], MATCH($A26, Tabla1[N Doc], 0)),
""))))))))))</f>
        <v/>
      </c>
      <c r="G26" t="str">
        <f>IF(OR($A26="",$A26=0),"",IF(OR(B26=2,B26=4,B26=6,B26=7),
    INDEX(Tabla13[Ind impuestos], MATCH($A26, Tabla13[N Doc], 0)),
""))</f>
        <v/>
      </c>
      <c r="J26" t="str">
        <f>IF(OR($A26="",$A26=0),"",IF(OR(B26=2,B26=4,B26=6,B26=7),
    INDEX(Tabla1[CECO], MATCH($A26, Tabla1[N Doc], 0)),
""))</f>
        <v/>
      </c>
      <c r="M26" t="str">
        <f>IF(C26=31,INDEX(Tabla1[Descripción], MATCH($A26, Tabla1[N Doc], 0)),"")</f>
        <v/>
      </c>
    </row>
    <row r="27" spans="1:13" x14ac:dyDescent="0.3">
      <c r="A27" t="str" cm="1">
        <f t="array" ref="A27">INDEX(Tabla1[N Doc], ROUNDUP((ROW()-1)/9, 0))</f>
        <v/>
      </c>
      <c r="B27" t="str">
        <f>IF(OR(A27="",A27=0),"",CHOOSE(
    COUNTIF($A$2:A27,A27),
    1,2,3,4,5,6,7,8,9
))</f>
        <v/>
      </c>
      <c r="C27" t="str">
        <f t="shared" si="0"/>
        <v/>
      </c>
      <c r="D27" s="7" t="str" cm="1">
        <f t="array" ref="D27">IF(OR($A27="",$A27=0),"",
IF(AND(INDEX(Formulario!$H$14:$H$100, $A27)="Si", C27&lt;&gt;31),
        VLOOKUP("cta puente",'Descripciones de gastos'!G:H, 2, FALSE),
IF(B27=1,
        INDEX(Tabla13[Titular], MATCH($A27, Tabla1[N Doc], 0)),
IF(B27=2,
        INDEX(Tabla1[Cuenta contable], MATCH($A27, Tabla1[N Doc], 0)),
IF(B27=3,
        INDEX(Tabla13[Cta Iva 22], MATCH($A27, Tabla1[N Doc], 0)),
IF(B27=4,
        INDEX(Tabla1[Cuenta contable], MATCH($A27, Tabla1[N Doc], 0)),
IF(B27=5,
        INDEX(Tabla13[Cta Iva 10], MATCH($A27, Tabla1[N Doc], 0)),
IF(B27=6,
        INDEX(Tabla1[Cuenta contable], MATCH($A27, Tabla1[N Doc], 0)),
IF(B27=7,
        INDEX(Tabla1[Cuenta contable], MATCH($A27, Tabla1[N Doc], 0)),
IF(B27=8,
        IF(INDEX(Tabla1[Tipo IVA], MATCH($A27, Tabla1[N Doc], 0))="22%",
             INDEX(Tabla13[Cta Iva 22], MATCH($A27, Tabla1[N Doc], 0)),
             INDEX(Tabla13[Cta Iva 10], MATCH($A27, Tabla1[N Doc], 0))),
IF(B27=9,
        INDEX(Tabla1[Cuenta contable], MATCH($A27, Tabla1[N Doc], 0))
)))))))))))</f>
        <v/>
      </c>
      <c r="F27" t="str">
        <f>IF(OR($A27="",$A27=0),"",IF(B27=1,
        INDEX(Tabla1[Importe total], MATCH($A27, Tabla1[N Doc], 0)),
IF(B27=2,
        INDEX(Tabla1[Base imponible 22], MATCH($A27, Tabla1[N Doc], 0)),
IF(B27=3,
        INDEX(Tabla1[Iva 22], MATCH($A27, Tabla1[N Doc], 0)),
IF(B27=4,
        INDEX(Tabla1[Base imponible 10], MATCH($A27, Tabla1[N Doc], 0)),
IF(B27=5,
        INDEX(Tabla1[Iva 10], MATCH($A27, Tabla1[N Doc], 0)),
IF(B27=6,
        INDEX(Tabla1[Exento], MATCH($A27, Tabla1[N Doc], 0)),
IF(B27=7,
        INDEX(#REF!, MATCH($A27, Tabla1[N Doc], 0)),
IF(B27=8,
        INDEX(#REF!, MATCH($A27, Tabla1[N Doc], 0)),
IF(B27=9,
        INDEX(Tabla1[Descuentos], MATCH($A27, Tabla1[N Doc], 0)),
""))))))))))</f>
        <v/>
      </c>
      <c r="G27" t="str">
        <f>IF(OR($A27="",$A27=0),"",IF(OR(B27=2,B27=4,B27=6,B27=7),
    INDEX(Tabla13[Ind impuestos], MATCH($A27, Tabla13[N Doc], 0)),
""))</f>
        <v/>
      </c>
      <c r="J27" t="str">
        <f>IF(OR($A27="",$A27=0),"",IF(OR(B27=2,B27=4,B27=6,B27=7),
    INDEX(Tabla1[CECO], MATCH($A27, Tabla1[N Doc], 0)),
""))</f>
        <v/>
      </c>
      <c r="M27" t="str">
        <f>IF(C27=31,INDEX(Tabla1[Descripción], MATCH($A27, Tabla1[N Doc], 0)),"")</f>
        <v/>
      </c>
    </row>
    <row r="28" spans="1:13" x14ac:dyDescent="0.3">
      <c r="A28" t="str" cm="1">
        <f t="array" ref="A28">INDEX(Tabla1[N Doc], ROUNDUP((ROW()-1)/9, 0))</f>
        <v/>
      </c>
      <c r="B28" t="str">
        <f>IF(OR(A28="",A28=0),"",CHOOSE(
    COUNTIF($A$2:A28,A28),
    1,2,3,4,5,6,7,8,9
))</f>
        <v/>
      </c>
      <c r="C28" t="str">
        <f t="shared" si="0"/>
        <v/>
      </c>
      <c r="D28" s="7" t="str" cm="1">
        <f t="array" ref="D28">IF(OR($A28="",$A28=0),"",
IF(AND(INDEX(Formulario!$H$14:$H$100, $A28)="Si", C28&lt;&gt;31),
        VLOOKUP("cta puente",'Descripciones de gastos'!G:H, 2, FALSE),
IF(B28=1,
        INDEX(Tabla13[Titular], MATCH($A28, Tabla1[N Doc], 0)),
IF(B28=2,
        INDEX(Tabla1[Cuenta contable], MATCH($A28, Tabla1[N Doc], 0)),
IF(B28=3,
        INDEX(Tabla13[Cta Iva 22], MATCH($A28, Tabla1[N Doc], 0)),
IF(B28=4,
        INDEX(Tabla1[Cuenta contable], MATCH($A28, Tabla1[N Doc], 0)),
IF(B28=5,
        INDEX(Tabla13[Cta Iva 10], MATCH($A28, Tabla1[N Doc], 0)),
IF(B28=6,
        INDEX(Tabla1[Cuenta contable], MATCH($A28, Tabla1[N Doc], 0)),
IF(B28=7,
        INDEX(Tabla1[Cuenta contable], MATCH($A28, Tabla1[N Doc], 0)),
IF(B28=8,
        IF(INDEX(Tabla1[Tipo IVA], MATCH($A28, Tabla1[N Doc], 0))="22%",
             INDEX(Tabla13[Cta Iva 22], MATCH($A28, Tabla1[N Doc], 0)),
             INDEX(Tabla13[Cta Iva 10], MATCH($A28, Tabla1[N Doc], 0))),
IF(B28=9,
        INDEX(Tabla1[Cuenta contable], MATCH($A28, Tabla1[N Doc], 0))
)))))))))))</f>
        <v/>
      </c>
      <c r="F28" t="str">
        <f>IF(OR($A28="",$A28=0),"",IF(B28=1,
        INDEX(Tabla1[Importe total], MATCH($A28, Tabla1[N Doc], 0)),
IF(B28=2,
        INDEX(Tabla1[Base imponible 22], MATCH($A28, Tabla1[N Doc], 0)),
IF(B28=3,
        INDEX(Tabla1[Iva 22], MATCH($A28, Tabla1[N Doc], 0)),
IF(B28=4,
        INDEX(Tabla1[Base imponible 10], MATCH($A28, Tabla1[N Doc], 0)),
IF(B28=5,
        INDEX(Tabla1[Iva 10], MATCH($A28, Tabla1[N Doc], 0)),
IF(B28=6,
        INDEX(Tabla1[Exento], MATCH($A28, Tabla1[N Doc], 0)),
IF(B28=7,
        INDEX(#REF!, MATCH($A28, Tabla1[N Doc], 0)),
IF(B28=8,
        INDEX(#REF!, MATCH($A28, Tabla1[N Doc], 0)),
IF(B28=9,
        INDEX(Tabla1[Descuentos], MATCH($A28, Tabla1[N Doc], 0)),
""))))))))))</f>
        <v/>
      </c>
      <c r="G28" t="str">
        <f>IF(OR($A28="",$A28=0),"",IF(OR(B28=2,B28=4,B28=6,B28=7),
    INDEX(Tabla13[Ind impuestos], MATCH($A28, Tabla13[N Doc], 0)),
""))</f>
        <v/>
      </c>
      <c r="J28" t="str">
        <f>IF(OR($A28="",$A28=0),"",IF(OR(B28=2,B28=4,B28=6,B28=7),
    INDEX(Tabla1[CECO], MATCH($A28, Tabla1[N Doc], 0)),
""))</f>
        <v/>
      </c>
      <c r="M28" t="str">
        <f>IF(C28=31,INDEX(Tabla1[Descripción], MATCH($A28, Tabla1[N Doc], 0)),"")</f>
        <v/>
      </c>
    </row>
    <row r="29" spans="1:13" x14ac:dyDescent="0.3">
      <c r="A29" t="str" cm="1">
        <f t="array" ref="A29">INDEX(Tabla1[N Doc], ROUNDUP((ROW()-1)/9, 0))</f>
        <v/>
      </c>
      <c r="B29" t="str">
        <f>IF(OR(A29="",A29=0),"",CHOOSE(
    COUNTIF($A$2:A29,A29),
    1,2,3,4,5,6,7,8,9
))</f>
        <v/>
      </c>
      <c r="C29" t="str">
        <f t="shared" si="0"/>
        <v/>
      </c>
      <c r="D29" s="7" t="str" cm="1">
        <f t="array" ref="D29">IF(OR($A29="",$A29=0),"",
IF(AND(INDEX(Formulario!$H$14:$H$100, $A29)="Si", C29&lt;&gt;31),
        VLOOKUP("cta puente",'Descripciones de gastos'!G:H, 2, FALSE),
IF(B29=1,
        INDEX(Tabla13[Titular], MATCH($A29, Tabla1[N Doc], 0)),
IF(B29=2,
        INDEX(Tabla1[Cuenta contable], MATCH($A29, Tabla1[N Doc], 0)),
IF(B29=3,
        INDEX(Tabla13[Cta Iva 22], MATCH($A29, Tabla1[N Doc], 0)),
IF(B29=4,
        INDEX(Tabla1[Cuenta contable], MATCH($A29, Tabla1[N Doc], 0)),
IF(B29=5,
        INDEX(Tabla13[Cta Iva 10], MATCH($A29, Tabla1[N Doc], 0)),
IF(B29=6,
        INDEX(Tabla1[Cuenta contable], MATCH($A29, Tabla1[N Doc], 0)),
IF(B29=7,
        INDEX(Tabla1[Cuenta contable], MATCH($A29, Tabla1[N Doc], 0)),
IF(B29=8,
        IF(INDEX(Tabla1[Tipo IVA], MATCH($A29, Tabla1[N Doc], 0))="22%",
             INDEX(Tabla13[Cta Iva 22], MATCH($A29, Tabla1[N Doc], 0)),
             INDEX(Tabla13[Cta Iva 10], MATCH($A29, Tabla1[N Doc], 0))),
IF(B29=9,
        INDEX(Tabla1[Cuenta contable], MATCH($A29, Tabla1[N Doc], 0))
)))))))))))</f>
        <v/>
      </c>
      <c r="F29" t="str">
        <f>IF(OR($A29="",$A29=0),"",IF(B29=1,
        INDEX(Tabla1[Importe total], MATCH($A29, Tabla1[N Doc], 0)),
IF(B29=2,
        INDEX(Tabla1[Base imponible 22], MATCH($A29, Tabla1[N Doc], 0)),
IF(B29=3,
        INDEX(Tabla1[Iva 22], MATCH($A29, Tabla1[N Doc], 0)),
IF(B29=4,
        INDEX(Tabla1[Base imponible 10], MATCH($A29, Tabla1[N Doc], 0)),
IF(B29=5,
        INDEX(Tabla1[Iva 10], MATCH($A29, Tabla1[N Doc], 0)),
IF(B29=6,
        INDEX(Tabla1[Exento], MATCH($A29, Tabla1[N Doc], 0)),
IF(B29=7,
        INDEX(#REF!, MATCH($A29, Tabla1[N Doc], 0)),
IF(B29=8,
        INDEX(#REF!, MATCH($A29, Tabla1[N Doc], 0)),
IF(B29=9,
        INDEX(Tabla1[Descuentos], MATCH($A29, Tabla1[N Doc], 0)),
""))))))))))</f>
        <v/>
      </c>
      <c r="G29" t="str">
        <f>IF(OR($A29="",$A29=0),"",IF(OR(B29=2,B29=4,B29=6,B29=7),
    INDEX(Tabla13[Ind impuestos], MATCH($A29, Tabla13[N Doc], 0)),
""))</f>
        <v/>
      </c>
      <c r="J29" t="str">
        <f>IF(OR($A29="",$A29=0),"",IF(OR(B29=2,B29=4,B29=6,B29=7),
    INDEX(Tabla1[CECO], MATCH($A29, Tabla1[N Doc], 0)),
""))</f>
        <v/>
      </c>
      <c r="M29" t="str">
        <f>IF(C29=31,INDEX(Tabla1[Descripción], MATCH($A29, Tabla1[N Doc], 0)),"")</f>
        <v/>
      </c>
    </row>
    <row r="30" spans="1:13" x14ac:dyDescent="0.3">
      <c r="A30" t="str" cm="1">
        <f t="array" ref="A30">INDEX(Tabla1[N Doc], ROUNDUP((ROW()-1)/9, 0))</f>
        <v/>
      </c>
      <c r="B30" t="str">
        <f>IF(OR(A30="",A30=0),"",CHOOSE(
    COUNTIF($A$2:A30,A30),
    1,2,3,4,5,6,7,8,9
))</f>
        <v/>
      </c>
      <c r="C30" t="str">
        <f t="shared" si="0"/>
        <v/>
      </c>
      <c r="D30" s="7" t="str" cm="1">
        <f t="array" ref="D30">IF(OR($A30="",$A30=0),"",
IF(AND(INDEX(Formulario!$H$14:$H$100, $A30)="Si", C30&lt;&gt;31),
        VLOOKUP("cta puente",'Descripciones de gastos'!G:H, 2, FALSE),
IF(B30=1,
        INDEX(Tabla13[Titular], MATCH($A30, Tabla1[N Doc], 0)),
IF(B30=2,
        INDEX(Tabla1[Cuenta contable], MATCH($A30, Tabla1[N Doc], 0)),
IF(B30=3,
        INDEX(Tabla13[Cta Iva 22], MATCH($A30, Tabla1[N Doc], 0)),
IF(B30=4,
        INDEX(Tabla1[Cuenta contable], MATCH($A30, Tabla1[N Doc], 0)),
IF(B30=5,
        INDEX(Tabla13[Cta Iva 10], MATCH($A30, Tabla1[N Doc], 0)),
IF(B30=6,
        INDEX(Tabla1[Cuenta contable], MATCH($A30, Tabla1[N Doc], 0)),
IF(B30=7,
        INDEX(Tabla1[Cuenta contable], MATCH($A30, Tabla1[N Doc], 0)),
IF(B30=8,
        IF(INDEX(Tabla1[Tipo IVA], MATCH($A30, Tabla1[N Doc], 0))="22%",
             INDEX(Tabla13[Cta Iva 22], MATCH($A30, Tabla1[N Doc], 0)),
             INDEX(Tabla13[Cta Iva 10], MATCH($A30, Tabla1[N Doc], 0))),
IF(B30=9,
        INDEX(Tabla1[Cuenta contable], MATCH($A30, Tabla1[N Doc], 0))
)))))))))))</f>
        <v/>
      </c>
      <c r="F30" t="str">
        <f>IF(OR($A30="",$A30=0),"",IF(B30=1,
        INDEX(Tabla1[Importe total], MATCH($A30, Tabla1[N Doc], 0)),
IF(B30=2,
        INDEX(Tabla1[Base imponible 22], MATCH($A30, Tabla1[N Doc], 0)),
IF(B30=3,
        INDEX(Tabla1[Iva 22], MATCH($A30, Tabla1[N Doc], 0)),
IF(B30=4,
        INDEX(Tabla1[Base imponible 10], MATCH($A30, Tabla1[N Doc], 0)),
IF(B30=5,
        INDEX(Tabla1[Iva 10], MATCH($A30, Tabla1[N Doc], 0)),
IF(B30=6,
        INDEX(Tabla1[Exento], MATCH($A30, Tabla1[N Doc], 0)),
IF(B30=7,
        INDEX(#REF!, MATCH($A30, Tabla1[N Doc], 0)),
IF(B30=8,
        INDEX(#REF!, MATCH($A30, Tabla1[N Doc], 0)),
IF(B30=9,
        INDEX(Tabla1[Descuentos], MATCH($A30, Tabla1[N Doc], 0)),
""))))))))))</f>
        <v/>
      </c>
      <c r="G30" t="str">
        <f>IF(OR($A30="",$A30=0),"",IF(OR(B30=2,B30=4,B30=6,B30=7),
    INDEX(Tabla13[Ind impuestos], MATCH($A30, Tabla13[N Doc], 0)),
""))</f>
        <v/>
      </c>
      <c r="J30" t="str">
        <f>IF(OR($A30="",$A30=0),"",IF(OR(B30=2,B30=4,B30=6,B30=7),
    INDEX(Tabla1[CECO], MATCH($A30, Tabla1[N Doc], 0)),
""))</f>
        <v/>
      </c>
      <c r="M30" t="str">
        <f>IF(C30=31,INDEX(Tabla1[Descripción], MATCH($A30, Tabla1[N Doc], 0)),"")</f>
        <v/>
      </c>
    </row>
    <row r="31" spans="1:13" x14ac:dyDescent="0.3">
      <c r="A31" t="str" cm="1">
        <f t="array" ref="A31">INDEX(Tabla1[N Doc], ROUNDUP((ROW()-1)/9, 0))</f>
        <v/>
      </c>
      <c r="B31" t="str">
        <f>IF(OR(A31="",A31=0),"",CHOOSE(
    COUNTIF($A$2:A31,A31),
    1,2,3,4,5,6,7,8,9
))</f>
        <v/>
      </c>
      <c r="C31" t="str">
        <f t="shared" si="0"/>
        <v/>
      </c>
      <c r="D31" s="7" t="str" cm="1">
        <f t="array" ref="D31">IF(OR($A31="",$A31=0),"",
IF(AND(INDEX(Formulario!$H$14:$H$100, $A31)="Si", C31&lt;&gt;31),
        VLOOKUP("cta puente",'Descripciones de gastos'!G:H, 2, FALSE),
IF(B31=1,
        INDEX(Tabla13[Titular], MATCH($A31, Tabla1[N Doc], 0)),
IF(B31=2,
        INDEX(Tabla1[Cuenta contable], MATCH($A31, Tabla1[N Doc], 0)),
IF(B31=3,
        INDEX(Tabla13[Cta Iva 22], MATCH($A31, Tabla1[N Doc], 0)),
IF(B31=4,
        INDEX(Tabla1[Cuenta contable], MATCH($A31, Tabla1[N Doc], 0)),
IF(B31=5,
        INDEX(Tabla13[Cta Iva 10], MATCH($A31, Tabla1[N Doc], 0)),
IF(B31=6,
        INDEX(Tabla1[Cuenta contable], MATCH($A31, Tabla1[N Doc], 0)),
IF(B31=7,
        INDEX(Tabla1[Cuenta contable], MATCH($A31, Tabla1[N Doc], 0)),
IF(B31=8,
        IF(INDEX(Tabla1[Tipo IVA], MATCH($A31, Tabla1[N Doc], 0))="22%",
             INDEX(Tabla13[Cta Iva 22], MATCH($A31, Tabla1[N Doc], 0)),
             INDEX(Tabla13[Cta Iva 10], MATCH($A31, Tabla1[N Doc], 0))),
IF(B31=9,
        INDEX(Tabla1[Cuenta contable], MATCH($A31, Tabla1[N Doc], 0))
)))))))))))</f>
        <v/>
      </c>
      <c r="F31" t="str">
        <f>IF(OR($A31="",$A31=0),"",IF(B31=1,
        INDEX(Tabla1[Importe total], MATCH($A31, Tabla1[N Doc], 0)),
IF(B31=2,
        INDEX(Tabla1[Base imponible 22], MATCH($A31, Tabla1[N Doc], 0)),
IF(B31=3,
        INDEX(Tabla1[Iva 22], MATCH($A31, Tabla1[N Doc], 0)),
IF(B31=4,
        INDEX(Tabla1[Base imponible 10], MATCH($A31, Tabla1[N Doc], 0)),
IF(B31=5,
        INDEX(Tabla1[Iva 10], MATCH($A31, Tabla1[N Doc], 0)),
IF(B31=6,
        INDEX(Tabla1[Exento], MATCH($A31, Tabla1[N Doc], 0)),
IF(B31=7,
        INDEX(#REF!, MATCH($A31, Tabla1[N Doc], 0)),
IF(B31=8,
        INDEX(#REF!, MATCH($A31, Tabla1[N Doc], 0)),
IF(B31=9,
        INDEX(Tabla1[Descuentos], MATCH($A31, Tabla1[N Doc], 0)),
""))))))))))</f>
        <v/>
      </c>
      <c r="G31" t="str">
        <f>IF(OR($A31="",$A31=0),"",IF(OR(B31=2,B31=4,B31=6,B31=7),
    INDEX(Tabla13[Ind impuestos], MATCH($A31, Tabla13[N Doc], 0)),
""))</f>
        <v/>
      </c>
      <c r="J31" t="str">
        <f>IF(OR($A31="",$A31=0),"",IF(OR(B31=2,B31=4,B31=6,B31=7),
    INDEX(Tabla1[CECO], MATCH($A31, Tabla1[N Doc], 0)),
""))</f>
        <v/>
      </c>
      <c r="M31" t="str">
        <f>IF(C31=31,INDEX(Tabla1[Descripción], MATCH($A31, Tabla1[N Doc], 0)),"")</f>
        <v/>
      </c>
    </row>
    <row r="32" spans="1:13" x14ac:dyDescent="0.3">
      <c r="A32" t="str" cm="1">
        <f t="array" ref="A32">INDEX(Tabla1[N Doc], ROUNDUP((ROW()-1)/9, 0))</f>
        <v/>
      </c>
      <c r="B32" t="str">
        <f>IF(OR(A32="",A32=0),"",CHOOSE(
    COUNTIF($A$2:A32,A32),
    1,2,3,4,5,6,7,8,9
))</f>
        <v/>
      </c>
      <c r="C32" t="str">
        <f t="shared" si="0"/>
        <v/>
      </c>
      <c r="D32" s="7" t="str" cm="1">
        <f t="array" ref="D32">IF(OR($A32="",$A32=0),"",
IF(AND(INDEX(Formulario!$H$14:$H$100, $A32)="Si", C32&lt;&gt;31),
        VLOOKUP("cta puente",'Descripciones de gastos'!G:H, 2, FALSE),
IF(B32=1,
        INDEX(Tabla13[Titular], MATCH($A32, Tabla1[N Doc], 0)),
IF(B32=2,
        INDEX(Tabla1[Cuenta contable], MATCH($A32, Tabla1[N Doc], 0)),
IF(B32=3,
        INDEX(Tabla13[Cta Iva 22], MATCH($A32, Tabla1[N Doc], 0)),
IF(B32=4,
        INDEX(Tabla1[Cuenta contable], MATCH($A32, Tabla1[N Doc], 0)),
IF(B32=5,
        INDEX(Tabla13[Cta Iva 10], MATCH($A32, Tabla1[N Doc], 0)),
IF(B32=6,
        INDEX(Tabla1[Cuenta contable], MATCH($A32, Tabla1[N Doc], 0)),
IF(B32=7,
        INDEX(Tabla1[Cuenta contable], MATCH($A32, Tabla1[N Doc], 0)),
IF(B32=8,
        IF(INDEX(Tabla1[Tipo IVA], MATCH($A32, Tabla1[N Doc], 0))="22%",
             INDEX(Tabla13[Cta Iva 22], MATCH($A32, Tabla1[N Doc], 0)),
             INDEX(Tabla13[Cta Iva 10], MATCH($A32, Tabla1[N Doc], 0))),
IF(B32=9,
        INDEX(Tabla1[Cuenta contable], MATCH($A32, Tabla1[N Doc], 0))
)))))))))))</f>
        <v/>
      </c>
      <c r="F32" t="str">
        <f>IF(OR($A32="",$A32=0),"",IF(B32=1,
        INDEX(Tabla1[Importe total], MATCH($A32, Tabla1[N Doc], 0)),
IF(B32=2,
        INDEX(Tabla1[Base imponible 22], MATCH($A32, Tabla1[N Doc], 0)),
IF(B32=3,
        INDEX(Tabla1[Iva 22], MATCH($A32, Tabla1[N Doc], 0)),
IF(B32=4,
        INDEX(Tabla1[Base imponible 10], MATCH($A32, Tabla1[N Doc], 0)),
IF(B32=5,
        INDEX(Tabla1[Iva 10], MATCH($A32, Tabla1[N Doc], 0)),
IF(B32=6,
        INDEX(Tabla1[Exento], MATCH($A32, Tabla1[N Doc], 0)),
IF(B32=7,
        INDEX(#REF!, MATCH($A32, Tabla1[N Doc], 0)),
IF(B32=8,
        INDEX(#REF!, MATCH($A32, Tabla1[N Doc], 0)),
IF(B32=9,
        INDEX(Tabla1[Descuentos], MATCH($A32, Tabla1[N Doc], 0)),
""))))))))))</f>
        <v/>
      </c>
      <c r="G32" t="str">
        <f>IF(OR($A32="",$A32=0),"",IF(OR(B32=2,B32=4,B32=6,B32=7),
    INDEX(Tabla13[Ind impuestos], MATCH($A32, Tabla13[N Doc], 0)),
""))</f>
        <v/>
      </c>
      <c r="J32" t="str">
        <f>IF(OR($A32="",$A32=0),"",IF(OR(B32=2,B32=4,B32=6,B32=7),
    INDEX(Tabla1[CECO], MATCH($A32, Tabla1[N Doc], 0)),
""))</f>
        <v/>
      </c>
      <c r="M32" t="str">
        <f>IF(C32=31,INDEX(Tabla1[Descripción], MATCH($A32, Tabla1[N Doc], 0)),"")</f>
        <v/>
      </c>
    </row>
    <row r="33" spans="1:22" x14ac:dyDescent="0.3">
      <c r="A33" t="str" cm="1">
        <f t="array" ref="A33">INDEX(Tabla1[N Doc], ROUNDUP((ROW()-1)/9, 0))</f>
        <v/>
      </c>
      <c r="B33" t="str">
        <f>IF(OR(A33="",A33=0),"",CHOOSE(
    COUNTIF($A$2:A33,A33),
    1,2,3,4,5,6,7,8,9
))</f>
        <v/>
      </c>
      <c r="C33" t="str">
        <f t="shared" si="0"/>
        <v/>
      </c>
      <c r="D33" s="7" t="str" cm="1">
        <f t="array" ref="D33">IF(OR($A33="",$A33=0),"",
IF(AND(INDEX(Formulario!$H$14:$H$100, $A33)="Si", C33&lt;&gt;31),
        VLOOKUP("cta puente",'Descripciones de gastos'!G:H, 2, FALSE),
IF(B33=1,
        INDEX(Tabla13[Titular], MATCH($A33, Tabla1[N Doc], 0)),
IF(B33=2,
        INDEX(Tabla1[Cuenta contable], MATCH($A33, Tabla1[N Doc], 0)),
IF(B33=3,
        INDEX(Tabla13[Cta Iva 22], MATCH($A33, Tabla1[N Doc], 0)),
IF(B33=4,
        INDEX(Tabla1[Cuenta contable], MATCH($A33, Tabla1[N Doc], 0)),
IF(B33=5,
        INDEX(Tabla13[Cta Iva 10], MATCH($A33, Tabla1[N Doc], 0)),
IF(B33=6,
        INDEX(Tabla1[Cuenta contable], MATCH($A33, Tabla1[N Doc], 0)),
IF(B33=7,
        INDEX(Tabla1[Cuenta contable], MATCH($A33, Tabla1[N Doc], 0)),
IF(B33=8,
        IF(INDEX(Tabla1[Tipo IVA], MATCH($A33, Tabla1[N Doc], 0))="22%",
             INDEX(Tabla13[Cta Iva 22], MATCH($A33, Tabla1[N Doc], 0)),
             INDEX(Tabla13[Cta Iva 10], MATCH($A33, Tabla1[N Doc], 0))),
IF(B33=9,
        INDEX(Tabla1[Cuenta contable], MATCH($A33, Tabla1[N Doc], 0))
)))))))))))</f>
        <v/>
      </c>
      <c r="F33" t="str">
        <f>IF(OR($A33="",$A33=0),"",IF(B33=1,
        INDEX(Tabla1[Importe total], MATCH($A33, Tabla1[N Doc], 0)),
IF(B33=2,
        INDEX(Tabla1[Base imponible 22], MATCH($A33, Tabla1[N Doc], 0)),
IF(B33=3,
        INDEX(Tabla1[Iva 22], MATCH($A33, Tabla1[N Doc], 0)),
IF(B33=4,
        INDEX(Tabla1[Base imponible 10], MATCH($A33, Tabla1[N Doc], 0)),
IF(B33=5,
        INDEX(Tabla1[Iva 10], MATCH($A33, Tabla1[N Doc], 0)),
IF(B33=6,
        INDEX(Tabla1[Exento], MATCH($A33, Tabla1[N Doc], 0)),
IF(B33=7,
        INDEX(#REF!, MATCH($A33, Tabla1[N Doc], 0)),
IF(B33=8,
        INDEX(#REF!, MATCH($A33, Tabla1[N Doc], 0)),
IF(B33=9,
        INDEX(Tabla1[Descuentos], MATCH($A33, Tabla1[N Doc], 0)),
""))))))))))</f>
        <v/>
      </c>
      <c r="G33" t="str">
        <f>IF(OR($A33="",$A33=0),"",IF(OR(B33=2,B33=4,B33=6,B33=7),
    INDEX(Tabla13[Ind impuestos], MATCH($A33, Tabla13[N Doc], 0)),
""))</f>
        <v/>
      </c>
      <c r="J33" t="str">
        <f>IF(OR($A33="",$A33=0),"",IF(OR(B33=2,B33=4,B33=6,B33=7),
    INDEX(Tabla1[CECO], MATCH($A33, Tabla1[N Doc], 0)),
""))</f>
        <v/>
      </c>
      <c r="M33" t="str">
        <f>IF(C33=31,INDEX(Tabla1[Descripción], MATCH($A33, Tabla1[N Doc], 0)),"")</f>
        <v/>
      </c>
    </row>
    <row r="34" spans="1:22" x14ac:dyDescent="0.3">
      <c r="A34" t="str" cm="1">
        <f t="array" ref="A34">INDEX(Tabla1[N Doc], ROUNDUP((ROW()-1)/9, 0))</f>
        <v/>
      </c>
      <c r="B34" t="str">
        <f>IF(OR(A34="",A34=0),"",CHOOSE(
    COUNTIF($A$2:A34,A34),
    1,2,3,4,5,6,7,8,9
))</f>
        <v/>
      </c>
      <c r="C34" t="str">
        <f t="shared" si="0"/>
        <v/>
      </c>
      <c r="D34" s="7" t="str" cm="1">
        <f t="array" ref="D34">IF(OR($A34="",$A34=0),"",
IF(AND(INDEX(Formulario!$H$14:$H$100, $A34)="Si", C34&lt;&gt;31),
        VLOOKUP("cta puente",'Descripciones de gastos'!G:H, 2, FALSE),
IF(B34=1,
        INDEX(Tabla13[Titular], MATCH($A34, Tabla1[N Doc], 0)),
IF(B34=2,
        INDEX(Tabla1[Cuenta contable], MATCH($A34, Tabla1[N Doc], 0)),
IF(B34=3,
        INDEX(Tabla13[Cta Iva 22], MATCH($A34, Tabla1[N Doc], 0)),
IF(B34=4,
        INDEX(Tabla1[Cuenta contable], MATCH($A34, Tabla1[N Doc], 0)),
IF(B34=5,
        INDEX(Tabla13[Cta Iva 10], MATCH($A34, Tabla1[N Doc], 0)),
IF(B34=6,
        INDEX(Tabla1[Cuenta contable], MATCH($A34, Tabla1[N Doc], 0)),
IF(B34=7,
        INDEX(Tabla1[Cuenta contable], MATCH($A34, Tabla1[N Doc], 0)),
IF(B34=8,
        IF(INDEX(Tabla1[Tipo IVA], MATCH($A34, Tabla1[N Doc], 0))="22%",
             INDEX(Tabla13[Cta Iva 22], MATCH($A34, Tabla1[N Doc], 0)),
             INDEX(Tabla13[Cta Iva 10], MATCH($A34, Tabla1[N Doc], 0))),
IF(B34=9,
        INDEX(Tabla1[Cuenta contable], MATCH($A34, Tabla1[N Doc], 0))
)))))))))))</f>
        <v/>
      </c>
      <c r="F34" t="str">
        <f>IF(OR($A34="",$A34=0),"",IF(B34=1,
        INDEX(Tabla1[Importe total], MATCH($A34, Tabla1[N Doc], 0)),
IF(B34=2,
        INDEX(Tabla1[Base imponible 22], MATCH($A34, Tabla1[N Doc], 0)),
IF(B34=3,
        INDEX(Tabla1[Iva 22], MATCH($A34, Tabla1[N Doc], 0)),
IF(B34=4,
        INDEX(Tabla1[Base imponible 10], MATCH($A34, Tabla1[N Doc], 0)),
IF(B34=5,
        INDEX(Tabla1[Iva 10], MATCH($A34, Tabla1[N Doc], 0)),
IF(B34=6,
        INDEX(Tabla1[Exento], MATCH($A34, Tabla1[N Doc], 0)),
IF(B34=7,
        INDEX(#REF!, MATCH($A34, Tabla1[N Doc], 0)),
IF(B34=8,
        INDEX(#REF!, MATCH($A34, Tabla1[N Doc], 0)),
IF(B34=9,
        INDEX(Tabla1[Descuentos], MATCH($A34, Tabla1[N Doc], 0)),
""))))))))))</f>
        <v/>
      </c>
      <c r="G34" t="str">
        <f>IF(OR($A34="",$A34=0),"",IF(OR(B34=2,B34=4,B34=6,B34=7),
    INDEX(Tabla13[Ind impuestos], MATCH($A34, Tabla13[N Doc], 0)),
""))</f>
        <v/>
      </c>
      <c r="J34" t="str">
        <f>IF(OR($A34="",$A34=0),"",IF(OR(B34=2,B34=4,B34=6,B34=7),
    INDEX(Tabla1[CECO], MATCH($A34, Tabla1[N Doc], 0)),
""))</f>
        <v/>
      </c>
      <c r="M34" t="str">
        <f>IF(C34=31,INDEX(Tabla1[Descripción], MATCH($A34, Tabla1[N Doc], 0)),"")</f>
        <v/>
      </c>
      <c r="V34" s="54"/>
    </row>
    <row r="35" spans="1:22" x14ac:dyDescent="0.3">
      <c r="A35" t="str" cm="1">
        <f t="array" ref="A35">INDEX(Tabla1[N Doc], ROUNDUP((ROW()-1)/9, 0))</f>
        <v/>
      </c>
      <c r="B35" t="str">
        <f>IF(OR(A35="",A35=0),"",CHOOSE(
    COUNTIF($A$2:A35,A35),
    1,2,3,4,5,6,7,8,9
))</f>
        <v/>
      </c>
      <c r="C35" t="str">
        <f t="shared" si="0"/>
        <v/>
      </c>
      <c r="D35" s="7" t="str" cm="1">
        <f t="array" ref="D35">IF(OR($A35="",$A35=0),"",
IF(AND(INDEX(Formulario!$H$14:$H$100, $A35)="Si", C35&lt;&gt;31),
        VLOOKUP("cta puente",'Descripciones de gastos'!G:H, 2, FALSE),
IF(B35=1,
        INDEX(Tabla13[Titular], MATCH($A35, Tabla1[N Doc], 0)),
IF(B35=2,
        INDEX(Tabla1[Cuenta contable], MATCH($A35, Tabla1[N Doc], 0)),
IF(B35=3,
        INDEX(Tabla13[Cta Iva 22], MATCH($A35, Tabla1[N Doc], 0)),
IF(B35=4,
        INDEX(Tabla1[Cuenta contable], MATCH($A35, Tabla1[N Doc], 0)),
IF(B35=5,
        INDEX(Tabla13[Cta Iva 10], MATCH($A35, Tabla1[N Doc], 0)),
IF(B35=6,
        INDEX(Tabla1[Cuenta contable], MATCH($A35, Tabla1[N Doc], 0)),
IF(B35=7,
        INDEX(Tabla1[Cuenta contable], MATCH($A35, Tabla1[N Doc], 0)),
IF(B35=8,
        IF(INDEX(Tabla1[Tipo IVA], MATCH($A35, Tabla1[N Doc], 0))="22%",
             INDEX(Tabla13[Cta Iva 22], MATCH($A35, Tabla1[N Doc], 0)),
             INDEX(Tabla13[Cta Iva 10], MATCH($A35, Tabla1[N Doc], 0))),
IF(B35=9,
        INDEX(Tabla1[Cuenta contable], MATCH($A35, Tabla1[N Doc], 0))
)))))))))))</f>
        <v/>
      </c>
      <c r="F35" t="str">
        <f>IF(OR($A35="",$A35=0),"",IF(B35=1,
        INDEX(Tabla1[Importe total], MATCH($A35, Tabla1[N Doc], 0)),
IF(B35=2,
        INDEX(Tabla1[Base imponible 22], MATCH($A35, Tabla1[N Doc], 0)),
IF(B35=3,
        INDEX(Tabla1[Iva 22], MATCH($A35, Tabla1[N Doc], 0)),
IF(B35=4,
        INDEX(Tabla1[Base imponible 10], MATCH($A35, Tabla1[N Doc], 0)),
IF(B35=5,
        INDEX(Tabla1[Iva 10], MATCH($A35, Tabla1[N Doc], 0)),
IF(B35=6,
        INDEX(Tabla1[Exento], MATCH($A35, Tabla1[N Doc], 0)),
IF(B35=7,
        INDEX(#REF!, MATCH($A35, Tabla1[N Doc], 0)),
IF(B35=8,
        INDEX(#REF!, MATCH($A35, Tabla1[N Doc], 0)),
IF(B35=9,
        INDEX(Tabla1[Descuentos], MATCH($A35, Tabla1[N Doc], 0)),
""))))))))))</f>
        <v/>
      </c>
      <c r="G35" t="str">
        <f>IF(OR($A35="",$A35=0),"",IF(OR(B35=2,B35=4,B35=6,B35=7),
    INDEX(Tabla13[Ind impuestos], MATCH($A35, Tabla13[N Doc], 0)),
""))</f>
        <v/>
      </c>
      <c r="J35" t="str">
        <f>IF(OR($A35="",$A35=0),"",IF(OR(B35=2,B35=4,B35=6,B35=7),
    INDEX(Tabla1[CECO], MATCH($A35, Tabla1[N Doc], 0)),
""))</f>
        <v/>
      </c>
      <c r="M35" t="str">
        <f>IF(C35=31,INDEX(Tabla1[Descripción], MATCH($A35, Tabla1[N Doc], 0)),"")</f>
        <v/>
      </c>
    </row>
    <row r="36" spans="1:22" x14ac:dyDescent="0.3">
      <c r="A36" t="str" cm="1">
        <f t="array" ref="A36">INDEX(Tabla1[N Doc], ROUNDUP((ROW()-1)/9, 0))</f>
        <v/>
      </c>
      <c r="B36" t="str">
        <f>IF(OR(A36="",A36=0),"",CHOOSE(
    COUNTIF($A$2:A36,A36),
    1,2,3,4,5,6,7,8,9
))</f>
        <v/>
      </c>
      <c r="C36" t="str">
        <f t="shared" si="0"/>
        <v/>
      </c>
      <c r="D36" s="7" t="str" cm="1">
        <f t="array" ref="D36">IF(OR($A36="",$A36=0),"",
IF(AND(INDEX(Formulario!$H$14:$H$100, $A36)="Si", C36&lt;&gt;31),
        VLOOKUP("cta puente",'Descripciones de gastos'!G:H, 2, FALSE),
IF(B36=1,
        INDEX(Tabla13[Titular], MATCH($A36, Tabla1[N Doc], 0)),
IF(B36=2,
        INDEX(Tabla1[Cuenta contable], MATCH($A36, Tabla1[N Doc], 0)),
IF(B36=3,
        INDEX(Tabla13[Cta Iva 22], MATCH($A36, Tabla1[N Doc], 0)),
IF(B36=4,
        INDEX(Tabla1[Cuenta contable], MATCH($A36, Tabla1[N Doc], 0)),
IF(B36=5,
        INDEX(Tabla13[Cta Iva 10], MATCH($A36, Tabla1[N Doc], 0)),
IF(B36=6,
        INDEX(Tabla1[Cuenta contable], MATCH($A36, Tabla1[N Doc], 0)),
IF(B36=7,
        INDEX(Tabla1[Cuenta contable], MATCH($A36, Tabla1[N Doc], 0)),
IF(B36=8,
        IF(INDEX(Tabla1[Tipo IVA], MATCH($A36, Tabla1[N Doc], 0))="22%",
             INDEX(Tabla13[Cta Iva 22], MATCH($A36, Tabla1[N Doc], 0)),
             INDEX(Tabla13[Cta Iva 10], MATCH($A36, Tabla1[N Doc], 0))),
IF(B36=9,
        INDEX(Tabla1[Cuenta contable], MATCH($A36, Tabla1[N Doc], 0))
)))))))))))</f>
        <v/>
      </c>
      <c r="F36" t="str">
        <f>IF(OR($A36="",$A36=0),"",IF(B36=1,
        INDEX(Tabla1[Importe total], MATCH($A36, Tabla1[N Doc], 0)),
IF(B36=2,
        INDEX(Tabla1[Base imponible 22], MATCH($A36, Tabla1[N Doc], 0)),
IF(B36=3,
        INDEX(Tabla1[Iva 22], MATCH($A36, Tabla1[N Doc], 0)),
IF(B36=4,
        INDEX(Tabla1[Base imponible 10], MATCH($A36, Tabla1[N Doc], 0)),
IF(B36=5,
        INDEX(Tabla1[Iva 10], MATCH($A36, Tabla1[N Doc], 0)),
IF(B36=6,
        INDEX(Tabla1[Exento], MATCH($A36, Tabla1[N Doc], 0)),
IF(B36=7,
        INDEX(#REF!, MATCH($A36, Tabla1[N Doc], 0)),
IF(B36=8,
        INDEX(#REF!, MATCH($A36, Tabla1[N Doc], 0)),
IF(B36=9,
        INDEX(Tabla1[Descuentos], MATCH($A36, Tabla1[N Doc], 0)),
""))))))))))</f>
        <v/>
      </c>
      <c r="G36" t="str">
        <f>IF(OR($A36="",$A36=0),"",IF(OR(B36=2,B36=4,B36=6,B36=7),
    INDEX(Tabla13[Ind impuestos], MATCH($A36, Tabla13[N Doc], 0)),
""))</f>
        <v/>
      </c>
      <c r="J36" t="str">
        <f>IF(OR($A36="",$A36=0),"",IF(OR(B36=2,B36=4,B36=6,B36=7),
    INDEX(Tabla1[CECO], MATCH($A36, Tabla1[N Doc], 0)),
""))</f>
        <v/>
      </c>
      <c r="M36" t="str">
        <f>IF(C36=31,INDEX(Tabla1[Descripción], MATCH($A36, Tabla1[N Doc], 0)),"")</f>
        <v/>
      </c>
    </row>
    <row r="37" spans="1:22" x14ac:dyDescent="0.3">
      <c r="A37" t="str" cm="1">
        <f t="array" ref="A37">INDEX(Tabla1[N Doc], ROUNDUP((ROW()-1)/9, 0))</f>
        <v/>
      </c>
      <c r="B37" t="str">
        <f>IF(OR(A37="",A37=0),"",CHOOSE(
    COUNTIF($A$2:A37,A37),
    1,2,3,4,5,6,7,8,9
))</f>
        <v/>
      </c>
      <c r="C37" t="str">
        <f t="shared" si="0"/>
        <v/>
      </c>
      <c r="D37" s="7" t="str" cm="1">
        <f t="array" ref="D37">IF(OR($A37="",$A37=0),"",
IF(AND(INDEX(Formulario!$H$14:$H$100, $A37)="Si", C37&lt;&gt;31),
        VLOOKUP("cta puente",'Descripciones de gastos'!G:H, 2, FALSE),
IF(B37=1,
        INDEX(Tabla13[Titular], MATCH($A37, Tabla1[N Doc], 0)),
IF(B37=2,
        INDEX(Tabla1[Cuenta contable], MATCH($A37, Tabla1[N Doc], 0)),
IF(B37=3,
        INDEX(Tabla13[Cta Iva 22], MATCH($A37, Tabla1[N Doc], 0)),
IF(B37=4,
        INDEX(Tabla1[Cuenta contable], MATCH($A37, Tabla1[N Doc], 0)),
IF(B37=5,
        INDEX(Tabla13[Cta Iva 10], MATCH($A37, Tabla1[N Doc], 0)),
IF(B37=6,
        INDEX(Tabla1[Cuenta contable], MATCH($A37, Tabla1[N Doc], 0)),
IF(B37=7,
        INDEX(Tabla1[Cuenta contable], MATCH($A37, Tabla1[N Doc], 0)),
IF(B37=8,
        IF(INDEX(Tabla1[Tipo IVA], MATCH($A37, Tabla1[N Doc], 0))="22%",
             INDEX(Tabla13[Cta Iva 22], MATCH($A37, Tabla1[N Doc], 0)),
             INDEX(Tabla13[Cta Iva 10], MATCH($A37, Tabla1[N Doc], 0))),
IF(B37=9,
        INDEX(Tabla1[Cuenta contable], MATCH($A37, Tabla1[N Doc], 0))
)))))))))))</f>
        <v/>
      </c>
      <c r="F37" t="str">
        <f>IF(OR($A37="",$A37=0),"",IF(B37=1,
        INDEX(Tabla1[Importe total], MATCH($A37, Tabla1[N Doc], 0)),
IF(B37=2,
        INDEX(Tabla1[Base imponible 22], MATCH($A37, Tabla1[N Doc], 0)),
IF(B37=3,
        INDEX(Tabla1[Iva 22], MATCH($A37, Tabla1[N Doc], 0)),
IF(B37=4,
        INDEX(Tabla1[Base imponible 10], MATCH($A37, Tabla1[N Doc], 0)),
IF(B37=5,
        INDEX(Tabla1[Iva 10], MATCH($A37, Tabla1[N Doc], 0)),
IF(B37=6,
        INDEX(Tabla1[Exento], MATCH($A37, Tabla1[N Doc], 0)),
IF(B37=7,
        INDEX(#REF!, MATCH($A37, Tabla1[N Doc], 0)),
IF(B37=8,
        INDEX(#REF!, MATCH($A37, Tabla1[N Doc], 0)),
IF(B37=9,
        INDEX(Tabla1[Descuentos], MATCH($A37, Tabla1[N Doc], 0)),
""))))))))))</f>
        <v/>
      </c>
      <c r="G37" t="str">
        <f>IF(OR($A37="",$A37=0),"",IF(OR(B37=2,B37=4,B37=6,B37=7),
    INDEX(Tabla13[Ind impuestos], MATCH($A37, Tabla13[N Doc], 0)),
""))</f>
        <v/>
      </c>
      <c r="J37" t="str">
        <f>IF(OR($A37="",$A37=0),"",IF(OR(B37=2,B37=4,B37=6,B37=7),
    INDEX(Tabla1[CECO], MATCH($A37, Tabla1[N Doc], 0)),
""))</f>
        <v/>
      </c>
      <c r="M37" t="str">
        <f>IF(C37=31,INDEX(Tabla1[Descripción], MATCH($A37, Tabla1[N Doc], 0)),"")</f>
        <v/>
      </c>
    </row>
    <row r="38" spans="1:22" x14ac:dyDescent="0.3">
      <c r="A38" t="str" cm="1">
        <f t="array" ref="A38">INDEX(Tabla1[N Doc], ROUNDUP((ROW()-1)/9, 0))</f>
        <v/>
      </c>
      <c r="B38" t="str">
        <f>IF(OR(A38="",A38=0),"",CHOOSE(
    COUNTIF($A$2:A38,A38),
    1,2,3,4,5,6,7,8,9
))</f>
        <v/>
      </c>
      <c r="C38" t="str">
        <f t="shared" si="0"/>
        <v/>
      </c>
      <c r="D38" s="7" t="str" cm="1">
        <f t="array" ref="D38">IF(OR($A38="",$A38=0),"",
IF(AND(INDEX(Formulario!$H$14:$H$100, $A38)="Si", C38&lt;&gt;31),
        VLOOKUP("cta puente",'Descripciones de gastos'!G:H, 2, FALSE),
IF(B38=1,
        INDEX(Tabla13[Titular], MATCH($A38, Tabla1[N Doc], 0)),
IF(B38=2,
        INDEX(Tabla1[Cuenta contable], MATCH($A38, Tabla1[N Doc], 0)),
IF(B38=3,
        INDEX(Tabla13[Cta Iva 22], MATCH($A38, Tabla1[N Doc], 0)),
IF(B38=4,
        INDEX(Tabla1[Cuenta contable], MATCH($A38, Tabla1[N Doc], 0)),
IF(B38=5,
        INDEX(Tabla13[Cta Iva 10], MATCH($A38, Tabla1[N Doc], 0)),
IF(B38=6,
        INDEX(Tabla1[Cuenta contable], MATCH($A38, Tabla1[N Doc], 0)),
IF(B38=7,
        INDEX(Tabla1[Cuenta contable], MATCH($A38, Tabla1[N Doc], 0)),
IF(B38=8,
        IF(INDEX(Tabla1[Tipo IVA], MATCH($A38, Tabla1[N Doc], 0))="22%",
             INDEX(Tabla13[Cta Iva 22], MATCH($A38, Tabla1[N Doc], 0)),
             INDEX(Tabla13[Cta Iva 10], MATCH($A38, Tabla1[N Doc], 0))),
IF(B38=9,
        INDEX(Tabla1[Cuenta contable], MATCH($A38, Tabla1[N Doc], 0))
)))))))))))</f>
        <v/>
      </c>
      <c r="F38" t="str">
        <f>IF(OR($A38="",$A38=0),"",IF(B38=1,
        INDEX(Tabla1[Importe total], MATCH($A38, Tabla1[N Doc], 0)),
IF(B38=2,
        INDEX(Tabla1[Base imponible 22], MATCH($A38, Tabla1[N Doc], 0)),
IF(B38=3,
        INDEX(Tabla1[Iva 22], MATCH($A38, Tabla1[N Doc], 0)),
IF(B38=4,
        INDEX(Tabla1[Base imponible 10], MATCH($A38, Tabla1[N Doc], 0)),
IF(B38=5,
        INDEX(Tabla1[Iva 10], MATCH($A38, Tabla1[N Doc], 0)),
IF(B38=6,
        INDEX(Tabla1[Exento], MATCH($A38, Tabla1[N Doc], 0)),
IF(B38=7,
        INDEX(#REF!, MATCH($A38, Tabla1[N Doc], 0)),
IF(B38=8,
        INDEX(#REF!, MATCH($A38, Tabla1[N Doc], 0)),
IF(B38=9,
        INDEX(Tabla1[Descuentos], MATCH($A38, Tabla1[N Doc], 0)),
""))))))))))</f>
        <v/>
      </c>
      <c r="G38" t="str">
        <f>IF(OR($A38="",$A38=0),"",IF(OR(B38=2,B38=4,B38=6,B38=7),
    INDEX(Tabla13[Ind impuestos], MATCH($A38, Tabla13[N Doc], 0)),
""))</f>
        <v/>
      </c>
      <c r="J38" t="str">
        <f>IF(OR($A38="",$A38=0),"",IF(OR(B38=2,B38=4,B38=6,B38=7),
    INDEX(Tabla1[CECO], MATCH($A38, Tabla1[N Doc], 0)),
""))</f>
        <v/>
      </c>
      <c r="M38" t="str">
        <f>IF(C38=31,INDEX(Tabla1[Descripción], MATCH($A38, Tabla1[N Doc], 0)),"")</f>
        <v/>
      </c>
    </row>
    <row r="39" spans="1:22" x14ac:dyDescent="0.3">
      <c r="A39" t="str" cm="1">
        <f t="array" ref="A39">INDEX(Tabla1[N Doc], ROUNDUP((ROW()-1)/9, 0))</f>
        <v/>
      </c>
      <c r="B39" t="str">
        <f>IF(OR(A39="",A39=0),"",CHOOSE(
    COUNTIF($A$2:A39,A39),
    1,2,3,4,5,6,7,8,9
))</f>
        <v/>
      </c>
      <c r="C39" t="str">
        <f t="shared" si="0"/>
        <v/>
      </c>
      <c r="D39" s="7" t="str" cm="1">
        <f t="array" ref="D39">IF(OR($A39="",$A39=0),"",
IF(AND(INDEX(Formulario!$H$14:$H$100, $A39)="Si", C39&lt;&gt;31),
        VLOOKUP("cta puente",'Descripciones de gastos'!G:H, 2, FALSE),
IF(B39=1,
        INDEX(Tabla13[Titular], MATCH($A39, Tabla1[N Doc], 0)),
IF(B39=2,
        INDEX(Tabla1[Cuenta contable], MATCH($A39, Tabla1[N Doc], 0)),
IF(B39=3,
        INDEX(Tabla13[Cta Iva 22], MATCH($A39, Tabla1[N Doc], 0)),
IF(B39=4,
        INDEX(Tabla1[Cuenta contable], MATCH($A39, Tabla1[N Doc], 0)),
IF(B39=5,
        INDEX(Tabla13[Cta Iva 10], MATCH($A39, Tabla1[N Doc], 0)),
IF(B39=6,
        INDEX(Tabla1[Cuenta contable], MATCH($A39, Tabla1[N Doc], 0)),
IF(B39=7,
        INDEX(Tabla1[Cuenta contable], MATCH($A39, Tabla1[N Doc], 0)),
IF(B39=8,
        IF(INDEX(Tabla1[Tipo IVA], MATCH($A39, Tabla1[N Doc], 0))="22%",
             INDEX(Tabla13[Cta Iva 22], MATCH($A39, Tabla1[N Doc], 0)),
             INDEX(Tabla13[Cta Iva 10], MATCH($A39, Tabla1[N Doc], 0))),
IF(B39=9,
        INDEX(Tabla1[Cuenta contable], MATCH($A39, Tabla1[N Doc], 0))
)))))))))))</f>
        <v/>
      </c>
      <c r="F39" t="str">
        <f>IF(OR($A39="",$A39=0),"",IF(B39=1,
        INDEX(Tabla1[Importe total], MATCH($A39, Tabla1[N Doc], 0)),
IF(B39=2,
        INDEX(Tabla1[Base imponible 22], MATCH($A39, Tabla1[N Doc], 0)),
IF(B39=3,
        INDEX(Tabla1[Iva 22], MATCH($A39, Tabla1[N Doc], 0)),
IF(B39=4,
        INDEX(Tabla1[Base imponible 10], MATCH($A39, Tabla1[N Doc], 0)),
IF(B39=5,
        INDEX(Tabla1[Iva 10], MATCH($A39, Tabla1[N Doc], 0)),
IF(B39=6,
        INDEX(Tabla1[Exento], MATCH($A39, Tabla1[N Doc], 0)),
IF(B39=7,
        INDEX(#REF!, MATCH($A39, Tabla1[N Doc], 0)),
IF(B39=8,
        INDEX(#REF!, MATCH($A39, Tabla1[N Doc], 0)),
IF(B39=9,
        INDEX(Tabla1[Descuentos], MATCH($A39, Tabla1[N Doc], 0)),
""))))))))))</f>
        <v/>
      </c>
      <c r="G39" t="str">
        <f>IF(OR($A39="",$A39=0),"",IF(OR(B39=2,B39=4,B39=6,B39=7),
    INDEX(Tabla13[Ind impuestos], MATCH($A39, Tabla13[N Doc], 0)),
""))</f>
        <v/>
      </c>
      <c r="J39" t="str">
        <f>IF(OR($A39="",$A39=0),"",IF(OR(B39=2,B39=4,B39=6,B39=7),
    INDEX(Tabla1[CECO], MATCH($A39, Tabla1[N Doc], 0)),
""))</f>
        <v/>
      </c>
      <c r="M39" t="str">
        <f>IF(C39=31,INDEX(Tabla1[Descripción], MATCH($A39, Tabla1[N Doc], 0)),"")</f>
        <v/>
      </c>
    </row>
    <row r="40" spans="1:22" x14ac:dyDescent="0.3">
      <c r="A40" t="str" cm="1">
        <f t="array" ref="A40">INDEX(Tabla1[N Doc], ROUNDUP((ROW()-1)/9, 0))</f>
        <v/>
      </c>
      <c r="B40" t="str">
        <f>IF(OR(A40="",A40=0),"",CHOOSE(
    COUNTIF($A$2:A40,A40),
    1,2,3,4,5,6,7,8,9
))</f>
        <v/>
      </c>
      <c r="C40" t="str">
        <f t="shared" si="0"/>
        <v/>
      </c>
      <c r="D40" s="7" t="str" cm="1">
        <f t="array" ref="D40">IF(OR($A40="",$A40=0),"",
IF(AND(INDEX(Formulario!$H$14:$H$100, $A40)="Si", C40&lt;&gt;31),
        VLOOKUP("cta puente",'Descripciones de gastos'!G:H, 2, FALSE),
IF(B40=1,
        INDEX(Tabla13[Titular], MATCH($A40, Tabla1[N Doc], 0)),
IF(B40=2,
        INDEX(Tabla1[Cuenta contable], MATCH($A40, Tabla1[N Doc], 0)),
IF(B40=3,
        INDEX(Tabla13[Cta Iva 22], MATCH($A40, Tabla1[N Doc], 0)),
IF(B40=4,
        INDEX(Tabla1[Cuenta contable], MATCH($A40, Tabla1[N Doc], 0)),
IF(B40=5,
        INDEX(Tabla13[Cta Iva 10], MATCH($A40, Tabla1[N Doc], 0)),
IF(B40=6,
        INDEX(Tabla1[Cuenta contable], MATCH($A40, Tabla1[N Doc], 0)),
IF(B40=7,
        INDEX(Tabla1[Cuenta contable], MATCH($A40, Tabla1[N Doc], 0)),
IF(B40=8,
        IF(INDEX(Tabla1[Tipo IVA], MATCH($A40, Tabla1[N Doc], 0))="22%",
             INDEX(Tabla13[Cta Iva 22], MATCH($A40, Tabla1[N Doc], 0)),
             INDEX(Tabla13[Cta Iva 10], MATCH($A40, Tabla1[N Doc], 0))),
IF(B40=9,
        INDEX(Tabla1[Cuenta contable], MATCH($A40, Tabla1[N Doc], 0))
)))))))))))</f>
        <v/>
      </c>
      <c r="F40" t="str">
        <f>IF(OR($A40="",$A40=0),"",IF(B40=1,
        INDEX(Tabla1[Importe total], MATCH($A40, Tabla1[N Doc], 0)),
IF(B40=2,
        INDEX(Tabla1[Base imponible 22], MATCH($A40, Tabla1[N Doc], 0)),
IF(B40=3,
        INDEX(Tabla1[Iva 22], MATCH($A40, Tabla1[N Doc], 0)),
IF(B40=4,
        INDEX(Tabla1[Base imponible 10], MATCH($A40, Tabla1[N Doc], 0)),
IF(B40=5,
        INDEX(Tabla1[Iva 10], MATCH($A40, Tabla1[N Doc], 0)),
IF(B40=6,
        INDEX(Tabla1[Exento], MATCH($A40, Tabla1[N Doc], 0)),
IF(B40=7,
        INDEX(#REF!, MATCH($A40, Tabla1[N Doc], 0)),
IF(B40=8,
        INDEX(#REF!, MATCH($A40, Tabla1[N Doc], 0)),
IF(B40=9,
        INDEX(Tabla1[Descuentos], MATCH($A40, Tabla1[N Doc], 0)),
""))))))))))</f>
        <v/>
      </c>
      <c r="G40" t="str">
        <f>IF(OR($A40="",$A40=0),"",IF(OR(B40=2,B40=4,B40=6,B40=7),
    INDEX(Tabla13[Ind impuestos], MATCH($A40, Tabla13[N Doc], 0)),
""))</f>
        <v/>
      </c>
      <c r="J40" t="str">
        <f>IF(OR($A40="",$A40=0),"",IF(OR(B40=2,B40=4,B40=6,B40=7),
    INDEX(Tabla1[CECO], MATCH($A40, Tabla1[N Doc], 0)),
""))</f>
        <v/>
      </c>
      <c r="M40" t="str">
        <f>IF(C40=31,INDEX(Tabla1[Descripción], MATCH($A40, Tabla1[N Doc], 0)),"")</f>
        <v/>
      </c>
    </row>
    <row r="41" spans="1:22" x14ac:dyDescent="0.3">
      <c r="A41" t="str" cm="1">
        <f t="array" ref="A41">INDEX(Tabla1[N Doc], ROUNDUP((ROW()-1)/9, 0))</f>
        <v/>
      </c>
      <c r="B41" t="str">
        <f>IF(OR(A41="",A41=0),"",CHOOSE(
    COUNTIF($A$2:A41,A41),
    1,2,3,4,5,6,7,8,9
))</f>
        <v/>
      </c>
      <c r="C41" t="str">
        <f t="shared" si="0"/>
        <v/>
      </c>
      <c r="D41" s="7" t="str" cm="1">
        <f t="array" ref="D41">IF(OR($A41="",$A41=0),"",
IF(AND(INDEX(Formulario!$H$14:$H$100, $A41)="Si", C41&lt;&gt;31),
        VLOOKUP("cta puente",'Descripciones de gastos'!G:H, 2, FALSE),
IF(B41=1,
        INDEX(Tabla13[Titular], MATCH($A41, Tabla1[N Doc], 0)),
IF(B41=2,
        INDEX(Tabla1[Cuenta contable], MATCH($A41, Tabla1[N Doc], 0)),
IF(B41=3,
        INDEX(Tabla13[Cta Iva 22], MATCH($A41, Tabla1[N Doc], 0)),
IF(B41=4,
        INDEX(Tabla1[Cuenta contable], MATCH($A41, Tabla1[N Doc], 0)),
IF(B41=5,
        INDEX(Tabla13[Cta Iva 10], MATCH($A41, Tabla1[N Doc], 0)),
IF(B41=6,
        INDEX(Tabla1[Cuenta contable], MATCH($A41, Tabla1[N Doc], 0)),
IF(B41=7,
        INDEX(Tabla1[Cuenta contable], MATCH($A41, Tabla1[N Doc], 0)),
IF(B41=8,
        IF(INDEX(Tabla1[Tipo IVA], MATCH($A41, Tabla1[N Doc], 0))="22%",
             INDEX(Tabla13[Cta Iva 22], MATCH($A41, Tabla1[N Doc], 0)),
             INDEX(Tabla13[Cta Iva 10], MATCH($A41, Tabla1[N Doc], 0))),
IF(B41=9,
        INDEX(Tabla1[Cuenta contable], MATCH($A41, Tabla1[N Doc], 0))
)))))))))))</f>
        <v/>
      </c>
      <c r="F41" t="str">
        <f>IF(OR($A41="",$A41=0),"",IF(B41=1,
        INDEX(Tabla1[Importe total], MATCH($A41, Tabla1[N Doc], 0)),
IF(B41=2,
        INDEX(Tabla1[Base imponible 22], MATCH($A41, Tabla1[N Doc], 0)),
IF(B41=3,
        INDEX(Tabla1[Iva 22], MATCH($A41, Tabla1[N Doc], 0)),
IF(B41=4,
        INDEX(Tabla1[Base imponible 10], MATCH($A41, Tabla1[N Doc], 0)),
IF(B41=5,
        INDEX(Tabla1[Iva 10], MATCH($A41, Tabla1[N Doc], 0)),
IF(B41=6,
        INDEX(Tabla1[Exento], MATCH($A41, Tabla1[N Doc], 0)),
IF(B41=7,
        INDEX(#REF!, MATCH($A41, Tabla1[N Doc], 0)),
IF(B41=8,
        INDEX(#REF!, MATCH($A41, Tabla1[N Doc], 0)),
IF(B41=9,
        INDEX(Tabla1[Descuentos], MATCH($A41, Tabla1[N Doc], 0)),
""))))))))))</f>
        <v/>
      </c>
      <c r="G41" t="str">
        <f>IF(OR($A41="",$A41=0),"",IF(OR(B41=2,B41=4,B41=6,B41=7),
    INDEX(Tabla13[Ind impuestos], MATCH($A41, Tabla13[N Doc], 0)),
""))</f>
        <v/>
      </c>
      <c r="J41" t="str">
        <f>IF(OR($A41="",$A41=0),"",IF(OR(B41=2,B41=4,B41=6,B41=7),
    INDEX(Tabla1[CECO], MATCH($A41, Tabla1[N Doc], 0)),
""))</f>
        <v/>
      </c>
      <c r="M41" t="str">
        <f>IF(C41=31,INDEX(Tabla1[Descripción], MATCH($A41, Tabla1[N Doc], 0)),"")</f>
        <v/>
      </c>
    </row>
    <row r="42" spans="1:22" x14ac:dyDescent="0.3">
      <c r="A42" t="str" cm="1">
        <f t="array" ref="A42">INDEX(Tabla1[N Doc], ROUNDUP((ROW()-1)/9, 0))</f>
        <v/>
      </c>
      <c r="B42" t="str">
        <f>IF(OR(A42="",A42=0),"",CHOOSE(
    COUNTIF($A$2:A42,A42),
    1,2,3,4,5,6,7,8,9
))</f>
        <v/>
      </c>
      <c r="C42" t="str">
        <f t="shared" si="0"/>
        <v/>
      </c>
      <c r="D42" s="7" t="str" cm="1">
        <f t="array" ref="D42">IF(OR($A42="",$A42=0),"",
IF(AND(INDEX(Formulario!$H$14:$H$100, $A42)="Si", C42&lt;&gt;31),
        VLOOKUP("cta puente",'Descripciones de gastos'!G:H, 2, FALSE),
IF(B42=1,
        INDEX(Tabla13[Titular], MATCH($A42, Tabla1[N Doc], 0)),
IF(B42=2,
        INDEX(Tabla1[Cuenta contable], MATCH($A42, Tabla1[N Doc], 0)),
IF(B42=3,
        INDEX(Tabla13[Cta Iva 22], MATCH($A42, Tabla1[N Doc], 0)),
IF(B42=4,
        INDEX(Tabla1[Cuenta contable], MATCH($A42, Tabla1[N Doc], 0)),
IF(B42=5,
        INDEX(Tabla13[Cta Iva 10], MATCH($A42, Tabla1[N Doc], 0)),
IF(B42=6,
        INDEX(Tabla1[Cuenta contable], MATCH($A42, Tabla1[N Doc], 0)),
IF(B42=7,
        INDEX(Tabla1[Cuenta contable], MATCH($A42, Tabla1[N Doc], 0)),
IF(B42=8,
        IF(INDEX(Tabla1[Tipo IVA], MATCH($A42, Tabla1[N Doc], 0))="22%",
             INDEX(Tabla13[Cta Iva 22], MATCH($A42, Tabla1[N Doc], 0)),
             INDEX(Tabla13[Cta Iva 10], MATCH($A42, Tabla1[N Doc], 0))),
IF(B42=9,
        INDEX(Tabla1[Cuenta contable], MATCH($A42, Tabla1[N Doc], 0))
)))))))))))</f>
        <v/>
      </c>
      <c r="F42" t="str">
        <f>IF(OR($A42="",$A42=0),"",IF(B42=1,
        INDEX(Tabla1[Importe total], MATCH($A42, Tabla1[N Doc], 0)),
IF(B42=2,
        INDEX(Tabla1[Base imponible 22], MATCH($A42, Tabla1[N Doc], 0)),
IF(B42=3,
        INDEX(Tabla1[Iva 22], MATCH($A42, Tabla1[N Doc], 0)),
IF(B42=4,
        INDEX(Tabla1[Base imponible 10], MATCH($A42, Tabla1[N Doc], 0)),
IF(B42=5,
        INDEX(Tabla1[Iva 10], MATCH($A42, Tabla1[N Doc], 0)),
IF(B42=6,
        INDEX(Tabla1[Exento], MATCH($A42, Tabla1[N Doc], 0)),
IF(B42=7,
        INDEX(#REF!, MATCH($A42, Tabla1[N Doc], 0)),
IF(B42=8,
        INDEX(#REF!, MATCH($A42, Tabla1[N Doc], 0)),
IF(B42=9,
        INDEX(Tabla1[Descuentos], MATCH($A42, Tabla1[N Doc], 0)),
""))))))))))</f>
        <v/>
      </c>
      <c r="G42" t="str">
        <f>IF(OR($A42="",$A42=0),"",IF(OR(B42=2,B42=4,B42=6,B42=7),
    INDEX(Tabla13[Ind impuestos], MATCH($A42, Tabla13[N Doc], 0)),
""))</f>
        <v/>
      </c>
      <c r="J42" t="str">
        <f>IF(OR($A42="",$A42=0),"",IF(OR(B42=2,B42=4,B42=6,B42=7),
    INDEX(Tabla1[CECO], MATCH($A42, Tabla1[N Doc], 0)),
""))</f>
        <v/>
      </c>
      <c r="M42" t="str">
        <f>IF(C42=31,INDEX(Tabla1[Descripción], MATCH($A42, Tabla1[N Doc], 0)),"")</f>
        <v/>
      </c>
    </row>
    <row r="43" spans="1:22" x14ac:dyDescent="0.3">
      <c r="A43" t="str" cm="1">
        <f t="array" ref="A43">INDEX(Tabla1[N Doc], ROUNDUP((ROW()-1)/9, 0))</f>
        <v/>
      </c>
      <c r="B43" t="str">
        <f>IF(OR(A43="",A43=0),"",CHOOSE(
    COUNTIF($A$2:A43,A43),
    1,2,3,4,5,6,7,8,9
))</f>
        <v/>
      </c>
      <c r="C43" t="str">
        <f t="shared" si="0"/>
        <v/>
      </c>
      <c r="D43" s="7" t="str" cm="1">
        <f t="array" ref="D43">IF(OR($A43="",$A43=0),"",
IF(AND(INDEX(Formulario!$H$14:$H$100, $A43)="Si", C43&lt;&gt;31),
        VLOOKUP("cta puente",'Descripciones de gastos'!G:H, 2, FALSE),
IF(B43=1,
        INDEX(Tabla13[Titular], MATCH($A43, Tabla1[N Doc], 0)),
IF(B43=2,
        INDEX(Tabla1[Cuenta contable], MATCH($A43, Tabla1[N Doc], 0)),
IF(B43=3,
        INDEX(Tabla13[Cta Iva 22], MATCH($A43, Tabla1[N Doc], 0)),
IF(B43=4,
        INDEX(Tabla1[Cuenta contable], MATCH($A43, Tabla1[N Doc], 0)),
IF(B43=5,
        INDEX(Tabla13[Cta Iva 10], MATCH($A43, Tabla1[N Doc], 0)),
IF(B43=6,
        INDEX(Tabla1[Cuenta contable], MATCH($A43, Tabla1[N Doc], 0)),
IF(B43=7,
        INDEX(Tabla1[Cuenta contable], MATCH($A43, Tabla1[N Doc], 0)),
IF(B43=8,
        IF(INDEX(Tabla1[Tipo IVA], MATCH($A43, Tabla1[N Doc], 0))="22%",
             INDEX(Tabla13[Cta Iva 22], MATCH($A43, Tabla1[N Doc], 0)),
             INDEX(Tabla13[Cta Iva 10], MATCH($A43, Tabla1[N Doc], 0))),
IF(B43=9,
        INDEX(Tabla1[Cuenta contable], MATCH($A43, Tabla1[N Doc], 0))
)))))))))))</f>
        <v/>
      </c>
      <c r="F43" t="str">
        <f>IF(OR($A43="",$A43=0),"",IF(B43=1,
        INDEX(Tabla1[Importe total], MATCH($A43, Tabla1[N Doc], 0)),
IF(B43=2,
        INDEX(Tabla1[Base imponible 22], MATCH($A43, Tabla1[N Doc], 0)),
IF(B43=3,
        INDEX(Tabla1[Iva 22], MATCH($A43, Tabla1[N Doc], 0)),
IF(B43=4,
        INDEX(Tabla1[Base imponible 10], MATCH($A43, Tabla1[N Doc], 0)),
IF(B43=5,
        INDEX(Tabla1[Iva 10], MATCH($A43, Tabla1[N Doc], 0)),
IF(B43=6,
        INDEX(Tabla1[Exento], MATCH($A43, Tabla1[N Doc], 0)),
IF(B43=7,
        INDEX(#REF!, MATCH($A43, Tabla1[N Doc], 0)),
IF(B43=8,
        INDEX(#REF!, MATCH($A43, Tabla1[N Doc], 0)),
IF(B43=9,
        INDEX(Tabla1[Descuentos], MATCH($A43, Tabla1[N Doc], 0)),
""))))))))))</f>
        <v/>
      </c>
      <c r="G43" t="str">
        <f>IF(OR($A43="",$A43=0),"",IF(OR(B43=2,B43=4,B43=6,B43=7),
    INDEX(Tabla13[Ind impuestos], MATCH($A43, Tabla13[N Doc], 0)),
""))</f>
        <v/>
      </c>
      <c r="J43" t="str">
        <f>IF(OR($A43="",$A43=0),"",IF(OR(B43=2,B43=4,B43=6,B43=7),
    INDEX(Tabla1[CECO], MATCH($A43, Tabla1[N Doc], 0)),
""))</f>
        <v/>
      </c>
      <c r="M43" t="str">
        <f>IF(C43=31,INDEX(Tabla1[Descripción], MATCH($A43, Tabla1[N Doc], 0)),"")</f>
        <v/>
      </c>
    </row>
    <row r="44" spans="1:22" x14ac:dyDescent="0.3">
      <c r="A44" t="str" cm="1">
        <f t="array" ref="A44">INDEX(Tabla1[N Doc], ROUNDUP((ROW()-1)/9, 0))</f>
        <v/>
      </c>
      <c r="B44" t="str">
        <f>IF(OR(A44="",A44=0),"",CHOOSE(
    COUNTIF($A$2:A44,A44),
    1,2,3,4,5,6,7,8,9
))</f>
        <v/>
      </c>
      <c r="C44" t="str">
        <f t="shared" si="0"/>
        <v/>
      </c>
      <c r="D44" s="7" t="str" cm="1">
        <f t="array" ref="D44">IF(OR($A44="",$A44=0),"",
IF(AND(INDEX(Formulario!$H$14:$H$100, $A44)="Si", C44&lt;&gt;31),
        VLOOKUP("cta puente",'Descripciones de gastos'!G:H, 2, FALSE),
IF(B44=1,
        INDEX(Tabla13[Titular], MATCH($A44, Tabla1[N Doc], 0)),
IF(B44=2,
        INDEX(Tabla1[Cuenta contable], MATCH($A44, Tabla1[N Doc], 0)),
IF(B44=3,
        INDEX(Tabla13[Cta Iva 22], MATCH($A44, Tabla1[N Doc], 0)),
IF(B44=4,
        INDEX(Tabla1[Cuenta contable], MATCH($A44, Tabla1[N Doc], 0)),
IF(B44=5,
        INDEX(Tabla13[Cta Iva 10], MATCH($A44, Tabla1[N Doc], 0)),
IF(B44=6,
        INDEX(Tabla1[Cuenta contable], MATCH($A44, Tabla1[N Doc], 0)),
IF(B44=7,
        INDEX(Tabla1[Cuenta contable], MATCH($A44, Tabla1[N Doc], 0)),
IF(B44=8,
        IF(INDEX(Tabla1[Tipo IVA], MATCH($A44, Tabla1[N Doc], 0))="22%",
             INDEX(Tabla13[Cta Iva 22], MATCH($A44, Tabla1[N Doc], 0)),
             INDEX(Tabla13[Cta Iva 10], MATCH($A44, Tabla1[N Doc], 0))),
IF(B44=9,
        INDEX(Tabla1[Cuenta contable], MATCH($A44, Tabla1[N Doc], 0))
)))))))))))</f>
        <v/>
      </c>
      <c r="F44" t="str">
        <f>IF(OR($A44="",$A44=0),"",IF(B44=1,
        INDEX(Tabla1[Importe total], MATCH($A44, Tabla1[N Doc], 0)),
IF(B44=2,
        INDEX(Tabla1[Base imponible 22], MATCH($A44, Tabla1[N Doc], 0)),
IF(B44=3,
        INDEX(Tabla1[Iva 22], MATCH($A44, Tabla1[N Doc], 0)),
IF(B44=4,
        INDEX(Tabla1[Base imponible 10], MATCH($A44, Tabla1[N Doc], 0)),
IF(B44=5,
        INDEX(Tabla1[Iva 10], MATCH($A44, Tabla1[N Doc], 0)),
IF(B44=6,
        INDEX(Tabla1[Exento], MATCH($A44, Tabla1[N Doc], 0)),
IF(B44=7,
        INDEX(#REF!, MATCH($A44, Tabla1[N Doc], 0)),
IF(B44=8,
        INDEX(#REF!, MATCH($A44, Tabla1[N Doc], 0)),
IF(B44=9,
        INDEX(Tabla1[Descuentos], MATCH($A44, Tabla1[N Doc], 0)),
""))))))))))</f>
        <v/>
      </c>
      <c r="G44" t="str">
        <f>IF(OR($A44="",$A44=0),"",IF(OR(B44=2,B44=4,B44=6,B44=7),
    INDEX(Tabla13[Ind impuestos], MATCH($A44, Tabla13[N Doc], 0)),
""))</f>
        <v/>
      </c>
      <c r="J44" t="str">
        <f>IF(OR($A44="",$A44=0),"",IF(OR(B44=2,B44=4,B44=6,B44=7),
    INDEX(Tabla1[CECO], MATCH($A44, Tabla1[N Doc], 0)),
""))</f>
        <v/>
      </c>
      <c r="M44" t="str">
        <f>IF(C44=31,INDEX(Tabla1[Descripción], MATCH($A44, Tabla1[N Doc], 0)),"")</f>
        <v/>
      </c>
    </row>
    <row r="45" spans="1:22" x14ac:dyDescent="0.3">
      <c r="A45" t="str" cm="1">
        <f t="array" ref="A45">INDEX(Tabla1[N Doc], ROUNDUP((ROW()-1)/9, 0))</f>
        <v/>
      </c>
      <c r="B45" t="str">
        <f>IF(OR(A45="",A45=0),"",CHOOSE(
    COUNTIF($A$2:A45,A45),
    1,2,3,4,5,6,7,8,9
))</f>
        <v/>
      </c>
      <c r="C45" t="str">
        <f t="shared" si="0"/>
        <v/>
      </c>
      <c r="D45" s="7" t="str" cm="1">
        <f t="array" ref="D45">IF(OR($A45="",$A45=0),"",
IF(AND(INDEX(Formulario!$H$14:$H$100, $A45)="Si", C45&lt;&gt;31),
        VLOOKUP("cta puente",'Descripciones de gastos'!G:H, 2, FALSE),
IF(B45=1,
        INDEX(Tabla13[Titular], MATCH($A45, Tabla1[N Doc], 0)),
IF(B45=2,
        INDEX(Tabla1[Cuenta contable], MATCH($A45, Tabla1[N Doc], 0)),
IF(B45=3,
        INDEX(Tabla13[Cta Iva 22], MATCH($A45, Tabla1[N Doc], 0)),
IF(B45=4,
        INDEX(Tabla1[Cuenta contable], MATCH($A45, Tabla1[N Doc], 0)),
IF(B45=5,
        INDEX(Tabla13[Cta Iva 10], MATCH($A45, Tabla1[N Doc], 0)),
IF(B45=6,
        INDEX(Tabla1[Cuenta contable], MATCH($A45, Tabla1[N Doc], 0)),
IF(B45=7,
        INDEX(Tabla1[Cuenta contable], MATCH($A45, Tabla1[N Doc], 0)),
IF(B45=8,
        IF(INDEX(Tabla1[Tipo IVA], MATCH($A45, Tabla1[N Doc], 0))="22%",
             INDEX(Tabla13[Cta Iva 22], MATCH($A45, Tabla1[N Doc], 0)),
             INDEX(Tabla13[Cta Iva 10], MATCH($A45, Tabla1[N Doc], 0))),
IF(B45=9,
        INDEX(Tabla1[Cuenta contable], MATCH($A45, Tabla1[N Doc], 0))
)))))))))))</f>
        <v/>
      </c>
      <c r="F45" t="str">
        <f>IF(OR($A45="",$A45=0),"",IF(B45=1,
        INDEX(Tabla1[Importe total], MATCH($A45, Tabla1[N Doc], 0)),
IF(B45=2,
        INDEX(Tabla1[Base imponible 22], MATCH($A45, Tabla1[N Doc], 0)),
IF(B45=3,
        INDEX(Tabla1[Iva 22], MATCH($A45, Tabla1[N Doc], 0)),
IF(B45=4,
        INDEX(Tabla1[Base imponible 10], MATCH($A45, Tabla1[N Doc], 0)),
IF(B45=5,
        INDEX(Tabla1[Iva 10], MATCH($A45, Tabla1[N Doc], 0)),
IF(B45=6,
        INDEX(Tabla1[Exento], MATCH($A45, Tabla1[N Doc], 0)),
IF(B45=7,
        INDEX(#REF!, MATCH($A45, Tabla1[N Doc], 0)),
IF(B45=8,
        INDEX(#REF!, MATCH($A45, Tabla1[N Doc], 0)),
IF(B45=9,
        INDEX(Tabla1[Descuentos], MATCH($A45, Tabla1[N Doc], 0)),
""))))))))))</f>
        <v/>
      </c>
      <c r="G45" t="str">
        <f>IF(OR($A45="",$A45=0),"",IF(OR(B45=2,B45=4,B45=6,B45=7),
    INDEX(Tabla13[Ind impuestos], MATCH($A45, Tabla13[N Doc], 0)),
""))</f>
        <v/>
      </c>
      <c r="J45" t="str">
        <f>IF(OR($A45="",$A45=0),"",IF(OR(B45=2,B45=4,B45=6,B45=7),
    INDEX(Tabla1[CECO], MATCH($A45, Tabla1[N Doc], 0)),
""))</f>
        <v/>
      </c>
      <c r="M45" t="str">
        <f>IF(C45=31,INDEX(Tabla1[Descripción], MATCH($A45, Tabla1[N Doc], 0)),"")</f>
        <v/>
      </c>
    </row>
    <row r="46" spans="1:22" x14ac:dyDescent="0.3">
      <c r="A46" t="str" cm="1">
        <f t="array" ref="A46">INDEX(Tabla1[N Doc], ROUNDUP((ROW()-1)/9, 0))</f>
        <v/>
      </c>
      <c r="B46" t="str">
        <f>IF(OR(A46="",A46=0),"",CHOOSE(
    COUNTIF($A$2:A46,A46),
    1,2,3,4,5,6,7,8,9
))</f>
        <v/>
      </c>
      <c r="C46" t="str">
        <f t="shared" si="0"/>
        <v/>
      </c>
      <c r="D46" s="7" t="str" cm="1">
        <f t="array" ref="D46">IF(OR($A46="",$A46=0),"",
IF(AND(INDEX(Formulario!$H$14:$H$100, $A46)="Si", C46&lt;&gt;31),
        VLOOKUP("cta puente",'Descripciones de gastos'!G:H, 2, FALSE),
IF(B46=1,
        INDEX(Tabla13[Titular], MATCH($A46, Tabla1[N Doc], 0)),
IF(B46=2,
        INDEX(Tabla1[Cuenta contable], MATCH($A46, Tabla1[N Doc], 0)),
IF(B46=3,
        INDEX(Tabla13[Cta Iva 22], MATCH($A46, Tabla1[N Doc], 0)),
IF(B46=4,
        INDEX(Tabla1[Cuenta contable], MATCH($A46, Tabla1[N Doc], 0)),
IF(B46=5,
        INDEX(Tabla13[Cta Iva 10], MATCH($A46, Tabla1[N Doc], 0)),
IF(B46=6,
        INDEX(Tabla1[Cuenta contable], MATCH($A46, Tabla1[N Doc], 0)),
IF(B46=7,
        INDEX(Tabla1[Cuenta contable], MATCH($A46, Tabla1[N Doc], 0)),
IF(B46=8,
        IF(INDEX(Tabla1[Tipo IVA], MATCH($A46, Tabla1[N Doc], 0))="22%",
             INDEX(Tabla13[Cta Iva 22], MATCH($A46, Tabla1[N Doc], 0)),
             INDEX(Tabla13[Cta Iva 10], MATCH($A46, Tabla1[N Doc], 0))),
IF(B46=9,
        INDEX(Tabla1[Cuenta contable], MATCH($A46, Tabla1[N Doc], 0))
)))))))))))</f>
        <v/>
      </c>
      <c r="F46" t="str">
        <f>IF(OR($A46="",$A46=0),"",IF(B46=1,
        INDEX(Tabla1[Importe total], MATCH($A46, Tabla1[N Doc], 0)),
IF(B46=2,
        INDEX(Tabla1[Base imponible 22], MATCH($A46, Tabla1[N Doc], 0)),
IF(B46=3,
        INDEX(Tabla1[Iva 22], MATCH($A46, Tabla1[N Doc], 0)),
IF(B46=4,
        INDEX(Tabla1[Base imponible 10], MATCH($A46, Tabla1[N Doc], 0)),
IF(B46=5,
        INDEX(Tabla1[Iva 10], MATCH($A46, Tabla1[N Doc], 0)),
IF(B46=6,
        INDEX(Tabla1[Exento], MATCH($A46, Tabla1[N Doc], 0)),
IF(B46=7,
        INDEX(#REF!, MATCH($A46, Tabla1[N Doc], 0)),
IF(B46=8,
        INDEX(#REF!, MATCH($A46, Tabla1[N Doc], 0)),
IF(B46=9,
        INDEX(Tabla1[Descuentos], MATCH($A46, Tabla1[N Doc], 0)),
""))))))))))</f>
        <v/>
      </c>
      <c r="G46" t="str">
        <f>IF(OR($A46="",$A46=0),"",IF(OR(B46=2,B46=4,B46=6,B46=7),
    INDEX(Tabla13[Ind impuestos], MATCH($A46, Tabla13[N Doc], 0)),
""))</f>
        <v/>
      </c>
      <c r="J46" t="str">
        <f>IF(OR($A46="",$A46=0),"",IF(OR(B46=2,B46=4,B46=6,B46=7),
    INDEX(Tabla1[CECO], MATCH($A46, Tabla1[N Doc], 0)),
""))</f>
        <v/>
      </c>
      <c r="M46" t="str">
        <f>IF(C46=31,INDEX(Tabla1[Descripción], MATCH($A46, Tabla1[N Doc], 0)),"")</f>
        <v/>
      </c>
    </row>
    <row r="47" spans="1:22" x14ac:dyDescent="0.3">
      <c r="A47" t="str" cm="1">
        <f t="array" ref="A47">INDEX(Tabla1[N Doc], ROUNDUP((ROW()-1)/9, 0))</f>
        <v/>
      </c>
      <c r="B47" t="str">
        <f>IF(OR(A47="",A47=0),"",CHOOSE(
    COUNTIF($A$2:A47,A47),
    1,2,3,4,5,6,7,8,9
))</f>
        <v/>
      </c>
      <c r="C47" t="str">
        <f t="shared" si="0"/>
        <v/>
      </c>
      <c r="D47" s="7" t="str" cm="1">
        <f t="array" ref="D47">IF(OR($A47="",$A47=0),"",
IF(AND(INDEX(Formulario!$H$14:$H$100, $A47)="Si", C47&lt;&gt;31),
        VLOOKUP("cta puente",'Descripciones de gastos'!G:H, 2, FALSE),
IF(B47=1,
        INDEX(Tabla13[Titular], MATCH($A47, Tabla1[N Doc], 0)),
IF(B47=2,
        INDEX(Tabla1[Cuenta contable], MATCH($A47, Tabla1[N Doc], 0)),
IF(B47=3,
        INDEX(Tabla13[Cta Iva 22], MATCH($A47, Tabla1[N Doc], 0)),
IF(B47=4,
        INDEX(Tabla1[Cuenta contable], MATCH($A47, Tabla1[N Doc], 0)),
IF(B47=5,
        INDEX(Tabla13[Cta Iva 10], MATCH($A47, Tabla1[N Doc], 0)),
IF(B47=6,
        INDEX(Tabla1[Cuenta contable], MATCH($A47, Tabla1[N Doc], 0)),
IF(B47=7,
        INDEX(Tabla1[Cuenta contable], MATCH($A47, Tabla1[N Doc], 0)),
IF(B47=8,
        IF(INDEX(Tabla1[Tipo IVA], MATCH($A47, Tabla1[N Doc], 0))="22%",
             INDEX(Tabla13[Cta Iva 22], MATCH($A47, Tabla1[N Doc], 0)),
             INDEX(Tabla13[Cta Iva 10], MATCH($A47, Tabla1[N Doc], 0))),
IF(B47=9,
        INDEX(Tabla1[Cuenta contable], MATCH($A47, Tabla1[N Doc], 0))
)))))))))))</f>
        <v/>
      </c>
      <c r="F47" t="str">
        <f>IF(OR($A47="",$A47=0),"",IF(B47=1,
        INDEX(Tabla1[Importe total], MATCH($A47, Tabla1[N Doc], 0)),
IF(B47=2,
        INDEX(Tabla1[Base imponible 22], MATCH($A47, Tabla1[N Doc], 0)),
IF(B47=3,
        INDEX(Tabla1[Iva 22], MATCH($A47, Tabla1[N Doc], 0)),
IF(B47=4,
        INDEX(Tabla1[Base imponible 10], MATCH($A47, Tabla1[N Doc], 0)),
IF(B47=5,
        INDEX(Tabla1[Iva 10], MATCH($A47, Tabla1[N Doc], 0)),
IF(B47=6,
        INDEX(Tabla1[Exento], MATCH($A47, Tabla1[N Doc], 0)),
IF(B47=7,
        INDEX(#REF!, MATCH($A47, Tabla1[N Doc], 0)),
IF(B47=8,
        INDEX(#REF!, MATCH($A47, Tabla1[N Doc], 0)),
IF(B47=9,
        INDEX(Tabla1[Descuentos], MATCH($A47, Tabla1[N Doc], 0)),
""))))))))))</f>
        <v/>
      </c>
      <c r="G47" t="str">
        <f>IF(OR($A47="",$A47=0),"",IF(OR(B47=2,B47=4,B47=6,B47=7),
    INDEX(Tabla13[Ind impuestos], MATCH($A47, Tabla13[N Doc], 0)),
""))</f>
        <v/>
      </c>
      <c r="J47" t="str">
        <f>IF(OR($A47="",$A47=0),"",IF(OR(B47=2,B47=4,B47=6,B47=7),
    INDEX(Tabla1[CECO], MATCH($A47, Tabla1[N Doc], 0)),
""))</f>
        <v/>
      </c>
      <c r="M47" t="str">
        <f>IF(C47=31,INDEX(Tabla1[Descripción], MATCH($A47, Tabla1[N Doc], 0)),"")</f>
        <v/>
      </c>
    </row>
    <row r="48" spans="1:22" x14ac:dyDescent="0.3">
      <c r="A48" t="str" cm="1">
        <f t="array" ref="A48">INDEX(Tabla1[N Doc], ROUNDUP((ROW()-1)/9, 0))</f>
        <v/>
      </c>
      <c r="B48" t="str">
        <f>IF(OR(A48="",A48=0),"",CHOOSE(
    COUNTIF($A$2:A48,A48),
    1,2,3,4,5,6,7,8,9
))</f>
        <v/>
      </c>
      <c r="C48" t="str">
        <f t="shared" si="0"/>
        <v/>
      </c>
      <c r="D48" s="7" t="str" cm="1">
        <f t="array" ref="D48">IF(OR($A48="",$A48=0),"",
IF(AND(INDEX(Formulario!$H$14:$H$100, $A48)="Si", C48&lt;&gt;31),
        VLOOKUP("cta puente",'Descripciones de gastos'!G:H, 2, FALSE),
IF(B48=1,
        INDEX(Tabla13[Titular], MATCH($A48, Tabla1[N Doc], 0)),
IF(B48=2,
        INDEX(Tabla1[Cuenta contable], MATCH($A48, Tabla1[N Doc], 0)),
IF(B48=3,
        INDEX(Tabla13[Cta Iva 22], MATCH($A48, Tabla1[N Doc], 0)),
IF(B48=4,
        INDEX(Tabla1[Cuenta contable], MATCH($A48, Tabla1[N Doc], 0)),
IF(B48=5,
        INDEX(Tabla13[Cta Iva 10], MATCH($A48, Tabla1[N Doc], 0)),
IF(B48=6,
        INDEX(Tabla1[Cuenta contable], MATCH($A48, Tabla1[N Doc], 0)),
IF(B48=7,
        INDEX(Tabla1[Cuenta contable], MATCH($A48, Tabla1[N Doc], 0)),
IF(B48=8,
        IF(INDEX(Tabla1[Tipo IVA], MATCH($A48, Tabla1[N Doc], 0))="22%",
             INDEX(Tabla13[Cta Iva 22], MATCH($A48, Tabla1[N Doc], 0)),
             INDEX(Tabla13[Cta Iva 10], MATCH($A48, Tabla1[N Doc], 0))),
IF(B48=9,
        INDEX(Tabla1[Cuenta contable], MATCH($A48, Tabla1[N Doc], 0))
)))))))))))</f>
        <v/>
      </c>
      <c r="F48" t="str">
        <f>IF(OR($A48="",$A48=0),"",IF(B48=1,
        INDEX(Tabla1[Importe total], MATCH($A48, Tabla1[N Doc], 0)),
IF(B48=2,
        INDEX(Tabla1[Base imponible 22], MATCH($A48, Tabla1[N Doc], 0)),
IF(B48=3,
        INDEX(Tabla1[Iva 22], MATCH($A48, Tabla1[N Doc], 0)),
IF(B48=4,
        INDEX(Tabla1[Base imponible 10], MATCH($A48, Tabla1[N Doc], 0)),
IF(B48=5,
        INDEX(Tabla1[Iva 10], MATCH($A48, Tabla1[N Doc], 0)),
IF(B48=6,
        INDEX(Tabla1[Exento], MATCH($A48, Tabla1[N Doc], 0)),
IF(B48=7,
        INDEX(#REF!, MATCH($A48, Tabla1[N Doc], 0)),
IF(B48=8,
        INDEX(#REF!, MATCH($A48, Tabla1[N Doc], 0)),
IF(B48=9,
        INDEX(Tabla1[Descuentos], MATCH($A48, Tabla1[N Doc], 0)),
""))))))))))</f>
        <v/>
      </c>
      <c r="G48" t="str">
        <f>IF(OR($A48="",$A48=0),"",IF(OR(B48=2,B48=4,B48=6,B48=7),
    INDEX(Tabla13[Ind impuestos], MATCH($A48, Tabla13[N Doc], 0)),
""))</f>
        <v/>
      </c>
      <c r="J48" t="str">
        <f>IF(OR($A48="",$A48=0),"",IF(OR(B48=2,B48=4,B48=6,B48=7),
    INDEX(Tabla1[CECO], MATCH($A48, Tabla1[N Doc], 0)),
""))</f>
        <v/>
      </c>
      <c r="M48" t="str">
        <f>IF(C48=31,INDEX(Tabla1[Descripción], MATCH($A48, Tabla1[N Doc], 0)),"")</f>
        <v/>
      </c>
    </row>
    <row r="49" spans="1:13" x14ac:dyDescent="0.3">
      <c r="A49" t="str" cm="1">
        <f t="array" ref="A49">INDEX(Tabla1[N Doc], ROUNDUP((ROW()-1)/9, 0))</f>
        <v/>
      </c>
      <c r="B49" t="str">
        <f>IF(OR(A49="",A49=0),"",CHOOSE(
    COUNTIF($A$2:A49,A49),
    1,2,3,4,5,6,7,8,9
))</f>
        <v/>
      </c>
      <c r="C49" t="str">
        <f t="shared" si="0"/>
        <v/>
      </c>
      <c r="D49" s="7" t="str" cm="1">
        <f t="array" ref="D49">IF(OR($A49="",$A49=0),"",
IF(AND(INDEX(Formulario!$H$14:$H$100, $A49)="Si", C49&lt;&gt;31),
        VLOOKUP("cta puente",'Descripciones de gastos'!G:H, 2, FALSE),
IF(B49=1,
        INDEX(Tabla13[Titular], MATCH($A49, Tabla1[N Doc], 0)),
IF(B49=2,
        INDEX(Tabla1[Cuenta contable], MATCH($A49, Tabla1[N Doc], 0)),
IF(B49=3,
        INDEX(Tabla13[Cta Iva 22], MATCH($A49, Tabla1[N Doc], 0)),
IF(B49=4,
        INDEX(Tabla1[Cuenta contable], MATCH($A49, Tabla1[N Doc], 0)),
IF(B49=5,
        INDEX(Tabla13[Cta Iva 10], MATCH($A49, Tabla1[N Doc], 0)),
IF(B49=6,
        INDEX(Tabla1[Cuenta contable], MATCH($A49, Tabla1[N Doc], 0)),
IF(B49=7,
        INDEX(Tabla1[Cuenta contable], MATCH($A49, Tabla1[N Doc], 0)),
IF(B49=8,
        IF(INDEX(Tabla1[Tipo IVA], MATCH($A49, Tabla1[N Doc], 0))="22%",
             INDEX(Tabla13[Cta Iva 22], MATCH($A49, Tabla1[N Doc], 0)),
             INDEX(Tabla13[Cta Iva 10], MATCH($A49, Tabla1[N Doc], 0))),
IF(B49=9,
        INDEX(Tabla1[Cuenta contable], MATCH($A49, Tabla1[N Doc], 0))
)))))))))))</f>
        <v/>
      </c>
      <c r="F49" t="str">
        <f>IF(OR($A49="",$A49=0),"",IF(B49=1,
        INDEX(Tabla1[Importe total], MATCH($A49, Tabla1[N Doc], 0)),
IF(B49=2,
        INDEX(Tabla1[Base imponible 22], MATCH($A49, Tabla1[N Doc], 0)),
IF(B49=3,
        INDEX(Tabla1[Iva 22], MATCH($A49, Tabla1[N Doc], 0)),
IF(B49=4,
        INDEX(Tabla1[Base imponible 10], MATCH($A49, Tabla1[N Doc], 0)),
IF(B49=5,
        INDEX(Tabla1[Iva 10], MATCH($A49, Tabla1[N Doc], 0)),
IF(B49=6,
        INDEX(Tabla1[Exento], MATCH($A49, Tabla1[N Doc], 0)),
IF(B49=7,
        INDEX(#REF!, MATCH($A49, Tabla1[N Doc], 0)),
IF(B49=8,
        INDEX(#REF!, MATCH($A49, Tabla1[N Doc], 0)),
IF(B49=9,
        INDEX(Tabla1[Descuentos], MATCH($A49, Tabla1[N Doc], 0)),
""))))))))))</f>
        <v/>
      </c>
      <c r="G49" t="str">
        <f>IF(OR($A49="",$A49=0),"",IF(OR(B49=2,B49=4,B49=6,B49=7),
    INDEX(Tabla13[Ind impuestos], MATCH($A49, Tabla13[N Doc], 0)),
""))</f>
        <v/>
      </c>
      <c r="J49" t="str">
        <f>IF(OR($A49="",$A49=0),"",IF(OR(B49=2,B49=4,B49=6,B49=7),
    INDEX(Tabla1[CECO], MATCH($A49, Tabla1[N Doc], 0)),
""))</f>
        <v/>
      </c>
      <c r="M49" t="str">
        <f>IF(C49=31,INDEX(Tabla1[Descripción], MATCH($A49, Tabla1[N Doc], 0)),"")</f>
        <v/>
      </c>
    </row>
    <row r="50" spans="1:13" x14ac:dyDescent="0.3">
      <c r="A50" t="str" cm="1">
        <f t="array" ref="A50">INDEX(Tabla1[N Doc], ROUNDUP((ROW()-1)/9, 0))</f>
        <v/>
      </c>
      <c r="B50" t="str">
        <f>IF(OR(A50="",A50=0),"",CHOOSE(
    COUNTIF($A$2:A50,A50),
    1,2,3,4,5,6,7,8,9
))</f>
        <v/>
      </c>
      <c r="C50" t="str">
        <f t="shared" si="0"/>
        <v/>
      </c>
      <c r="D50" s="7" t="str" cm="1">
        <f t="array" ref="D50">IF(OR($A50="",$A50=0),"",
IF(AND(INDEX(Formulario!$H$14:$H$100, $A50)="Si", C50&lt;&gt;31),
        VLOOKUP("cta puente",'Descripciones de gastos'!G:H, 2, FALSE),
IF(B50=1,
        INDEX(Tabla13[Titular], MATCH($A50, Tabla1[N Doc], 0)),
IF(B50=2,
        INDEX(Tabla1[Cuenta contable], MATCH($A50, Tabla1[N Doc], 0)),
IF(B50=3,
        INDEX(Tabla13[Cta Iva 22], MATCH($A50, Tabla1[N Doc], 0)),
IF(B50=4,
        INDEX(Tabla1[Cuenta contable], MATCH($A50, Tabla1[N Doc], 0)),
IF(B50=5,
        INDEX(Tabla13[Cta Iva 10], MATCH($A50, Tabla1[N Doc], 0)),
IF(B50=6,
        INDEX(Tabla1[Cuenta contable], MATCH($A50, Tabla1[N Doc], 0)),
IF(B50=7,
        INDEX(Tabla1[Cuenta contable], MATCH($A50, Tabla1[N Doc], 0)),
IF(B50=8,
        IF(INDEX(Tabla1[Tipo IVA], MATCH($A50, Tabla1[N Doc], 0))="22%",
             INDEX(Tabla13[Cta Iva 22], MATCH($A50, Tabla1[N Doc], 0)),
             INDEX(Tabla13[Cta Iva 10], MATCH($A50, Tabla1[N Doc], 0))),
IF(B50=9,
        INDEX(Tabla1[Cuenta contable], MATCH($A50, Tabla1[N Doc], 0))
)))))))))))</f>
        <v/>
      </c>
      <c r="F50" t="str">
        <f>IF(OR($A50="",$A50=0),"",IF(B50=1,
        INDEX(Tabla1[Importe total], MATCH($A50, Tabla1[N Doc], 0)),
IF(B50=2,
        INDEX(Tabla1[Base imponible 22], MATCH($A50, Tabla1[N Doc], 0)),
IF(B50=3,
        INDEX(Tabla1[Iva 22], MATCH($A50, Tabla1[N Doc], 0)),
IF(B50=4,
        INDEX(Tabla1[Base imponible 10], MATCH($A50, Tabla1[N Doc], 0)),
IF(B50=5,
        INDEX(Tabla1[Iva 10], MATCH($A50, Tabla1[N Doc], 0)),
IF(B50=6,
        INDEX(Tabla1[Exento], MATCH($A50, Tabla1[N Doc], 0)),
IF(B50=7,
        INDEX(#REF!, MATCH($A50, Tabla1[N Doc], 0)),
IF(B50=8,
        INDEX(#REF!, MATCH($A50, Tabla1[N Doc], 0)),
IF(B50=9,
        INDEX(Tabla1[Descuentos], MATCH($A50, Tabla1[N Doc], 0)),
""))))))))))</f>
        <v/>
      </c>
      <c r="G50" t="str">
        <f>IF(OR($A50="",$A50=0),"",IF(OR(B50=2,B50=4,B50=6,B50=7),
    INDEX(Tabla13[Ind impuestos], MATCH($A50, Tabla13[N Doc], 0)),
""))</f>
        <v/>
      </c>
      <c r="J50" t="str">
        <f>IF(OR($A50="",$A50=0),"",IF(OR(B50=2,B50=4,B50=6,B50=7),
    INDEX(Tabla1[CECO], MATCH($A50, Tabla1[N Doc], 0)),
""))</f>
        <v/>
      </c>
      <c r="M50" t="str">
        <f>IF(C50=31,INDEX(Tabla1[Descripción], MATCH($A50, Tabla1[N Doc], 0)),"")</f>
        <v/>
      </c>
    </row>
    <row r="51" spans="1:13" x14ac:dyDescent="0.3">
      <c r="A51" t="str" cm="1">
        <f t="array" ref="A51">INDEX(Tabla1[N Doc], ROUNDUP((ROW()-1)/9, 0))</f>
        <v/>
      </c>
      <c r="B51" t="str">
        <f>IF(OR(A51="",A51=0),"",CHOOSE(
    COUNTIF($A$2:A51,A51),
    1,2,3,4,5,6,7,8,9
))</f>
        <v/>
      </c>
      <c r="C51" t="str">
        <f t="shared" si="0"/>
        <v/>
      </c>
      <c r="D51" s="7" t="str" cm="1">
        <f t="array" ref="D51">IF(OR($A51="",$A51=0),"",
IF(AND(INDEX(Formulario!$H$14:$H$100, $A51)="Si", C51&lt;&gt;31),
        VLOOKUP("cta puente",'Descripciones de gastos'!G:H, 2, FALSE),
IF(B51=1,
        INDEX(Tabla13[Titular], MATCH($A51, Tabla1[N Doc], 0)),
IF(B51=2,
        INDEX(Tabla1[Cuenta contable], MATCH($A51, Tabla1[N Doc], 0)),
IF(B51=3,
        INDEX(Tabla13[Cta Iva 22], MATCH($A51, Tabla1[N Doc], 0)),
IF(B51=4,
        INDEX(Tabla1[Cuenta contable], MATCH($A51, Tabla1[N Doc], 0)),
IF(B51=5,
        INDEX(Tabla13[Cta Iva 10], MATCH($A51, Tabla1[N Doc], 0)),
IF(B51=6,
        INDEX(Tabla1[Cuenta contable], MATCH($A51, Tabla1[N Doc], 0)),
IF(B51=7,
        INDEX(Tabla1[Cuenta contable], MATCH($A51, Tabla1[N Doc], 0)),
IF(B51=8,
        IF(INDEX(Tabla1[Tipo IVA], MATCH($A51, Tabla1[N Doc], 0))="22%",
             INDEX(Tabla13[Cta Iva 22], MATCH($A51, Tabla1[N Doc], 0)),
             INDEX(Tabla13[Cta Iva 10], MATCH($A51, Tabla1[N Doc], 0))),
IF(B51=9,
        INDEX(Tabla1[Cuenta contable], MATCH($A51, Tabla1[N Doc], 0))
)))))))))))</f>
        <v/>
      </c>
      <c r="F51" t="str">
        <f>IF(OR($A51="",$A51=0),"",IF(B51=1,
        INDEX(Tabla1[Importe total], MATCH($A51, Tabla1[N Doc], 0)),
IF(B51=2,
        INDEX(Tabla1[Base imponible 22], MATCH($A51, Tabla1[N Doc], 0)),
IF(B51=3,
        INDEX(Tabla1[Iva 22], MATCH($A51, Tabla1[N Doc], 0)),
IF(B51=4,
        INDEX(Tabla1[Base imponible 10], MATCH($A51, Tabla1[N Doc], 0)),
IF(B51=5,
        INDEX(Tabla1[Iva 10], MATCH($A51, Tabla1[N Doc], 0)),
IF(B51=6,
        INDEX(Tabla1[Exento], MATCH($A51, Tabla1[N Doc], 0)),
IF(B51=7,
        INDEX(#REF!, MATCH($A51, Tabla1[N Doc], 0)),
IF(B51=8,
        INDEX(#REF!, MATCH($A51, Tabla1[N Doc], 0)),
IF(B51=9,
        INDEX(Tabla1[Descuentos], MATCH($A51, Tabla1[N Doc], 0)),
""))))))))))</f>
        <v/>
      </c>
      <c r="G51" t="str">
        <f>IF(OR($A51="",$A51=0),"",IF(OR(B51=2,B51=4,B51=6,B51=7),
    INDEX(Tabla13[Ind impuestos], MATCH($A51, Tabla13[N Doc], 0)),
""))</f>
        <v/>
      </c>
      <c r="J51" t="str">
        <f>IF(OR($A51="",$A51=0),"",IF(OR(B51=2,B51=4,B51=6,B51=7),
    INDEX(Tabla1[CECO], MATCH($A51, Tabla1[N Doc], 0)),
""))</f>
        <v/>
      </c>
      <c r="M51" t="str">
        <f>IF(C51=31,INDEX(Tabla1[Descripción], MATCH($A51, Tabla1[N Doc], 0)),"")</f>
        <v/>
      </c>
    </row>
    <row r="52" spans="1:13" x14ac:dyDescent="0.3">
      <c r="A52" t="str" cm="1">
        <f t="array" ref="A52">INDEX(Tabla1[N Doc], ROUNDUP((ROW()-1)/9, 0))</f>
        <v/>
      </c>
      <c r="B52" t="str">
        <f>IF(OR(A52="",A52=0),"",CHOOSE(
    COUNTIF($A$2:A52,A52),
    1,2,3,4,5,6,7,8,9
))</f>
        <v/>
      </c>
      <c r="C52" t="str">
        <f t="shared" si="0"/>
        <v/>
      </c>
      <c r="D52" s="7" t="str" cm="1">
        <f t="array" ref="D52">IF(OR($A52="",$A52=0),"",
IF(AND(INDEX(Formulario!$H$14:$H$100, $A52)="Si", C52&lt;&gt;31),
        VLOOKUP("cta puente",'Descripciones de gastos'!G:H, 2, FALSE),
IF(B52=1,
        INDEX(Tabla13[Titular], MATCH($A52, Tabla1[N Doc], 0)),
IF(B52=2,
        INDEX(Tabla1[Cuenta contable], MATCH($A52, Tabla1[N Doc], 0)),
IF(B52=3,
        INDEX(Tabla13[Cta Iva 22], MATCH($A52, Tabla1[N Doc], 0)),
IF(B52=4,
        INDEX(Tabla1[Cuenta contable], MATCH($A52, Tabla1[N Doc], 0)),
IF(B52=5,
        INDEX(Tabla13[Cta Iva 10], MATCH($A52, Tabla1[N Doc], 0)),
IF(B52=6,
        INDEX(Tabla1[Cuenta contable], MATCH($A52, Tabla1[N Doc], 0)),
IF(B52=7,
        INDEX(Tabla1[Cuenta contable], MATCH($A52, Tabla1[N Doc], 0)),
IF(B52=8,
        IF(INDEX(Tabla1[Tipo IVA], MATCH($A52, Tabla1[N Doc], 0))="22%",
             INDEX(Tabla13[Cta Iva 22], MATCH($A52, Tabla1[N Doc], 0)),
             INDEX(Tabla13[Cta Iva 10], MATCH($A52, Tabla1[N Doc], 0))),
IF(B52=9,
        INDEX(Tabla1[Cuenta contable], MATCH($A52, Tabla1[N Doc], 0))
)))))))))))</f>
        <v/>
      </c>
      <c r="F52" t="str">
        <f>IF(OR($A52="",$A52=0),"",IF(B52=1,
        INDEX(Tabla1[Importe total], MATCH($A52, Tabla1[N Doc], 0)),
IF(B52=2,
        INDEX(Tabla1[Base imponible 22], MATCH($A52, Tabla1[N Doc], 0)),
IF(B52=3,
        INDEX(Tabla1[Iva 22], MATCH($A52, Tabla1[N Doc], 0)),
IF(B52=4,
        INDEX(Tabla1[Base imponible 10], MATCH($A52, Tabla1[N Doc], 0)),
IF(B52=5,
        INDEX(Tabla1[Iva 10], MATCH($A52, Tabla1[N Doc], 0)),
IF(B52=6,
        INDEX(Tabla1[Exento], MATCH($A52, Tabla1[N Doc], 0)),
IF(B52=7,
        INDEX(#REF!, MATCH($A52, Tabla1[N Doc], 0)),
IF(B52=8,
        INDEX(#REF!, MATCH($A52, Tabla1[N Doc], 0)),
IF(B52=9,
        INDEX(Tabla1[Descuentos], MATCH($A52, Tabla1[N Doc], 0)),
""))))))))))</f>
        <v/>
      </c>
      <c r="G52" t="str">
        <f>IF(OR($A52="",$A52=0),"",IF(OR(B52=2,B52=4,B52=6,B52=7),
    INDEX(Tabla13[Ind impuestos], MATCH($A52, Tabla13[N Doc], 0)),
""))</f>
        <v/>
      </c>
      <c r="J52" t="str">
        <f>IF(OR($A52="",$A52=0),"",IF(OR(B52=2,B52=4,B52=6,B52=7),
    INDEX(Tabla1[CECO], MATCH($A52, Tabla1[N Doc], 0)),
""))</f>
        <v/>
      </c>
      <c r="M52" t="str">
        <f>IF(C52=31,INDEX(Tabla1[Descripción], MATCH($A52, Tabla1[N Doc], 0)),"")</f>
        <v/>
      </c>
    </row>
    <row r="53" spans="1:13" x14ac:dyDescent="0.3">
      <c r="A53" t="str" cm="1">
        <f t="array" ref="A53">INDEX(Tabla1[N Doc], ROUNDUP((ROW()-1)/9, 0))</f>
        <v/>
      </c>
      <c r="B53" t="str">
        <f>IF(OR(A53="",A53=0),"",CHOOSE(
    COUNTIF($A$2:A53,A53),
    1,2,3,4,5,6,7,8,9
))</f>
        <v/>
      </c>
      <c r="C53" t="str">
        <f t="shared" si="0"/>
        <v/>
      </c>
      <c r="D53" s="7" t="str" cm="1">
        <f t="array" ref="D53">IF(OR($A53="",$A53=0),"",
IF(AND(INDEX(Formulario!$H$14:$H$100, $A53)="Si", C53&lt;&gt;31),
        VLOOKUP("cta puente",'Descripciones de gastos'!G:H, 2, FALSE),
IF(B53=1,
        INDEX(Tabla13[Titular], MATCH($A53, Tabla1[N Doc], 0)),
IF(B53=2,
        INDEX(Tabla1[Cuenta contable], MATCH($A53, Tabla1[N Doc], 0)),
IF(B53=3,
        INDEX(Tabla13[Cta Iva 22], MATCH($A53, Tabla1[N Doc], 0)),
IF(B53=4,
        INDEX(Tabla1[Cuenta contable], MATCH($A53, Tabla1[N Doc], 0)),
IF(B53=5,
        INDEX(Tabla13[Cta Iva 10], MATCH($A53, Tabla1[N Doc], 0)),
IF(B53=6,
        INDEX(Tabla1[Cuenta contable], MATCH($A53, Tabla1[N Doc], 0)),
IF(B53=7,
        INDEX(Tabla1[Cuenta contable], MATCH($A53, Tabla1[N Doc], 0)),
IF(B53=8,
        IF(INDEX(Tabla1[Tipo IVA], MATCH($A53, Tabla1[N Doc], 0))="22%",
             INDEX(Tabla13[Cta Iva 22], MATCH($A53, Tabla1[N Doc], 0)),
             INDEX(Tabla13[Cta Iva 10], MATCH($A53, Tabla1[N Doc], 0))),
IF(B53=9,
        INDEX(Tabla1[Cuenta contable], MATCH($A53, Tabla1[N Doc], 0))
)))))))))))</f>
        <v/>
      </c>
      <c r="F53" t="str">
        <f>IF(OR($A53="",$A53=0),"",IF(B53=1,
        INDEX(Tabla1[Importe total], MATCH($A53, Tabla1[N Doc], 0)),
IF(B53=2,
        INDEX(Tabla1[Base imponible 22], MATCH($A53, Tabla1[N Doc], 0)),
IF(B53=3,
        INDEX(Tabla1[Iva 22], MATCH($A53, Tabla1[N Doc], 0)),
IF(B53=4,
        INDEX(Tabla1[Base imponible 10], MATCH($A53, Tabla1[N Doc], 0)),
IF(B53=5,
        INDEX(Tabla1[Iva 10], MATCH($A53, Tabla1[N Doc], 0)),
IF(B53=6,
        INDEX(Tabla1[Exento], MATCH($A53, Tabla1[N Doc], 0)),
IF(B53=7,
        INDEX(#REF!, MATCH($A53, Tabla1[N Doc], 0)),
IF(B53=8,
        INDEX(#REF!, MATCH($A53, Tabla1[N Doc], 0)),
IF(B53=9,
        INDEX(Tabla1[Descuentos], MATCH($A53, Tabla1[N Doc], 0)),
""))))))))))</f>
        <v/>
      </c>
      <c r="G53" t="str">
        <f>IF(OR($A53="",$A53=0),"",IF(OR(B53=2,B53=4,B53=6,B53=7),
    INDEX(Tabla13[Ind impuestos], MATCH($A53, Tabla13[N Doc], 0)),
""))</f>
        <v/>
      </c>
      <c r="J53" t="str">
        <f>IF(OR($A53="",$A53=0),"",IF(OR(B53=2,B53=4,B53=6,B53=7),
    INDEX(Tabla1[CECO], MATCH($A53, Tabla1[N Doc], 0)),
""))</f>
        <v/>
      </c>
      <c r="M53" t="str">
        <f>IF(C53=31,INDEX(Tabla1[Descripción], MATCH($A53, Tabla1[N Doc], 0)),"")</f>
        <v/>
      </c>
    </row>
    <row r="54" spans="1:13" x14ac:dyDescent="0.3">
      <c r="A54" t="str" cm="1">
        <f t="array" ref="A54">INDEX(Tabla1[N Doc], ROUNDUP((ROW()-1)/9, 0))</f>
        <v/>
      </c>
      <c r="B54" t="str">
        <f>IF(OR(A54="",A54=0),"",CHOOSE(
    COUNTIF($A$2:A54,A54),
    1,2,3,4,5,6,7,8,9
))</f>
        <v/>
      </c>
      <c r="C54" t="str">
        <f t="shared" si="0"/>
        <v/>
      </c>
      <c r="D54" s="7" t="str" cm="1">
        <f t="array" ref="D54">IF(OR($A54="",$A54=0),"",
IF(AND(INDEX(Formulario!$H$14:$H$100, $A54)="Si", C54&lt;&gt;31),
        VLOOKUP("cta puente",'Descripciones de gastos'!G:H, 2, FALSE),
IF(B54=1,
        INDEX(Tabla13[Titular], MATCH($A54, Tabla1[N Doc], 0)),
IF(B54=2,
        INDEX(Tabla1[Cuenta contable], MATCH($A54, Tabla1[N Doc], 0)),
IF(B54=3,
        INDEX(Tabla13[Cta Iva 22], MATCH($A54, Tabla1[N Doc], 0)),
IF(B54=4,
        INDEX(Tabla1[Cuenta contable], MATCH($A54, Tabla1[N Doc], 0)),
IF(B54=5,
        INDEX(Tabla13[Cta Iva 10], MATCH($A54, Tabla1[N Doc], 0)),
IF(B54=6,
        INDEX(Tabla1[Cuenta contable], MATCH($A54, Tabla1[N Doc], 0)),
IF(B54=7,
        INDEX(Tabla1[Cuenta contable], MATCH($A54, Tabla1[N Doc], 0)),
IF(B54=8,
        IF(INDEX(Tabla1[Tipo IVA], MATCH($A54, Tabla1[N Doc], 0))="22%",
             INDEX(Tabla13[Cta Iva 22], MATCH($A54, Tabla1[N Doc], 0)),
             INDEX(Tabla13[Cta Iva 10], MATCH($A54, Tabla1[N Doc], 0))),
IF(B54=9,
        INDEX(Tabla1[Cuenta contable], MATCH($A54, Tabla1[N Doc], 0))
)))))))))))</f>
        <v/>
      </c>
      <c r="F54" t="str">
        <f>IF(OR($A54="",$A54=0),"",IF(B54=1,
        INDEX(Tabla1[Importe total], MATCH($A54, Tabla1[N Doc], 0)),
IF(B54=2,
        INDEX(Tabla1[Base imponible 22], MATCH($A54, Tabla1[N Doc], 0)),
IF(B54=3,
        INDEX(Tabla1[Iva 22], MATCH($A54, Tabla1[N Doc], 0)),
IF(B54=4,
        INDEX(Tabla1[Base imponible 10], MATCH($A54, Tabla1[N Doc], 0)),
IF(B54=5,
        INDEX(Tabla1[Iva 10], MATCH($A54, Tabla1[N Doc], 0)),
IF(B54=6,
        INDEX(Tabla1[Exento], MATCH($A54, Tabla1[N Doc], 0)),
IF(B54=7,
        INDEX(#REF!, MATCH($A54, Tabla1[N Doc], 0)),
IF(B54=8,
        INDEX(#REF!, MATCH($A54, Tabla1[N Doc], 0)),
IF(B54=9,
        INDEX(Tabla1[Descuentos], MATCH($A54, Tabla1[N Doc], 0)),
""))))))))))</f>
        <v/>
      </c>
      <c r="G54" t="str">
        <f>IF(OR($A54="",$A54=0),"",IF(OR(B54=2,B54=4,B54=6,B54=7),
    INDEX(Tabla13[Ind impuestos], MATCH($A54, Tabla13[N Doc], 0)),
""))</f>
        <v/>
      </c>
      <c r="J54" t="str">
        <f>IF(OR($A54="",$A54=0),"",IF(OR(B54=2,B54=4,B54=6,B54=7),
    INDEX(Tabla1[CECO], MATCH($A54, Tabla1[N Doc], 0)),
""))</f>
        <v/>
      </c>
      <c r="M54" t="str">
        <f>IF(C54=31,INDEX(Tabla1[Descripción], MATCH($A54, Tabla1[N Doc], 0)),"")</f>
        <v/>
      </c>
    </row>
    <row r="55" spans="1:13" x14ac:dyDescent="0.3">
      <c r="A55" t="str" cm="1">
        <f t="array" ref="A55">INDEX(Tabla1[N Doc], ROUNDUP((ROW()-1)/9, 0))</f>
        <v/>
      </c>
      <c r="B55" t="str">
        <f>IF(OR(A55="",A55=0),"",CHOOSE(
    COUNTIF($A$2:A55,A55),
    1,2,3,4,5,6,7,8,9
))</f>
        <v/>
      </c>
      <c r="C55" t="str">
        <f t="shared" si="0"/>
        <v/>
      </c>
      <c r="D55" s="7" t="str" cm="1">
        <f t="array" ref="D55">IF(OR($A55="",$A55=0),"",
IF(AND(INDEX(Formulario!$H$14:$H$100, $A55)="Si", C55&lt;&gt;31),
        VLOOKUP("cta puente",'Descripciones de gastos'!G:H, 2, FALSE),
IF(B55=1,
        INDEX(Tabla13[Titular], MATCH($A55, Tabla1[N Doc], 0)),
IF(B55=2,
        INDEX(Tabla1[Cuenta contable], MATCH($A55, Tabla1[N Doc], 0)),
IF(B55=3,
        INDEX(Tabla13[Cta Iva 22], MATCH($A55, Tabla1[N Doc], 0)),
IF(B55=4,
        INDEX(Tabla1[Cuenta contable], MATCH($A55, Tabla1[N Doc], 0)),
IF(B55=5,
        INDEX(Tabla13[Cta Iva 10], MATCH($A55, Tabla1[N Doc], 0)),
IF(B55=6,
        INDEX(Tabla1[Cuenta contable], MATCH($A55, Tabla1[N Doc], 0)),
IF(B55=7,
        INDEX(Tabla1[Cuenta contable], MATCH($A55, Tabla1[N Doc], 0)),
IF(B55=8,
        IF(INDEX(Tabla1[Tipo IVA], MATCH($A55, Tabla1[N Doc], 0))="22%",
             INDEX(Tabla13[Cta Iva 22], MATCH($A55, Tabla1[N Doc], 0)),
             INDEX(Tabla13[Cta Iva 10], MATCH($A55, Tabla1[N Doc], 0))),
IF(B55=9,
        INDEX(Tabla1[Cuenta contable], MATCH($A55, Tabla1[N Doc], 0))
)))))))))))</f>
        <v/>
      </c>
      <c r="F55" t="str">
        <f>IF(OR($A55="",$A55=0),"",IF(B55=1,
        INDEX(Tabla1[Importe total], MATCH($A55, Tabla1[N Doc], 0)),
IF(B55=2,
        INDEX(Tabla1[Base imponible 22], MATCH($A55, Tabla1[N Doc], 0)),
IF(B55=3,
        INDEX(Tabla1[Iva 22], MATCH($A55, Tabla1[N Doc], 0)),
IF(B55=4,
        INDEX(Tabla1[Base imponible 10], MATCH($A55, Tabla1[N Doc], 0)),
IF(B55=5,
        INDEX(Tabla1[Iva 10], MATCH($A55, Tabla1[N Doc], 0)),
IF(B55=6,
        INDEX(Tabla1[Exento], MATCH($A55, Tabla1[N Doc], 0)),
IF(B55=7,
        INDEX(#REF!, MATCH($A55, Tabla1[N Doc], 0)),
IF(B55=8,
        INDEX(#REF!, MATCH($A55, Tabla1[N Doc], 0)),
IF(B55=9,
        INDEX(Tabla1[Descuentos], MATCH($A55, Tabla1[N Doc], 0)),
""))))))))))</f>
        <v/>
      </c>
      <c r="G55" t="str">
        <f>IF(OR($A55="",$A55=0),"",IF(OR(B55=2,B55=4,B55=6,B55=7),
    INDEX(Tabla13[Ind impuestos], MATCH($A55, Tabla13[N Doc], 0)),
""))</f>
        <v/>
      </c>
      <c r="J55" t="str">
        <f>IF(OR($A55="",$A55=0),"",IF(OR(B55=2,B55=4,B55=6,B55=7),
    INDEX(Tabla1[CECO], MATCH($A55, Tabla1[N Doc], 0)),
""))</f>
        <v/>
      </c>
      <c r="M55" t="str">
        <f>IF(C55=31,INDEX(Tabla1[Descripción], MATCH($A55, Tabla1[N Doc], 0)),"")</f>
        <v/>
      </c>
    </row>
    <row r="56" spans="1:13" x14ac:dyDescent="0.3">
      <c r="A56" t="str" cm="1">
        <f t="array" ref="A56">INDEX(Tabla1[N Doc], ROUNDUP((ROW()-1)/9, 0))</f>
        <v/>
      </c>
      <c r="B56" t="str">
        <f>IF(OR(A56="",A56=0),"",CHOOSE(
    COUNTIF($A$2:A56,A56),
    1,2,3,4,5,6,7,8,9
))</f>
        <v/>
      </c>
      <c r="C56" t="str">
        <f t="shared" si="0"/>
        <v/>
      </c>
      <c r="D56" s="7" t="str" cm="1">
        <f t="array" ref="D56">IF(OR($A56="",$A56=0),"",
IF(AND(INDEX(Formulario!$H$14:$H$100, $A56)="Si", C56&lt;&gt;31),
        VLOOKUP("cta puente",'Descripciones de gastos'!G:H, 2, FALSE),
IF(B56=1,
        INDEX(Tabla13[Titular], MATCH($A56, Tabla1[N Doc], 0)),
IF(B56=2,
        INDEX(Tabla1[Cuenta contable], MATCH($A56, Tabla1[N Doc], 0)),
IF(B56=3,
        INDEX(Tabla13[Cta Iva 22], MATCH($A56, Tabla1[N Doc], 0)),
IF(B56=4,
        INDEX(Tabla1[Cuenta contable], MATCH($A56, Tabla1[N Doc], 0)),
IF(B56=5,
        INDEX(Tabla13[Cta Iva 10], MATCH($A56, Tabla1[N Doc], 0)),
IF(B56=6,
        INDEX(Tabla1[Cuenta contable], MATCH($A56, Tabla1[N Doc], 0)),
IF(B56=7,
        INDEX(Tabla1[Cuenta contable], MATCH($A56, Tabla1[N Doc], 0)),
IF(B56=8,
        IF(INDEX(Tabla1[Tipo IVA], MATCH($A56, Tabla1[N Doc], 0))="22%",
             INDEX(Tabla13[Cta Iva 22], MATCH($A56, Tabla1[N Doc], 0)),
             INDEX(Tabla13[Cta Iva 10], MATCH($A56, Tabla1[N Doc], 0))),
IF(B56=9,
        INDEX(Tabla1[Cuenta contable], MATCH($A56, Tabla1[N Doc], 0))
)))))))))))</f>
        <v/>
      </c>
      <c r="F56" t="str">
        <f>IF(OR($A56="",$A56=0),"",IF(B56=1,
        INDEX(Tabla1[Importe total], MATCH($A56, Tabla1[N Doc], 0)),
IF(B56=2,
        INDEX(Tabla1[Base imponible 22], MATCH($A56, Tabla1[N Doc], 0)),
IF(B56=3,
        INDEX(Tabla1[Iva 22], MATCH($A56, Tabla1[N Doc], 0)),
IF(B56=4,
        INDEX(Tabla1[Base imponible 10], MATCH($A56, Tabla1[N Doc], 0)),
IF(B56=5,
        INDEX(Tabla1[Iva 10], MATCH($A56, Tabla1[N Doc], 0)),
IF(B56=6,
        INDEX(Tabla1[Exento], MATCH($A56, Tabla1[N Doc], 0)),
IF(B56=7,
        INDEX(#REF!, MATCH($A56, Tabla1[N Doc], 0)),
IF(B56=8,
        INDEX(#REF!, MATCH($A56, Tabla1[N Doc], 0)),
IF(B56=9,
        INDEX(Tabla1[Descuentos], MATCH($A56, Tabla1[N Doc], 0)),
""))))))))))</f>
        <v/>
      </c>
      <c r="G56" t="str">
        <f>IF(OR($A56="",$A56=0),"",IF(OR(B56=2,B56=4,B56=6,B56=7),
    INDEX(Tabla13[Ind impuestos], MATCH($A56, Tabla13[N Doc], 0)),
""))</f>
        <v/>
      </c>
      <c r="J56" t="str">
        <f>IF(OR($A56="",$A56=0),"",IF(OR(B56=2,B56=4,B56=6,B56=7),
    INDEX(Tabla1[CECO], MATCH($A56, Tabla1[N Doc], 0)),
""))</f>
        <v/>
      </c>
      <c r="M56" t="str">
        <f>IF(C56=31,INDEX(Tabla1[Descripción], MATCH($A56, Tabla1[N Doc], 0)),"")</f>
        <v/>
      </c>
    </row>
    <row r="57" spans="1:13" x14ac:dyDescent="0.3">
      <c r="A57" t="str" cm="1">
        <f t="array" ref="A57">INDEX(Tabla1[N Doc], ROUNDUP((ROW()-1)/9, 0))</f>
        <v/>
      </c>
      <c r="B57" t="str">
        <f>IF(OR(A57="",A57=0),"",CHOOSE(
    COUNTIF($A$2:A57,A57),
    1,2,3,4,5,6,7,8,9
))</f>
        <v/>
      </c>
      <c r="C57" t="str">
        <f t="shared" si="0"/>
        <v/>
      </c>
      <c r="D57" s="7" t="str" cm="1">
        <f t="array" ref="D57">IF(OR($A57="",$A57=0),"",
IF(AND(INDEX(Formulario!$H$14:$H$100, $A57)="Si", C57&lt;&gt;31),
        VLOOKUP("cta puente",'Descripciones de gastos'!G:H, 2, FALSE),
IF(B57=1,
        INDEX(Tabla13[Titular], MATCH($A57, Tabla1[N Doc], 0)),
IF(B57=2,
        INDEX(Tabla1[Cuenta contable], MATCH($A57, Tabla1[N Doc], 0)),
IF(B57=3,
        INDEX(Tabla13[Cta Iva 22], MATCH($A57, Tabla1[N Doc], 0)),
IF(B57=4,
        INDEX(Tabla1[Cuenta contable], MATCH($A57, Tabla1[N Doc], 0)),
IF(B57=5,
        INDEX(Tabla13[Cta Iva 10], MATCH($A57, Tabla1[N Doc], 0)),
IF(B57=6,
        INDEX(Tabla1[Cuenta contable], MATCH($A57, Tabla1[N Doc], 0)),
IF(B57=7,
        INDEX(Tabla1[Cuenta contable], MATCH($A57, Tabla1[N Doc], 0)),
IF(B57=8,
        IF(INDEX(Tabla1[Tipo IVA], MATCH($A57, Tabla1[N Doc], 0))="22%",
             INDEX(Tabla13[Cta Iva 22], MATCH($A57, Tabla1[N Doc], 0)),
             INDEX(Tabla13[Cta Iva 10], MATCH($A57, Tabla1[N Doc], 0))),
IF(B57=9,
        INDEX(Tabla1[Cuenta contable], MATCH($A57, Tabla1[N Doc], 0))
)))))))))))</f>
        <v/>
      </c>
      <c r="F57" t="str">
        <f>IF(OR($A57="",$A57=0),"",IF(B57=1,
        INDEX(Tabla1[Importe total], MATCH($A57, Tabla1[N Doc], 0)),
IF(B57=2,
        INDEX(Tabla1[Base imponible 22], MATCH($A57, Tabla1[N Doc], 0)),
IF(B57=3,
        INDEX(Tabla1[Iva 22], MATCH($A57, Tabla1[N Doc], 0)),
IF(B57=4,
        INDEX(Tabla1[Base imponible 10], MATCH($A57, Tabla1[N Doc], 0)),
IF(B57=5,
        INDEX(Tabla1[Iva 10], MATCH($A57, Tabla1[N Doc], 0)),
IF(B57=6,
        INDEX(Tabla1[Exento], MATCH($A57, Tabla1[N Doc], 0)),
IF(B57=7,
        INDEX(#REF!, MATCH($A57, Tabla1[N Doc], 0)),
IF(B57=8,
        INDEX(#REF!, MATCH($A57, Tabla1[N Doc], 0)),
IF(B57=9,
        INDEX(Tabla1[Descuentos], MATCH($A57, Tabla1[N Doc], 0)),
""))))))))))</f>
        <v/>
      </c>
      <c r="G57" t="str">
        <f>IF(OR($A57="",$A57=0),"",IF(OR(B57=2,B57=4,B57=6,B57=7),
    INDEX(Tabla13[Ind impuestos], MATCH($A57, Tabla13[N Doc], 0)),
""))</f>
        <v/>
      </c>
      <c r="J57" t="str">
        <f>IF(OR($A57="",$A57=0),"",IF(OR(B57=2,B57=4,B57=6,B57=7),
    INDEX(Tabla1[CECO], MATCH($A57, Tabla1[N Doc], 0)),
""))</f>
        <v/>
      </c>
      <c r="M57" t="str">
        <f>IF(C57=31,INDEX(Tabla1[Descripción], MATCH($A57, Tabla1[N Doc], 0)),"")</f>
        <v/>
      </c>
    </row>
    <row r="58" spans="1:13" x14ac:dyDescent="0.3">
      <c r="A58" t="str" cm="1">
        <f t="array" ref="A58">INDEX(Tabla1[N Doc], ROUNDUP((ROW()-1)/9, 0))</f>
        <v/>
      </c>
      <c r="B58" t="str">
        <f>IF(OR(A58="",A58=0),"",CHOOSE(
    COUNTIF($A$2:A58,A58),
    1,2,3,4,5,6,7,8,9
))</f>
        <v/>
      </c>
      <c r="C58" t="str">
        <f t="shared" si="0"/>
        <v/>
      </c>
      <c r="D58" s="7" t="str" cm="1">
        <f t="array" ref="D58">IF(OR($A58="",$A58=0),"",
IF(AND(INDEX(Formulario!$H$14:$H$100, $A58)="Si", C58&lt;&gt;31),
        VLOOKUP("cta puente",'Descripciones de gastos'!G:H, 2, FALSE),
IF(B58=1,
        INDEX(Tabla13[Titular], MATCH($A58, Tabla1[N Doc], 0)),
IF(B58=2,
        INDEX(Tabla1[Cuenta contable], MATCH($A58, Tabla1[N Doc], 0)),
IF(B58=3,
        INDEX(Tabla13[Cta Iva 22], MATCH($A58, Tabla1[N Doc], 0)),
IF(B58=4,
        INDEX(Tabla1[Cuenta contable], MATCH($A58, Tabla1[N Doc], 0)),
IF(B58=5,
        INDEX(Tabla13[Cta Iva 10], MATCH($A58, Tabla1[N Doc], 0)),
IF(B58=6,
        INDEX(Tabla1[Cuenta contable], MATCH($A58, Tabla1[N Doc], 0)),
IF(B58=7,
        INDEX(Tabla1[Cuenta contable], MATCH($A58, Tabla1[N Doc], 0)),
IF(B58=8,
        IF(INDEX(Tabla1[Tipo IVA], MATCH($A58, Tabla1[N Doc], 0))="22%",
             INDEX(Tabla13[Cta Iva 22], MATCH($A58, Tabla1[N Doc], 0)),
             INDEX(Tabla13[Cta Iva 10], MATCH($A58, Tabla1[N Doc], 0))),
IF(B58=9,
        INDEX(Tabla1[Cuenta contable], MATCH($A58, Tabla1[N Doc], 0))
)))))))))))</f>
        <v/>
      </c>
      <c r="F58" t="str">
        <f>IF(OR($A58="",$A58=0),"",IF(B58=1,
        INDEX(Tabla1[Importe total], MATCH($A58, Tabla1[N Doc], 0)),
IF(B58=2,
        INDEX(Tabla1[Base imponible 22], MATCH($A58, Tabla1[N Doc], 0)),
IF(B58=3,
        INDEX(Tabla1[Iva 22], MATCH($A58, Tabla1[N Doc], 0)),
IF(B58=4,
        INDEX(Tabla1[Base imponible 10], MATCH($A58, Tabla1[N Doc], 0)),
IF(B58=5,
        INDEX(Tabla1[Iva 10], MATCH($A58, Tabla1[N Doc], 0)),
IF(B58=6,
        INDEX(Tabla1[Exento], MATCH($A58, Tabla1[N Doc], 0)),
IF(B58=7,
        INDEX(#REF!, MATCH($A58, Tabla1[N Doc], 0)),
IF(B58=8,
        INDEX(#REF!, MATCH($A58, Tabla1[N Doc], 0)),
IF(B58=9,
        INDEX(Tabla1[Descuentos], MATCH($A58, Tabla1[N Doc], 0)),
""))))))))))</f>
        <v/>
      </c>
      <c r="G58" t="str">
        <f>IF(OR($A58="",$A58=0),"",IF(OR(B58=2,B58=4,B58=6,B58=7),
    INDEX(Tabla13[Ind impuestos], MATCH($A58, Tabla13[N Doc], 0)),
""))</f>
        <v/>
      </c>
      <c r="J58" t="str">
        <f>IF(OR($A58="",$A58=0),"",IF(OR(B58=2,B58=4,B58=6,B58=7),
    INDEX(Tabla1[CECO], MATCH($A58, Tabla1[N Doc], 0)),
""))</f>
        <v/>
      </c>
      <c r="M58" t="str">
        <f>IF(C58=31,INDEX(Tabla1[Descripción], MATCH($A58, Tabla1[N Doc], 0)),"")</f>
        <v/>
      </c>
    </row>
    <row r="59" spans="1:13" x14ac:dyDescent="0.3">
      <c r="A59" t="str" cm="1">
        <f t="array" ref="A59">INDEX(Tabla1[N Doc], ROUNDUP((ROW()-1)/9, 0))</f>
        <v/>
      </c>
      <c r="B59" t="str">
        <f>IF(OR(A59="",A59=0),"",CHOOSE(
    COUNTIF($A$2:A59,A59),
    1,2,3,4,5,6,7,8,9
))</f>
        <v/>
      </c>
      <c r="C59" t="str">
        <f t="shared" si="0"/>
        <v/>
      </c>
      <c r="D59" s="7" t="str" cm="1">
        <f t="array" ref="D59">IF(OR($A59="",$A59=0),"",
IF(AND(INDEX(Formulario!$H$14:$H$100, $A59)="Si", C59&lt;&gt;31),
        VLOOKUP("cta puente",'Descripciones de gastos'!G:H, 2, FALSE),
IF(B59=1,
        INDEX(Tabla13[Titular], MATCH($A59, Tabla1[N Doc], 0)),
IF(B59=2,
        INDEX(Tabla1[Cuenta contable], MATCH($A59, Tabla1[N Doc], 0)),
IF(B59=3,
        INDEX(Tabla13[Cta Iva 22], MATCH($A59, Tabla1[N Doc], 0)),
IF(B59=4,
        INDEX(Tabla1[Cuenta contable], MATCH($A59, Tabla1[N Doc], 0)),
IF(B59=5,
        INDEX(Tabla13[Cta Iva 10], MATCH($A59, Tabla1[N Doc], 0)),
IF(B59=6,
        INDEX(Tabla1[Cuenta contable], MATCH($A59, Tabla1[N Doc], 0)),
IF(B59=7,
        INDEX(Tabla1[Cuenta contable], MATCH($A59, Tabla1[N Doc], 0)),
IF(B59=8,
        IF(INDEX(Tabla1[Tipo IVA], MATCH($A59, Tabla1[N Doc], 0))="22%",
             INDEX(Tabla13[Cta Iva 22], MATCH($A59, Tabla1[N Doc], 0)),
             INDEX(Tabla13[Cta Iva 10], MATCH($A59, Tabla1[N Doc], 0))),
IF(B59=9,
        INDEX(Tabla1[Cuenta contable], MATCH($A59, Tabla1[N Doc], 0))
)))))))))))</f>
        <v/>
      </c>
      <c r="F59" t="str">
        <f>IF(OR($A59="",$A59=0),"",IF(B59=1,
        INDEX(Tabla1[Importe total], MATCH($A59, Tabla1[N Doc], 0)),
IF(B59=2,
        INDEX(Tabla1[Base imponible 22], MATCH($A59, Tabla1[N Doc], 0)),
IF(B59=3,
        INDEX(Tabla1[Iva 22], MATCH($A59, Tabla1[N Doc], 0)),
IF(B59=4,
        INDEX(Tabla1[Base imponible 10], MATCH($A59, Tabla1[N Doc], 0)),
IF(B59=5,
        INDEX(Tabla1[Iva 10], MATCH($A59, Tabla1[N Doc], 0)),
IF(B59=6,
        INDEX(Tabla1[Exento], MATCH($A59, Tabla1[N Doc], 0)),
IF(B59=7,
        INDEX(#REF!, MATCH($A59, Tabla1[N Doc], 0)),
IF(B59=8,
        INDEX(#REF!, MATCH($A59, Tabla1[N Doc], 0)),
IF(B59=9,
        INDEX(Tabla1[Descuentos], MATCH($A59, Tabla1[N Doc], 0)),
""))))))))))</f>
        <v/>
      </c>
      <c r="G59" t="str">
        <f>IF(OR($A59="",$A59=0),"",IF(OR(B59=2,B59=4,B59=6,B59=7),
    INDEX(Tabla13[Ind impuestos], MATCH($A59, Tabla13[N Doc], 0)),
""))</f>
        <v/>
      </c>
      <c r="J59" t="str">
        <f>IF(OR($A59="",$A59=0),"",IF(OR(B59=2,B59=4,B59=6,B59=7),
    INDEX(Tabla1[CECO], MATCH($A59, Tabla1[N Doc], 0)),
""))</f>
        <v/>
      </c>
      <c r="M59" t="str">
        <f>IF(C59=31,INDEX(Tabla1[Descripción], MATCH($A59, Tabla1[N Doc], 0)),"")</f>
        <v/>
      </c>
    </row>
    <row r="60" spans="1:13" x14ac:dyDescent="0.3">
      <c r="A60" t="str" cm="1">
        <f t="array" ref="A60">INDEX(Tabla1[N Doc], ROUNDUP((ROW()-1)/9, 0))</f>
        <v/>
      </c>
      <c r="B60" t="str">
        <f>IF(OR(A60="",A60=0),"",CHOOSE(
    COUNTIF($A$2:A60,A60),
    1,2,3,4,5,6,7,8,9
))</f>
        <v/>
      </c>
      <c r="C60" t="str">
        <f t="shared" si="0"/>
        <v/>
      </c>
      <c r="D60" s="7" t="str" cm="1">
        <f t="array" ref="D60">IF(OR($A60="",$A60=0),"",
IF(AND(INDEX(Formulario!$H$14:$H$100, $A60)="Si", C60&lt;&gt;31),
        VLOOKUP("cta puente",'Descripciones de gastos'!G:H, 2, FALSE),
IF(B60=1,
        INDEX(Tabla13[Titular], MATCH($A60, Tabla1[N Doc], 0)),
IF(B60=2,
        INDEX(Tabla1[Cuenta contable], MATCH($A60, Tabla1[N Doc], 0)),
IF(B60=3,
        INDEX(Tabla13[Cta Iva 22], MATCH($A60, Tabla1[N Doc], 0)),
IF(B60=4,
        INDEX(Tabla1[Cuenta contable], MATCH($A60, Tabla1[N Doc], 0)),
IF(B60=5,
        INDEX(Tabla13[Cta Iva 10], MATCH($A60, Tabla1[N Doc], 0)),
IF(B60=6,
        INDEX(Tabla1[Cuenta contable], MATCH($A60, Tabla1[N Doc], 0)),
IF(B60=7,
        INDEX(Tabla1[Cuenta contable], MATCH($A60, Tabla1[N Doc], 0)),
IF(B60=8,
        IF(INDEX(Tabla1[Tipo IVA], MATCH($A60, Tabla1[N Doc], 0))="22%",
             INDEX(Tabla13[Cta Iva 22], MATCH($A60, Tabla1[N Doc], 0)),
             INDEX(Tabla13[Cta Iva 10], MATCH($A60, Tabla1[N Doc], 0))),
IF(B60=9,
        INDEX(Tabla1[Cuenta contable], MATCH($A60, Tabla1[N Doc], 0))
)))))))))))</f>
        <v/>
      </c>
      <c r="F60" t="str">
        <f>IF(OR($A60="",$A60=0),"",IF(B60=1,
        INDEX(Tabla1[Importe total], MATCH($A60, Tabla1[N Doc], 0)),
IF(B60=2,
        INDEX(Tabla1[Base imponible 22], MATCH($A60, Tabla1[N Doc], 0)),
IF(B60=3,
        INDEX(Tabla1[Iva 22], MATCH($A60, Tabla1[N Doc], 0)),
IF(B60=4,
        INDEX(Tabla1[Base imponible 10], MATCH($A60, Tabla1[N Doc], 0)),
IF(B60=5,
        INDEX(Tabla1[Iva 10], MATCH($A60, Tabla1[N Doc], 0)),
IF(B60=6,
        INDEX(Tabla1[Exento], MATCH($A60, Tabla1[N Doc], 0)),
IF(B60=7,
        INDEX(#REF!, MATCH($A60, Tabla1[N Doc], 0)),
IF(B60=8,
        INDEX(#REF!, MATCH($A60, Tabla1[N Doc], 0)),
IF(B60=9,
        INDEX(Tabla1[Descuentos], MATCH($A60, Tabla1[N Doc], 0)),
""))))))))))</f>
        <v/>
      </c>
      <c r="G60" t="str">
        <f>IF(OR($A60="",$A60=0),"",IF(OR(B60=2,B60=4,B60=6,B60=7),
    INDEX(Tabla13[Ind impuestos], MATCH($A60, Tabla13[N Doc], 0)),
""))</f>
        <v/>
      </c>
      <c r="J60" t="str">
        <f>IF(OR($A60="",$A60=0),"",IF(OR(B60=2,B60=4,B60=6,B60=7),
    INDEX(Tabla1[CECO], MATCH($A60, Tabla1[N Doc], 0)),
""))</f>
        <v/>
      </c>
      <c r="M60" t="str">
        <f>IF(C60=31,INDEX(Tabla1[Descripción], MATCH($A60, Tabla1[N Doc], 0)),"")</f>
        <v/>
      </c>
    </row>
    <row r="61" spans="1:13" x14ac:dyDescent="0.3">
      <c r="A61" t="str" cm="1">
        <f t="array" ref="A61">INDEX(Tabla1[N Doc], ROUNDUP((ROW()-1)/9, 0))</f>
        <v/>
      </c>
      <c r="B61" t="str">
        <f>IF(OR(A61="",A61=0),"",CHOOSE(
    COUNTIF($A$2:A61,A61),
    1,2,3,4,5,6,7,8,9
))</f>
        <v/>
      </c>
      <c r="C61" t="str">
        <f t="shared" si="0"/>
        <v/>
      </c>
      <c r="D61" s="7" t="str" cm="1">
        <f t="array" ref="D61">IF(OR($A61="",$A61=0),"",
IF(AND(INDEX(Formulario!$H$14:$H$100, $A61)="Si", C61&lt;&gt;31),
        VLOOKUP("cta puente",'Descripciones de gastos'!G:H, 2, FALSE),
IF(B61=1,
        INDEX(Tabla13[Titular], MATCH($A61, Tabla1[N Doc], 0)),
IF(B61=2,
        INDEX(Tabla1[Cuenta contable], MATCH($A61, Tabla1[N Doc], 0)),
IF(B61=3,
        INDEX(Tabla13[Cta Iva 22], MATCH($A61, Tabla1[N Doc], 0)),
IF(B61=4,
        INDEX(Tabla1[Cuenta contable], MATCH($A61, Tabla1[N Doc], 0)),
IF(B61=5,
        INDEX(Tabla13[Cta Iva 10], MATCH($A61, Tabla1[N Doc], 0)),
IF(B61=6,
        INDEX(Tabla1[Cuenta contable], MATCH($A61, Tabla1[N Doc], 0)),
IF(B61=7,
        INDEX(Tabla1[Cuenta contable], MATCH($A61, Tabla1[N Doc], 0)),
IF(B61=8,
        IF(INDEX(Tabla1[Tipo IVA], MATCH($A61, Tabla1[N Doc], 0))="22%",
             INDEX(Tabla13[Cta Iva 22], MATCH($A61, Tabla1[N Doc], 0)),
             INDEX(Tabla13[Cta Iva 10], MATCH($A61, Tabla1[N Doc], 0))),
IF(B61=9,
        INDEX(Tabla1[Cuenta contable], MATCH($A61, Tabla1[N Doc], 0))
)))))))))))</f>
        <v/>
      </c>
      <c r="F61" t="str">
        <f>IF(OR($A61="",$A61=0),"",IF(B61=1,
        INDEX(Tabla1[Importe total], MATCH($A61, Tabla1[N Doc], 0)),
IF(B61=2,
        INDEX(Tabla1[Base imponible 22], MATCH($A61, Tabla1[N Doc], 0)),
IF(B61=3,
        INDEX(Tabla1[Iva 22], MATCH($A61, Tabla1[N Doc], 0)),
IF(B61=4,
        INDEX(Tabla1[Base imponible 10], MATCH($A61, Tabla1[N Doc], 0)),
IF(B61=5,
        INDEX(Tabla1[Iva 10], MATCH($A61, Tabla1[N Doc], 0)),
IF(B61=6,
        INDEX(Tabla1[Exento], MATCH($A61, Tabla1[N Doc], 0)),
IF(B61=7,
        INDEX(#REF!, MATCH($A61, Tabla1[N Doc], 0)),
IF(B61=8,
        INDEX(#REF!, MATCH($A61, Tabla1[N Doc], 0)),
IF(B61=9,
        INDEX(Tabla1[Descuentos], MATCH($A61, Tabla1[N Doc], 0)),
""))))))))))</f>
        <v/>
      </c>
      <c r="G61" t="str">
        <f>IF(OR($A61="",$A61=0),"",IF(OR(B61=2,B61=4,B61=6,B61=7),
    INDEX(Tabla13[Ind impuestos], MATCH($A61, Tabla13[N Doc], 0)),
""))</f>
        <v/>
      </c>
      <c r="J61" t="str">
        <f>IF(OR($A61="",$A61=0),"",IF(OR(B61=2,B61=4,B61=6,B61=7),
    INDEX(Tabla1[CECO], MATCH($A61, Tabla1[N Doc], 0)),
""))</f>
        <v/>
      </c>
      <c r="M61" t="str">
        <f>IF(C61=31,INDEX(Tabla1[Descripción], MATCH($A61, Tabla1[N Doc], 0)),"")</f>
        <v/>
      </c>
    </row>
    <row r="62" spans="1:13" x14ac:dyDescent="0.3">
      <c r="A62" t="str" cm="1">
        <f t="array" ref="A62">INDEX(Tabla1[N Doc], ROUNDUP((ROW()-1)/9, 0))</f>
        <v/>
      </c>
      <c r="B62" t="str">
        <f>IF(OR(A62="",A62=0),"",CHOOSE(
    COUNTIF($A$2:A62,A62),
    1,2,3,4,5,6,7,8,9
))</f>
        <v/>
      </c>
      <c r="C62" t="str">
        <f t="shared" si="0"/>
        <v/>
      </c>
      <c r="D62" s="7" t="str" cm="1">
        <f t="array" ref="D62">IF(OR($A62="",$A62=0),"",
IF(AND(INDEX(Formulario!$H$14:$H$100, $A62)="Si", C62&lt;&gt;31),
        VLOOKUP("cta puente",'Descripciones de gastos'!G:H, 2, FALSE),
IF(B62=1,
        INDEX(Tabla13[Titular], MATCH($A62, Tabla1[N Doc], 0)),
IF(B62=2,
        INDEX(Tabla1[Cuenta contable], MATCH($A62, Tabla1[N Doc], 0)),
IF(B62=3,
        INDEX(Tabla13[Cta Iva 22], MATCH($A62, Tabla1[N Doc], 0)),
IF(B62=4,
        INDEX(Tabla1[Cuenta contable], MATCH($A62, Tabla1[N Doc], 0)),
IF(B62=5,
        INDEX(Tabla13[Cta Iva 10], MATCH($A62, Tabla1[N Doc], 0)),
IF(B62=6,
        INDEX(Tabla1[Cuenta contable], MATCH($A62, Tabla1[N Doc], 0)),
IF(B62=7,
        INDEX(Tabla1[Cuenta contable], MATCH($A62, Tabla1[N Doc], 0)),
IF(B62=8,
        IF(INDEX(Tabla1[Tipo IVA], MATCH($A62, Tabla1[N Doc], 0))="22%",
             INDEX(Tabla13[Cta Iva 22], MATCH($A62, Tabla1[N Doc], 0)),
             INDEX(Tabla13[Cta Iva 10], MATCH($A62, Tabla1[N Doc], 0))),
IF(B62=9,
        INDEX(Tabla1[Cuenta contable], MATCH($A62, Tabla1[N Doc], 0))
)))))))))))</f>
        <v/>
      </c>
      <c r="F62" t="str">
        <f>IF(OR($A62="",$A62=0),"",IF(B62=1,
        INDEX(Tabla1[Importe total], MATCH($A62, Tabla1[N Doc], 0)),
IF(B62=2,
        INDEX(Tabla1[Base imponible 22], MATCH($A62, Tabla1[N Doc], 0)),
IF(B62=3,
        INDEX(Tabla1[Iva 22], MATCH($A62, Tabla1[N Doc], 0)),
IF(B62=4,
        INDEX(Tabla1[Base imponible 10], MATCH($A62, Tabla1[N Doc], 0)),
IF(B62=5,
        INDEX(Tabla1[Iva 10], MATCH($A62, Tabla1[N Doc], 0)),
IF(B62=6,
        INDEX(Tabla1[Exento], MATCH($A62, Tabla1[N Doc], 0)),
IF(B62=7,
        INDEX(#REF!, MATCH($A62, Tabla1[N Doc], 0)),
IF(B62=8,
        INDEX(#REF!, MATCH($A62, Tabla1[N Doc], 0)),
IF(B62=9,
        INDEX(Tabla1[Descuentos], MATCH($A62, Tabla1[N Doc], 0)),
""))))))))))</f>
        <v/>
      </c>
      <c r="G62" t="str">
        <f>IF(OR($A62="",$A62=0),"",IF(OR(B62=2,B62=4,B62=6,B62=7),
    INDEX(Tabla13[Ind impuestos], MATCH($A62, Tabla13[N Doc], 0)),
""))</f>
        <v/>
      </c>
      <c r="J62" t="str">
        <f>IF(OR($A62="",$A62=0),"",IF(OR(B62=2,B62=4,B62=6,B62=7),
    INDEX(Tabla1[CECO], MATCH($A62, Tabla1[N Doc], 0)),
""))</f>
        <v/>
      </c>
      <c r="M62" t="str">
        <f>IF(C62=31,INDEX(Tabla1[Descripción], MATCH($A62, Tabla1[N Doc], 0)),"")</f>
        <v/>
      </c>
    </row>
    <row r="63" spans="1:13" x14ac:dyDescent="0.3">
      <c r="A63" t="str" cm="1">
        <f t="array" ref="A63">INDEX(Tabla1[N Doc], ROUNDUP((ROW()-1)/9, 0))</f>
        <v/>
      </c>
      <c r="B63" t="str">
        <f>IF(OR(A63="",A63=0),"",CHOOSE(
    COUNTIF($A$2:A63,A63),
    1,2,3,4,5,6,7,8,9
))</f>
        <v/>
      </c>
      <c r="C63" t="str">
        <f t="shared" si="0"/>
        <v/>
      </c>
      <c r="D63" s="7" t="str" cm="1">
        <f t="array" ref="D63">IF(OR($A63="",$A63=0),"",
IF(AND(INDEX(Formulario!$H$14:$H$100, $A63)="Si", C63&lt;&gt;31),
        VLOOKUP("cta puente",'Descripciones de gastos'!G:H, 2, FALSE),
IF(B63=1,
        INDEX(Tabla13[Titular], MATCH($A63, Tabla1[N Doc], 0)),
IF(B63=2,
        INDEX(Tabla1[Cuenta contable], MATCH($A63, Tabla1[N Doc], 0)),
IF(B63=3,
        INDEX(Tabla13[Cta Iva 22], MATCH($A63, Tabla1[N Doc], 0)),
IF(B63=4,
        INDEX(Tabla1[Cuenta contable], MATCH($A63, Tabla1[N Doc], 0)),
IF(B63=5,
        INDEX(Tabla13[Cta Iva 10], MATCH($A63, Tabla1[N Doc], 0)),
IF(B63=6,
        INDEX(Tabla1[Cuenta contable], MATCH($A63, Tabla1[N Doc], 0)),
IF(B63=7,
        INDEX(Tabla1[Cuenta contable], MATCH($A63, Tabla1[N Doc], 0)),
IF(B63=8,
        IF(INDEX(Tabla1[Tipo IVA], MATCH($A63, Tabla1[N Doc], 0))="22%",
             INDEX(Tabla13[Cta Iva 22], MATCH($A63, Tabla1[N Doc], 0)),
             INDEX(Tabla13[Cta Iva 10], MATCH($A63, Tabla1[N Doc], 0))),
IF(B63=9,
        INDEX(Tabla1[Cuenta contable], MATCH($A63, Tabla1[N Doc], 0))
)))))))))))</f>
        <v/>
      </c>
      <c r="F63" t="str">
        <f>IF(OR($A63="",$A63=0),"",IF(B63=1,
        INDEX(Tabla1[Importe total], MATCH($A63, Tabla1[N Doc], 0)),
IF(B63=2,
        INDEX(Tabla1[Base imponible 22], MATCH($A63, Tabla1[N Doc], 0)),
IF(B63=3,
        INDEX(Tabla1[Iva 22], MATCH($A63, Tabla1[N Doc], 0)),
IF(B63=4,
        INDEX(Tabla1[Base imponible 10], MATCH($A63, Tabla1[N Doc], 0)),
IF(B63=5,
        INDEX(Tabla1[Iva 10], MATCH($A63, Tabla1[N Doc], 0)),
IF(B63=6,
        INDEX(Tabla1[Exento], MATCH($A63, Tabla1[N Doc], 0)),
IF(B63=7,
        INDEX(#REF!, MATCH($A63, Tabla1[N Doc], 0)),
IF(B63=8,
        INDEX(#REF!, MATCH($A63, Tabla1[N Doc], 0)),
IF(B63=9,
        INDEX(Tabla1[Descuentos], MATCH($A63, Tabla1[N Doc], 0)),
""))))))))))</f>
        <v/>
      </c>
      <c r="G63" t="str">
        <f>IF(OR($A63="",$A63=0),"",IF(OR(B63=2,B63=4,B63=6,B63=7),
    INDEX(Tabla13[Ind impuestos], MATCH($A63, Tabla13[N Doc], 0)),
""))</f>
        <v/>
      </c>
      <c r="J63" t="str">
        <f>IF(OR($A63="",$A63=0),"",IF(OR(B63=2,B63=4,B63=6,B63=7),
    INDEX(Tabla1[CECO], MATCH($A63, Tabla1[N Doc], 0)),
""))</f>
        <v/>
      </c>
      <c r="M63" t="str">
        <f>IF(C63=31,INDEX(Tabla1[Descripción], MATCH($A63, Tabla1[N Doc], 0)),"")</f>
        <v/>
      </c>
    </row>
    <row r="64" spans="1:13" x14ac:dyDescent="0.3">
      <c r="A64" t="str" cm="1">
        <f t="array" ref="A64">INDEX(Tabla1[N Doc], ROUNDUP((ROW()-1)/9, 0))</f>
        <v/>
      </c>
      <c r="B64" t="str">
        <f>IF(OR(A64="",A64=0),"",CHOOSE(
    COUNTIF($A$2:A64,A64),
    1,2,3,4,5,6,7,8,9
))</f>
        <v/>
      </c>
      <c r="C64" t="str">
        <f t="shared" si="0"/>
        <v/>
      </c>
      <c r="D64" s="7" t="str" cm="1">
        <f t="array" ref="D64">IF(OR($A64="",$A64=0),"",
IF(AND(INDEX(Formulario!$H$14:$H$100, $A64)="Si", C64&lt;&gt;31),
        VLOOKUP("cta puente",'Descripciones de gastos'!G:H, 2, FALSE),
IF(B64=1,
        INDEX(Tabla13[Titular], MATCH($A64, Tabla1[N Doc], 0)),
IF(B64=2,
        INDEX(Tabla1[Cuenta contable], MATCH($A64, Tabla1[N Doc], 0)),
IF(B64=3,
        INDEX(Tabla13[Cta Iva 22], MATCH($A64, Tabla1[N Doc], 0)),
IF(B64=4,
        INDEX(Tabla1[Cuenta contable], MATCH($A64, Tabla1[N Doc], 0)),
IF(B64=5,
        INDEX(Tabla13[Cta Iva 10], MATCH($A64, Tabla1[N Doc], 0)),
IF(B64=6,
        INDEX(Tabla1[Cuenta contable], MATCH($A64, Tabla1[N Doc], 0)),
IF(B64=7,
        INDEX(Tabla1[Cuenta contable], MATCH($A64, Tabla1[N Doc], 0)),
IF(B64=8,
        IF(INDEX(Tabla1[Tipo IVA], MATCH($A64, Tabla1[N Doc], 0))="22%",
             INDEX(Tabla13[Cta Iva 22], MATCH($A64, Tabla1[N Doc], 0)),
             INDEX(Tabla13[Cta Iva 10], MATCH($A64, Tabla1[N Doc], 0))),
IF(B64=9,
        INDEX(Tabla1[Cuenta contable], MATCH($A64, Tabla1[N Doc], 0))
)))))))))))</f>
        <v/>
      </c>
      <c r="F64" t="str">
        <f>IF(OR($A64="",$A64=0),"",IF(B64=1,
        INDEX(Tabla1[Importe total], MATCH($A64, Tabla1[N Doc], 0)),
IF(B64=2,
        INDEX(Tabla1[Base imponible 22], MATCH($A64, Tabla1[N Doc], 0)),
IF(B64=3,
        INDEX(Tabla1[Iva 22], MATCH($A64, Tabla1[N Doc], 0)),
IF(B64=4,
        INDEX(Tabla1[Base imponible 10], MATCH($A64, Tabla1[N Doc], 0)),
IF(B64=5,
        INDEX(Tabla1[Iva 10], MATCH($A64, Tabla1[N Doc], 0)),
IF(B64=6,
        INDEX(Tabla1[Exento], MATCH($A64, Tabla1[N Doc], 0)),
IF(B64=7,
        INDEX(#REF!, MATCH($A64, Tabla1[N Doc], 0)),
IF(B64=8,
        INDEX(#REF!, MATCH($A64, Tabla1[N Doc], 0)),
IF(B64=9,
        INDEX(Tabla1[Descuentos], MATCH($A64, Tabla1[N Doc], 0)),
""))))))))))</f>
        <v/>
      </c>
      <c r="G64" t="str">
        <f>IF(OR($A64="",$A64=0),"",IF(OR(B64=2,B64=4,B64=6,B64=7),
    INDEX(Tabla13[Ind impuestos], MATCH($A64, Tabla13[N Doc], 0)),
""))</f>
        <v/>
      </c>
      <c r="J64" t="str">
        <f>IF(OR($A64="",$A64=0),"",IF(OR(B64=2,B64=4,B64=6,B64=7),
    INDEX(Tabla1[CECO], MATCH($A64, Tabla1[N Doc], 0)),
""))</f>
        <v/>
      </c>
      <c r="M64" t="str">
        <f>IF(C64=31,INDEX(Tabla1[Descripción], MATCH($A64, Tabla1[N Doc], 0)),"")</f>
        <v/>
      </c>
    </row>
    <row r="65" spans="1:13" x14ac:dyDescent="0.3">
      <c r="A65" t="str" cm="1">
        <f t="array" ref="A65">INDEX(Tabla1[N Doc], ROUNDUP((ROW()-1)/9, 0))</f>
        <v/>
      </c>
      <c r="B65" t="str">
        <f>IF(OR(A65="",A65=0),"",CHOOSE(
    COUNTIF($A$2:A65,A65),
    1,2,3,4,5,6,7,8,9
))</f>
        <v/>
      </c>
      <c r="C65" t="str">
        <f t="shared" si="0"/>
        <v/>
      </c>
      <c r="D65" s="7" t="str" cm="1">
        <f t="array" ref="D65">IF(OR($A65="",$A65=0),"",
IF(AND(INDEX(Formulario!$H$14:$H$100, $A65)="Si", C65&lt;&gt;31),
        VLOOKUP("cta puente",'Descripciones de gastos'!G:H, 2, FALSE),
IF(B65=1,
        INDEX(Tabla13[Titular], MATCH($A65, Tabla1[N Doc], 0)),
IF(B65=2,
        INDEX(Tabla1[Cuenta contable], MATCH($A65, Tabla1[N Doc], 0)),
IF(B65=3,
        INDEX(Tabla13[Cta Iva 22], MATCH($A65, Tabla1[N Doc], 0)),
IF(B65=4,
        INDEX(Tabla1[Cuenta contable], MATCH($A65, Tabla1[N Doc], 0)),
IF(B65=5,
        INDEX(Tabla13[Cta Iva 10], MATCH($A65, Tabla1[N Doc], 0)),
IF(B65=6,
        INDEX(Tabla1[Cuenta contable], MATCH($A65, Tabla1[N Doc], 0)),
IF(B65=7,
        INDEX(Tabla1[Cuenta contable], MATCH($A65, Tabla1[N Doc], 0)),
IF(B65=8,
        IF(INDEX(Tabla1[Tipo IVA], MATCH($A65, Tabla1[N Doc], 0))="22%",
             INDEX(Tabla13[Cta Iva 22], MATCH($A65, Tabla1[N Doc], 0)),
             INDEX(Tabla13[Cta Iva 10], MATCH($A65, Tabla1[N Doc], 0))),
IF(B65=9,
        INDEX(Tabla1[Cuenta contable], MATCH($A65, Tabla1[N Doc], 0))
)))))))))))</f>
        <v/>
      </c>
      <c r="F65" t="str">
        <f>IF(OR($A65="",$A65=0),"",IF(B65=1,
        INDEX(Tabla1[Importe total], MATCH($A65, Tabla1[N Doc], 0)),
IF(B65=2,
        INDEX(Tabla1[Base imponible 22], MATCH($A65, Tabla1[N Doc], 0)),
IF(B65=3,
        INDEX(Tabla1[Iva 22], MATCH($A65, Tabla1[N Doc], 0)),
IF(B65=4,
        INDEX(Tabla1[Base imponible 10], MATCH($A65, Tabla1[N Doc], 0)),
IF(B65=5,
        INDEX(Tabla1[Iva 10], MATCH($A65, Tabla1[N Doc], 0)),
IF(B65=6,
        INDEX(Tabla1[Exento], MATCH($A65, Tabla1[N Doc], 0)),
IF(B65=7,
        INDEX(#REF!, MATCH($A65, Tabla1[N Doc], 0)),
IF(B65=8,
        INDEX(#REF!, MATCH($A65, Tabla1[N Doc], 0)),
IF(B65=9,
        INDEX(Tabla1[Descuentos], MATCH($A65, Tabla1[N Doc], 0)),
""))))))))))</f>
        <v/>
      </c>
      <c r="G65" t="str">
        <f>IF(OR($A65="",$A65=0),"",IF(OR(B65=2,B65=4,B65=6,B65=7),
    INDEX(Tabla13[Ind impuestos], MATCH($A65, Tabla13[N Doc], 0)),
""))</f>
        <v/>
      </c>
      <c r="J65" t="str">
        <f>IF(OR($A65="",$A65=0),"",IF(OR(B65=2,B65=4,B65=6,B65=7),
    INDEX(Tabla1[CECO], MATCH($A65, Tabla1[N Doc], 0)),
""))</f>
        <v/>
      </c>
      <c r="M65" t="str">
        <f>IF(C65=31,INDEX(Tabla1[Descripción], MATCH($A65, Tabla1[N Doc], 0)),"")</f>
        <v/>
      </c>
    </row>
    <row r="66" spans="1:13" x14ac:dyDescent="0.3">
      <c r="A66" t="str" cm="1">
        <f t="array" ref="A66">INDEX(Tabla1[N Doc], ROUNDUP((ROW()-1)/9, 0))</f>
        <v/>
      </c>
      <c r="B66" t="str">
        <f>IF(OR(A66="",A66=0),"",CHOOSE(
    COUNTIF($A$2:A66,A66),
    1,2,3,4,5,6,7,8,9
))</f>
        <v/>
      </c>
      <c r="C66" t="str">
        <f t="shared" si="0"/>
        <v/>
      </c>
      <c r="D66" s="7" t="str" cm="1">
        <f t="array" ref="D66">IF(OR($A66="",$A66=0),"",
IF(AND(INDEX(Formulario!$H$14:$H$100, $A66)="Si", C66&lt;&gt;31),
        VLOOKUP("cta puente",'Descripciones de gastos'!G:H, 2, FALSE),
IF(B66=1,
        INDEX(Tabla13[Titular], MATCH($A66, Tabla1[N Doc], 0)),
IF(B66=2,
        INDEX(Tabla1[Cuenta contable], MATCH($A66, Tabla1[N Doc], 0)),
IF(B66=3,
        INDEX(Tabla13[Cta Iva 22], MATCH($A66, Tabla1[N Doc], 0)),
IF(B66=4,
        INDEX(Tabla1[Cuenta contable], MATCH($A66, Tabla1[N Doc], 0)),
IF(B66=5,
        INDEX(Tabla13[Cta Iva 10], MATCH($A66, Tabla1[N Doc], 0)),
IF(B66=6,
        INDEX(Tabla1[Cuenta contable], MATCH($A66, Tabla1[N Doc], 0)),
IF(B66=7,
        INDEX(Tabla1[Cuenta contable], MATCH($A66, Tabla1[N Doc], 0)),
IF(B66=8,
        IF(INDEX(Tabla1[Tipo IVA], MATCH($A66, Tabla1[N Doc], 0))="22%",
             INDEX(Tabla13[Cta Iva 22], MATCH($A66, Tabla1[N Doc], 0)),
             INDEX(Tabla13[Cta Iva 10], MATCH($A66, Tabla1[N Doc], 0))),
IF(B66=9,
        INDEX(Tabla1[Cuenta contable], MATCH($A66, Tabla1[N Doc], 0))
)))))))))))</f>
        <v/>
      </c>
      <c r="F66" t="str">
        <f>IF(OR($A66="",$A66=0),"",IF(B66=1,
        INDEX(Tabla1[Importe total], MATCH($A66, Tabla1[N Doc], 0)),
IF(B66=2,
        INDEX(Tabla1[Base imponible 22], MATCH($A66, Tabla1[N Doc], 0)),
IF(B66=3,
        INDEX(Tabla1[Iva 22], MATCH($A66, Tabla1[N Doc], 0)),
IF(B66=4,
        INDEX(Tabla1[Base imponible 10], MATCH($A66, Tabla1[N Doc], 0)),
IF(B66=5,
        INDEX(Tabla1[Iva 10], MATCH($A66, Tabla1[N Doc], 0)),
IF(B66=6,
        INDEX(Tabla1[Exento], MATCH($A66, Tabla1[N Doc], 0)),
IF(B66=7,
        INDEX(#REF!, MATCH($A66, Tabla1[N Doc], 0)),
IF(B66=8,
        INDEX(#REF!, MATCH($A66, Tabla1[N Doc], 0)),
IF(B66=9,
        INDEX(Tabla1[Descuentos], MATCH($A66, Tabla1[N Doc], 0)),
""))))))))))</f>
        <v/>
      </c>
      <c r="G66" t="str">
        <f>IF(OR($A66="",$A66=0),"",IF(OR(B66=2,B66=4,B66=6,B66=7),
    INDEX(Tabla13[Ind impuestos], MATCH($A66, Tabla13[N Doc], 0)),
""))</f>
        <v/>
      </c>
      <c r="J66" t="str">
        <f>IF(OR($A66="",$A66=0),"",IF(OR(B66=2,B66=4,B66=6,B66=7),
    INDEX(Tabla1[CECO], MATCH($A66, Tabla1[N Doc], 0)),
""))</f>
        <v/>
      </c>
      <c r="M66" t="str">
        <f>IF(C66=31,INDEX(Tabla1[Descripción], MATCH($A66, Tabla1[N Doc], 0)),"")</f>
        <v/>
      </c>
    </row>
    <row r="67" spans="1:13" x14ac:dyDescent="0.3">
      <c r="A67" t="str" cm="1">
        <f t="array" ref="A67">INDEX(Tabla1[N Doc], ROUNDUP((ROW()-1)/9, 0))</f>
        <v/>
      </c>
      <c r="B67" t="str">
        <f>IF(OR(A67="",A67=0),"",CHOOSE(
    COUNTIF($A$2:A67,A67),
    1,2,3,4,5,6,7,8,9
))</f>
        <v/>
      </c>
      <c r="C67" t="str">
        <f t="shared" ref="C67:C130" si="1">IF(A67="","",IF(B67=1,31,IF(B67=9,50,40)))</f>
        <v/>
      </c>
      <c r="D67" s="7" t="str" cm="1">
        <f t="array" ref="D67">IF(OR($A67="",$A67=0),"",
IF(AND(INDEX(Formulario!$H$14:$H$100, $A67)="Si", C67&lt;&gt;31),
        VLOOKUP("cta puente",'Descripciones de gastos'!G:H, 2, FALSE),
IF(B67=1,
        INDEX(Tabla13[Titular], MATCH($A67, Tabla1[N Doc], 0)),
IF(B67=2,
        INDEX(Tabla1[Cuenta contable], MATCH($A67, Tabla1[N Doc], 0)),
IF(B67=3,
        INDEX(Tabla13[Cta Iva 22], MATCH($A67, Tabla1[N Doc], 0)),
IF(B67=4,
        INDEX(Tabla1[Cuenta contable], MATCH($A67, Tabla1[N Doc], 0)),
IF(B67=5,
        INDEX(Tabla13[Cta Iva 10], MATCH($A67, Tabla1[N Doc], 0)),
IF(B67=6,
        INDEX(Tabla1[Cuenta contable], MATCH($A67, Tabla1[N Doc], 0)),
IF(B67=7,
        INDEX(Tabla1[Cuenta contable], MATCH($A67, Tabla1[N Doc], 0)),
IF(B67=8,
        IF(INDEX(Tabla1[Tipo IVA], MATCH($A67, Tabla1[N Doc], 0))="22%",
             INDEX(Tabla13[Cta Iva 22], MATCH($A67, Tabla1[N Doc], 0)),
             INDEX(Tabla13[Cta Iva 10], MATCH($A67, Tabla1[N Doc], 0))),
IF(B67=9,
        INDEX(Tabla1[Cuenta contable], MATCH($A67, Tabla1[N Doc], 0))
)))))))))))</f>
        <v/>
      </c>
      <c r="F67" t="str">
        <f>IF(OR($A67="",$A67=0),"",IF(B67=1,
        INDEX(Tabla1[Importe total], MATCH($A67, Tabla1[N Doc], 0)),
IF(B67=2,
        INDEX(Tabla1[Base imponible 22], MATCH($A67, Tabla1[N Doc], 0)),
IF(B67=3,
        INDEX(Tabla1[Iva 22], MATCH($A67, Tabla1[N Doc], 0)),
IF(B67=4,
        INDEX(Tabla1[Base imponible 10], MATCH($A67, Tabla1[N Doc], 0)),
IF(B67=5,
        INDEX(Tabla1[Iva 10], MATCH($A67, Tabla1[N Doc], 0)),
IF(B67=6,
        INDEX(Tabla1[Exento], MATCH($A67, Tabla1[N Doc], 0)),
IF(B67=7,
        INDEX(#REF!, MATCH($A67, Tabla1[N Doc], 0)),
IF(B67=8,
        INDEX(#REF!, MATCH($A67, Tabla1[N Doc], 0)),
IF(B67=9,
        INDEX(Tabla1[Descuentos], MATCH($A67, Tabla1[N Doc], 0)),
""))))))))))</f>
        <v/>
      </c>
      <c r="G67" t="str">
        <f>IF(OR($A67="",$A67=0),"",IF(OR(B67=2,B67=4,B67=6,B67=7),
    INDEX(Tabla13[Ind impuestos], MATCH($A67, Tabla13[N Doc], 0)),
""))</f>
        <v/>
      </c>
      <c r="J67" t="str">
        <f>IF(OR($A67="",$A67=0),"",IF(OR(B67=2,B67=4,B67=6,B67=7),
    INDEX(Tabla1[CECO], MATCH($A67, Tabla1[N Doc], 0)),
""))</f>
        <v/>
      </c>
      <c r="M67" t="str">
        <f>IF(C67=31,INDEX(Tabla1[Descripción], MATCH($A67, Tabla1[N Doc], 0)),"")</f>
        <v/>
      </c>
    </row>
    <row r="68" spans="1:13" x14ac:dyDescent="0.3">
      <c r="A68" t="str" cm="1">
        <f t="array" ref="A68">INDEX(Tabla1[N Doc], ROUNDUP((ROW()-1)/9, 0))</f>
        <v/>
      </c>
      <c r="B68" t="str">
        <f>IF(OR(A68="",A68=0),"",CHOOSE(
    COUNTIF($A$2:A68,A68),
    1,2,3,4,5,6,7,8,9
))</f>
        <v/>
      </c>
      <c r="C68" t="str">
        <f t="shared" si="1"/>
        <v/>
      </c>
      <c r="D68" s="7" t="str" cm="1">
        <f t="array" ref="D68">IF(OR($A68="",$A68=0),"",
IF(AND(INDEX(Formulario!$H$14:$H$100, $A68)="Si", C68&lt;&gt;31),
        VLOOKUP("cta puente",'Descripciones de gastos'!G:H, 2, FALSE),
IF(B68=1,
        INDEX(Tabla13[Titular], MATCH($A68, Tabla1[N Doc], 0)),
IF(B68=2,
        INDEX(Tabla1[Cuenta contable], MATCH($A68, Tabla1[N Doc], 0)),
IF(B68=3,
        INDEX(Tabla13[Cta Iva 22], MATCH($A68, Tabla1[N Doc], 0)),
IF(B68=4,
        INDEX(Tabla1[Cuenta contable], MATCH($A68, Tabla1[N Doc], 0)),
IF(B68=5,
        INDEX(Tabla13[Cta Iva 10], MATCH($A68, Tabla1[N Doc], 0)),
IF(B68=6,
        INDEX(Tabla1[Cuenta contable], MATCH($A68, Tabla1[N Doc], 0)),
IF(B68=7,
        INDEX(Tabla1[Cuenta contable], MATCH($A68, Tabla1[N Doc], 0)),
IF(B68=8,
        IF(INDEX(Tabla1[Tipo IVA], MATCH($A68, Tabla1[N Doc], 0))="22%",
             INDEX(Tabla13[Cta Iva 22], MATCH($A68, Tabla1[N Doc], 0)),
             INDEX(Tabla13[Cta Iva 10], MATCH($A68, Tabla1[N Doc], 0))),
IF(B68=9,
        INDEX(Tabla1[Cuenta contable], MATCH($A68, Tabla1[N Doc], 0))
)))))))))))</f>
        <v/>
      </c>
      <c r="F68" t="str">
        <f>IF(OR($A68="",$A68=0),"",IF(B68=1,
        INDEX(Tabla1[Importe total], MATCH($A68, Tabla1[N Doc], 0)),
IF(B68=2,
        INDEX(Tabla1[Base imponible 22], MATCH($A68, Tabla1[N Doc], 0)),
IF(B68=3,
        INDEX(Tabla1[Iva 22], MATCH($A68, Tabla1[N Doc], 0)),
IF(B68=4,
        INDEX(Tabla1[Base imponible 10], MATCH($A68, Tabla1[N Doc], 0)),
IF(B68=5,
        INDEX(Tabla1[Iva 10], MATCH($A68, Tabla1[N Doc], 0)),
IF(B68=6,
        INDEX(Tabla1[Exento], MATCH($A68, Tabla1[N Doc], 0)),
IF(B68=7,
        INDEX(#REF!, MATCH($A68, Tabla1[N Doc], 0)),
IF(B68=8,
        INDEX(#REF!, MATCH($A68, Tabla1[N Doc], 0)),
IF(B68=9,
        INDEX(Tabla1[Descuentos], MATCH($A68, Tabla1[N Doc], 0)),
""))))))))))</f>
        <v/>
      </c>
      <c r="G68" t="str">
        <f>IF(OR($A68="",$A68=0),"",IF(OR(B68=2,B68=4,B68=6,B68=7),
    INDEX(Tabla13[Ind impuestos], MATCH($A68, Tabla13[N Doc], 0)),
""))</f>
        <v/>
      </c>
      <c r="J68" t="str">
        <f>IF(OR($A68="",$A68=0),"",IF(OR(B68=2,B68=4,B68=6,B68=7),
    INDEX(Tabla1[CECO], MATCH($A68, Tabla1[N Doc], 0)),
""))</f>
        <v/>
      </c>
      <c r="M68" t="str">
        <f>IF(C68=31,INDEX(Tabla1[Descripción], MATCH($A68, Tabla1[N Doc], 0)),"")</f>
        <v/>
      </c>
    </row>
    <row r="69" spans="1:13" x14ac:dyDescent="0.3">
      <c r="A69" t="str" cm="1">
        <f t="array" ref="A69">INDEX(Tabla1[N Doc], ROUNDUP((ROW()-1)/9, 0))</f>
        <v/>
      </c>
      <c r="B69" t="str">
        <f>IF(OR(A69="",A69=0),"",CHOOSE(
    COUNTIF($A$2:A69,A69),
    1,2,3,4,5,6,7,8,9
))</f>
        <v/>
      </c>
      <c r="C69" t="str">
        <f t="shared" si="1"/>
        <v/>
      </c>
      <c r="D69" s="7" t="str" cm="1">
        <f t="array" ref="D69">IF(OR($A69="",$A69=0),"",
IF(AND(INDEX(Formulario!$H$14:$H$100, $A69)="Si", C69&lt;&gt;31),
        VLOOKUP("cta puente",'Descripciones de gastos'!G:H, 2, FALSE),
IF(B69=1,
        INDEX(Tabla13[Titular], MATCH($A69, Tabla1[N Doc], 0)),
IF(B69=2,
        INDEX(Tabla1[Cuenta contable], MATCH($A69, Tabla1[N Doc], 0)),
IF(B69=3,
        INDEX(Tabla13[Cta Iva 22], MATCH($A69, Tabla1[N Doc], 0)),
IF(B69=4,
        INDEX(Tabla1[Cuenta contable], MATCH($A69, Tabla1[N Doc], 0)),
IF(B69=5,
        INDEX(Tabla13[Cta Iva 10], MATCH($A69, Tabla1[N Doc], 0)),
IF(B69=6,
        INDEX(Tabla1[Cuenta contable], MATCH($A69, Tabla1[N Doc], 0)),
IF(B69=7,
        INDEX(Tabla1[Cuenta contable], MATCH($A69, Tabla1[N Doc], 0)),
IF(B69=8,
        IF(INDEX(Tabla1[Tipo IVA], MATCH($A69, Tabla1[N Doc], 0))="22%",
             INDEX(Tabla13[Cta Iva 22], MATCH($A69, Tabla1[N Doc], 0)),
             INDEX(Tabla13[Cta Iva 10], MATCH($A69, Tabla1[N Doc], 0))),
IF(B69=9,
        INDEX(Tabla1[Cuenta contable], MATCH($A69, Tabla1[N Doc], 0))
)))))))))))</f>
        <v/>
      </c>
      <c r="F69" t="str">
        <f>IF(OR($A69="",$A69=0),"",IF(B69=1,
        INDEX(Tabla1[Importe total], MATCH($A69, Tabla1[N Doc], 0)),
IF(B69=2,
        INDEX(Tabla1[Base imponible 22], MATCH($A69, Tabla1[N Doc], 0)),
IF(B69=3,
        INDEX(Tabla1[Iva 22], MATCH($A69, Tabla1[N Doc], 0)),
IF(B69=4,
        INDEX(Tabla1[Base imponible 10], MATCH($A69, Tabla1[N Doc], 0)),
IF(B69=5,
        INDEX(Tabla1[Iva 10], MATCH($A69, Tabla1[N Doc], 0)),
IF(B69=6,
        INDEX(Tabla1[Exento], MATCH($A69, Tabla1[N Doc], 0)),
IF(B69=7,
        INDEX(#REF!, MATCH($A69, Tabla1[N Doc], 0)),
IF(B69=8,
        INDEX(#REF!, MATCH($A69, Tabla1[N Doc], 0)),
IF(B69=9,
        INDEX(Tabla1[Descuentos], MATCH($A69, Tabla1[N Doc], 0)),
""))))))))))</f>
        <v/>
      </c>
      <c r="G69" t="str">
        <f>IF(OR($A69="",$A69=0),"",IF(OR(B69=2,B69=4,B69=6,B69=7),
    INDEX(Tabla13[Ind impuestos], MATCH($A69, Tabla13[N Doc], 0)),
""))</f>
        <v/>
      </c>
      <c r="J69" t="str">
        <f>IF(OR($A69="",$A69=0),"",IF(OR(B69=2,B69=4,B69=6,B69=7),
    INDEX(Tabla1[CECO], MATCH($A69, Tabla1[N Doc], 0)),
""))</f>
        <v/>
      </c>
      <c r="M69" t="str">
        <f>IF(C69=31,INDEX(Tabla1[Descripción], MATCH($A69, Tabla1[N Doc], 0)),"")</f>
        <v/>
      </c>
    </row>
    <row r="70" spans="1:13" x14ac:dyDescent="0.3">
      <c r="A70" t="str" cm="1">
        <f t="array" ref="A70">INDEX(Tabla1[N Doc], ROUNDUP((ROW()-1)/9, 0))</f>
        <v/>
      </c>
      <c r="B70" t="str">
        <f>IF(OR(A70="",A70=0),"",CHOOSE(
    COUNTIF($A$2:A70,A70),
    1,2,3,4,5,6,7,8,9
))</f>
        <v/>
      </c>
      <c r="C70" t="str">
        <f t="shared" si="1"/>
        <v/>
      </c>
      <c r="D70" s="7" t="str" cm="1">
        <f t="array" ref="D70">IF(OR($A70="",$A70=0),"",
IF(AND(INDEX(Formulario!$H$14:$H$100, $A70)="Si", C70&lt;&gt;31),
        VLOOKUP("cta puente",'Descripciones de gastos'!G:H, 2, FALSE),
IF(B70=1,
        INDEX(Tabla13[Titular], MATCH($A70, Tabla1[N Doc], 0)),
IF(B70=2,
        INDEX(Tabla1[Cuenta contable], MATCH($A70, Tabla1[N Doc], 0)),
IF(B70=3,
        INDEX(Tabla13[Cta Iva 22], MATCH($A70, Tabla1[N Doc], 0)),
IF(B70=4,
        INDEX(Tabla1[Cuenta contable], MATCH($A70, Tabla1[N Doc], 0)),
IF(B70=5,
        INDEX(Tabla13[Cta Iva 10], MATCH($A70, Tabla1[N Doc], 0)),
IF(B70=6,
        INDEX(Tabla1[Cuenta contable], MATCH($A70, Tabla1[N Doc], 0)),
IF(B70=7,
        INDEX(Tabla1[Cuenta contable], MATCH($A70, Tabla1[N Doc], 0)),
IF(B70=8,
        IF(INDEX(Tabla1[Tipo IVA], MATCH($A70, Tabla1[N Doc], 0))="22%",
             INDEX(Tabla13[Cta Iva 22], MATCH($A70, Tabla1[N Doc], 0)),
             INDEX(Tabla13[Cta Iva 10], MATCH($A70, Tabla1[N Doc], 0))),
IF(B70=9,
        INDEX(Tabla1[Cuenta contable], MATCH($A70, Tabla1[N Doc], 0))
)))))))))))</f>
        <v/>
      </c>
      <c r="F70" t="str">
        <f>IF(OR($A70="",$A70=0),"",IF(B70=1,
        INDEX(Tabla1[Importe total], MATCH($A70, Tabla1[N Doc], 0)),
IF(B70=2,
        INDEX(Tabla1[Base imponible 22], MATCH($A70, Tabla1[N Doc], 0)),
IF(B70=3,
        INDEX(Tabla1[Iva 22], MATCH($A70, Tabla1[N Doc], 0)),
IF(B70=4,
        INDEX(Tabla1[Base imponible 10], MATCH($A70, Tabla1[N Doc], 0)),
IF(B70=5,
        INDEX(Tabla1[Iva 10], MATCH($A70, Tabla1[N Doc], 0)),
IF(B70=6,
        INDEX(Tabla1[Exento], MATCH($A70, Tabla1[N Doc], 0)),
IF(B70=7,
        INDEX(#REF!, MATCH($A70, Tabla1[N Doc], 0)),
IF(B70=8,
        INDEX(#REF!, MATCH($A70, Tabla1[N Doc], 0)),
IF(B70=9,
        INDEX(Tabla1[Descuentos], MATCH($A70, Tabla1[N Doc], 0)),
""))))))))))</f>
        <v/>
      </c>
      <c r="G70" t="str">
        <f>IF(OR($A70="",$A70=0),"",IF(OR(B70=2,B70=4,B70=6,B70=7),
    INDEX(Tabla13[Ind impuestos], MATCH($A70, Tabla13[N Doc], 0)),
""))</f>
        <v/>
      </c>
      <c r="J70" t="str">
        <f>IF(OR($A70="",$A70=0),"",IF(OR(B70=2,B70=4,B70=6,B70=7),
    INDEX(Tabla1[CECO], MATCH($A70, Tabla1[N Doc], 0)),
""))</f>
        <v/>
      </c>
      <c r="M70" t="str">
        <f>IF(C70=31,INDEX(Tabla1[Descripción], MATCH($A70, Tabla1[N Doc], 0)),"")</f>
        <v/>
      </c>
    </row>
    <row r="71" spans="1:13" x14ac:dyDescent="0.3">
      <c r="A71" t="str" cm="1">
        <f t="array" ref="A71">INDEX(Tabla1[N Doc], ROUNDUP((ROW()-1)/9, 0))</f>
        <v/>
      </c>
      <c r="B71" t="str">
        <f>IF(OR(A71="",A71=0),"",CHOOSE(
    COUNTIF($A$2:A71,A71),
    1,2,3,4,5,6,7,8,9
))</f>
        <v/>
      </c>
      <c r="C71" t="str">
        <f t="shared" si="1"/>
        <v/>
      </c>
      <c r="D71" s="7" t="str" cm="1">
        <f t="array" ref="D71">IF(OR($A71="",$A71=0),"",
IF(AND(INDEX(Formulario!$H$14:$H$100, $A71)="Si", C71&lt;&gt;31),
        VLOOKUP("cta puente",'Descripciones de gastos'!G:H, 2, FALSE),
IF(B71=1,
        INDEX(Tabla13[Titular], MATCH($A71, Tabla1[N Doc], 0)),
IF(B71=2,
        INDEX(Tabla1[Cuenta contable], MATCH($A71, Tabla1[N Doc], 0)),
IF(B71=3,
        INDEX(Tabla13[Cta Iva 22], MATCH($A71, Tabla1[N Doc], 0)),
IF(B71=4,
        INDEX(Tabla1[Cuenta contable], MATCH($A71, Tabla1[N Doc], 0)),
IF(B71=5,
        INDEX(Tabla13[Cta Iva 10], MATCH($A71, Tabla1[N Doc], 0)),
IF(B71=6,
        INDEX(Tabla1[Cuenta contable], MATCH($A71, Tabla1[N Doc], 0)),
IF(B71=7,
        INDEX(Tabla1[Cuenta contable], MATCH($A71, Tabla1[N Doc], 0)),
IF(B71=8,
        IF(INDEX(Tabla1[Tipo IVA], MATCH($A71, Tabla1[N Doc], 0))="22%",
             INDEX(Tabla13[Cta Iva 22], MATCH($A71, Tabla1[N Doc], 0)),
             INDEX(Tabla13[Cta Iva 10], MATCH($A71, Tabla1[N Doc], 0))),
IF(B71=9,
        INDEX(Tabla1[Cuenta contable], MATCH($A71, Tabla1[N Doc], 0))
)))))))))))</f>
        <v/>
      </c>
      <c r="F71" t="str">
        <f>IF(OR($A71="",$A71=0),"",IF(B71=1,
        INDEX(Tabla1[Importe total], MATCH($A71, Tabla1[N Doc], 0)),
IF(B71=2,
        INDEX(Tabla1[Base imponible 22], MATCH($A71, Tabla1[N Doc], 0)),
IF(B71=3,
        INDEX(Tabla1[Iva 22], MATCH($A71, Tabla1[N Doc], 0)),
IF(B71=4,
        INDEX(Tabla1[Base imponible 10], MATCH($A71, Tabla1[N Doc], 0)),
IF(B71=5,
        INDEX(Tabla1[Iva 10], MATCH($A71, Tabla1[N Doc], 0)),
IF(B71=6,
        INDEX(Tabla1[Exento], MATCH($A71, Tabla1[N Doc], 0)),
IF(B71=7,
        INDEX(#REF!, MATCH($A71, Tabla1[N Doc], 0)),
IF(B71=8,
        INDEX(#REF!, MATCH($A71, Tabla1[N Doc], 0)),
IF(B71=9,
        INDEX(Tabla1[Descuentos], MATCH($A71, Tabla1[N Doc], 0)),
""))))))))))</f>
        <v/>
      </c>
      <c r="G71" t="str">
        <f>IF(OR($A71="",$A71=0),"",IF(OR(B71=2,B71=4,B71=6,B71=7),
    INDEX(Tabla13[Ind impuestos], MATCH($A71, Tabla13[N Doc], 0)),
""))</f>
        <v/>
      </c>
      <c r="J71" t="str">
        <f>IF(OR($A71="",$A71=0),"",IF(OR(B71=2,B71=4,B71=6,B71=7),
    INDEX(Tabla1[CECO], MATCH($A71, Tabla1[N Doc], 0)),
""))</f>
        <v/>
      </c>
      <c r="M71" t="str">
        <f>IF(C71=31,INDEX(Tabla1[Descripción], MATCH($A71, Tabla1[N Doc], 0)),"")</f>
        <v/>
      </c>
    </row>
    <row r="72" spans="1:13" x14ac:dyDescent="0.3">
      <c r="A72" t="str" cm="1">
        <f t="array" ref="A72">INDEX(Tabla1[N Doc], ROUNDUP((ROW()-1)/9, 0))</f>
        <v/>
      </c>
      <c r="B72" t="str">
        <f>IF(OR(A72="",A72=0),"",CHOOSE(
    COUNTIF($A$2:A72,A72),
    1,2,3,4,5,6,7,8,9
))</f>
        <v/>
      </c>
      <c r="C72" t="str">
        <f t="shared" si="1"/>
        <v/>
      </c>
      <c r="D72" s="7" t="str" cm="1">
        <f t="array" ref="D72">IF(OR($A72="",$A72=0),"",
IF(AND(INDEX(Formulario!$H$14:$H$100, $A72)="Si", C72&lt;&gt;31),
        VLOOKUP("cta puente",'Descripciones de gastos'!G:H, 2, FALSE),
IF(B72=1,
        INDEX(Tabla13[Titular], MATCH($A72, Tabla1[N Doc], 0)),
IF(B72=2,
        INDEX(Tabla1[Cuenta contable], MATCH($A72, Tabla1[N Doc], 0)),
IF(B72=3,
        INDEX(Tabla13[Cta Iva 22], MATCH($A72, Tabla1[N Doc], 0)),
IF(B72=4,
        INDEX(Tabla1[Cuenta contable], MATCH($A72, Tabla1[N Doc], 0)),
IF(B72=5,
        INDEX(Tabla13[Cta Iva 10], MATCH($A72, Tabla1[N Doc], 0)),
IF(B72=6,
        INDEX(Tabla1[Cuenta contable], MATCH($A72, Tabla1[N Doc], 0)),
IF(B72=7,
        INDEX(Tabla1[Cuenta contable], MATCH($A72, Tabla1[N Doc], 0)),
IF(B72=8,
        IF(INDEX(Tabla1[Tipo IVA], MATCH($A72, Tabla1[N Doc], 0))="22%",
             INDEX(Tabla13[Cta Iva 22], MATCH($A72, Tabla1[N Doc], 0)),
             INDEX(Tabla13[Cta Iva 10], MATCH($A72, Tabla1[N Doc], 0))),
IF(B72=9,
        INDEX(Tabla1[Cuenta contable], MATCH($A72, Tabla1[N Doc], 0))
)))))))))))</f>
        <v/>
      </c>
      <c r="F72" t="str">
        <f>IF(OR($A72="",$A72=0),"",IF(B72=1,
        INDEX(Tabla1[Importe total], MATCH($A72, Tabla1[N Doc], 0)),
IF(B72=2,
        INDEX(Tabla1[Base imponible 22], MATCH($A72, Tabla1[N Doc], 0)),
IF(B72=3,
        INDEX(Tabla1[Iva 22], MATCH($A72, Tabla1[N Doc], 0)),
IF(B72=4,
        INDEX(Tabla1[Base imponible 10], MATCH($A72, Tabla1[N Doc], 0)),
IF(B72=5,
        INDEX(Tabla1[Iva 10], MATCH($A72, Tabla1[N Doc], 0)),
IF(B72=6,
        INDEX(Tabla1[Exento], MATCH($A72, Tabla1[N Doc], 0)),
IF(B72=7,
        INDEX(#REF!, MATCH($A72, Tabla1[N Doc], 0)),
IF(B72=8,
        INDEX(#REF!, MATCH($A72, Tabla1[N Doc], 0)),
IF(B72=9,
        INDEX(Tabla1[Descuentos], MATCH($A72, Tabla1[N Doc], 0)),
""))))))))))</f>
        <v/>
      </c>
      <c r="G72" t="str">
        <f>IF(OR($A72="",$A72=0),"",IF(OR(B72=2,B72=4,B72=6,B72=7),
    INDEX(Tabla13[Ind impuestos], MATCH($A72, Tabla13[N Doc], 0)),
""))</f>
        <v/>
      </c>
      <c r="J72" t="str">
        <f>IF(OR($A72="",$A72=0),"",IF(OR(B72=2,B72=4,B72=6,B72=7),
    INDEX(Tabla1[CECO], MATCH($A72, Tabla1[N Doc], 0)),
""))</f>
        <v/>
      </c>
      <c r="M72" t="str">
        <f>IF(C72=31,INDEX(Tabla1[Descripción], MATCH($A72, Tabla1[N Doc], 0)),"")</f>
        <v/>
      </c>
    </row>
    <row r="73" spans="1:13" x14ac:dyDescent="0.3">
      <c r="A73" t="str" cm="1">
        <f t="array" ref="A73">INDEX(Tabla1[N Doc], ROUNDUP((ROW()-1)/9, 0))</f>
        <v/>
      </c>
      <c r="B73" t="str">
        <f>IF(OR(A73="",A73=0),"",CHOOSE(
    COUNTIF($A$2:A73,A73),
    1,2,3,4,5,6,7,8,9
))</f>
        <v/>
      </c>
      <c r="C73" t="str">
        <f t="shared" si="1"/>
        <v/>
      </c>
      <c r="D73" s="7" t="str" cm="1">
        <f t="array" ref="D73">IF(OR($A73="",$A73=0),"",
IF(AND(INDEX(Formulario!$H$14:$H$100, $A73)="Si", C73&lt;&gt;31),
        VLOOKUP("cta puente",'Descripciones de gastos'!G:H, 2, FALSE),
IF(B73=1,
        INDEX(Tabla13[Titular], MATCH($A73, Tabla1[N Doc], 0)),
IF(B73=2,
        INDEX(Tabla1[Cuenta contable], MATCH($A73, Tabla1[N Doc], 0)),
IF(B73=3,
        INDEX(Tabla13[Cta Iva 22], MATCH($A73, Tabla1[N Doc], 0)),
IF(B73=4,
        INDEX(Tabla1[Cuenta contable], MATCH($A73, Tabla1[N Doc], 0)),
IF(B73=5,
        INDEX(Tabla13[Cta Iva 10], MATCH($A73, Tabla1[N Doc], 0)),
IF(B73=6,
        INDEX(Tabla1[Cuenta contable], MATCH($A73, Tabla1[N Doc], 0)),
IF(B73=7,
        INDEX(Tabla1[Cuenta contable], MATCH($A73, Tabla1[N Doc], 0)),
IF(B73=8,
        IF(INDEX(Tabla1[Tipo IVA], MATCH($A73, Tabla1[N Doc], 0))="22%",
             INDEX(Tabla13[Cta Iva 22], MATCH($A73, Tabla1[N Doc], 0)),
             INDEX(Tabla13[Cta Iva 10], MATCH($A73, Tabla1[N Doc], 0))),
IF(B73=9,
        INDEX(Tabla1[Cuenta contable], MATCH($A73, Tabla1[N Doc], 0))
)))))))))))</f>
        <v/>
      </c>
      <c r="F73" t="str">
        <f>IF(OR($A73="",$A73=0),"",IF(B73=1,
        INDEX(Tabla1[Importe total], MATCH($A73, Tabla1[N Doc], 0)),
IF(B73=2,
        INDEX(Tabla1[Base imponible 22], MATCH($A73, Tabla1[N Doc], 0)),
IF(B73=3,
        INDEX(Tabla1[Iva 22], MATCH($A73, Tabla1[N Doc], 0)),
IF(B73=4,
        INDEX(Tabla1[Base imponible 10], MATCH($A73, Tabla1[N Doc], 0)),
IF(B73=5,
        INDEX(Tabla1[Iva 10], MATCH($A73, Tabla1[N Doc], 0)),
IF(B73=6,
        INDEX(Tabla1[Exento], MATCH($A73, Tabla1[N Doc], 0)),
IF(B73=7,
        INDEX(#REF!, MATCH($A73, Tabla1[N Doc], 0)),
IF(B73=8,
        INDEX(#REF!, MATCH($A73, Tabla1[N Doc], 0)),
IF(B73=9,
        INDEX(Tabla1[Descuentos], MATCH($A73, Tabla1[N Doc], 0)),
""))))))))))</f>
        <v/>
      </c>
      <c r="G73" t="str">
        <f>IF(OR($A73="",$A73=0),"",IF(OR(B73=2,B73=4,B73=6,B73=7),
    INDEX(Tabla13[Ind impuestos], MATCH($A73, Tabla13[N Doc], 0)),
""))</f>
        <v/>
      </c>
      <c r="J73" t="str">
        <f>IF(OR($A73="",$A73=0),"",IF(OR(B73=2,B73=4,B73=6,B73=7),
    INDEX(Tabla1[CECO], MATCH($A73, Tabla1[N Doc], 0)),
""))</f>
        <v/>
      </c>
      <c r="M73" t="str">
        <f>IF(C73=31,INDEX(Tabla1[Descripción], MATCH($A73, Tabla1[N Doc], 0)),"")</f>
        <v/>
      </c>
    </row>
    <row r="74" spans="1:13" x14ac:dyDescent="0.3">
      <c r="A74" t="str" cm="1">
        <f t="array" ref="A74">INDEX(Tabla1[N Doc], ROUNDUP((ROW()-1)/9, 0))</f>
        <v/>
      </c>
      <c r="B74" t="str">
        <f>IF(OR(A74="",A74=0),"",CHOOSE(
    COUNTIF($A$2:A74,A74),
    1,2,3,4,5,6,7,8,9
))</f>
        <v/>
      </c>
      <c r="C74" t="str">
        <f t="shared" si="1"/>
        <v/>
      </c>
      <c r="D74" s="7" t="str" cm="1">
        <f t="array" ref="D74">IF(OR($A74="",$A74=0),"",
IF(AND(INDEX(Formulario!$H$14:$H$100, $A74)="Si", C74&lt;&gt;31),
        VLOOKUP("cta puente",'Descripciones de gastos'!G:H, 2, FALSE),
IF(B74=1,
        INDEX(Tabla13[Titular], MATCH($A74, Tabla1[N Doc], 0)),
IF(B74=2,
        INDEX(Tabla1[Cuenta contable], MATCH($A74, Tabla1[N Doc], 0)),
IF(B74=3,
        INDEX(Tabla13[Cta Iva 22], MATCH($A74, Tabla1[N Doc], 0)),
IF(B74=4,
        INDEX(Tabla1[Cuenta contable], MATCH($A74, Tabla1[N Doc], 0)),
IF(B74=5,
        INDEX(Tabla13[Cta Iva 10], MATCH($A74, Tabla1[N Doc], 0)),
IF(B74=6,
        INDEX(Tabla1[Cuenta contable], MATCH($A74, Tabla1[N Doc], 0)),
IF(B74=7,
        INDEX(Tabla1[Cuenta contable], MATCH($A74, Tabla1[N Doc], 0)),
IF(B74=8,
        IF(INDEX(Tabla1[Tipo IVA], MATCH($A74, Tabla1[N Doc], 0))="22%",
             INDEX(Tabla13[Cta Iva 22], MATCH($A74, Tabla1[N Doc], 0)),
             INDEX(Tabla13[Cta Iva 10], MATCH($A74, Tabla1[N Doc], 0))),
IF(B74=9,
        INDEX(Tabla1[Cuenta contable], MATCH($A74, Tabla1[N Doc], 0))
)))))))))))</f>
        <v/>
      </c>
      <c r="F74" t="str">
        <f>IF(OR($A74="",$A74=0),"",IF(B74=1,
        INDEX(Tabla1[Importe total], MATCH($A74, Tabla1[N Doc], 0)),
IF(B74=2,
        INDEX(Tabla1[Base imponible 22], MATCH($A74, Tabla1[N Doc], 0)),
IF(B74=3,
        INDEX(Tabla1[Iva 22], MATCH($A74, Tabla1[N Doc], 0)),
IF(B74=4,
        INDEX(Tabla1[Base imponible 10], MATCH($A74, Tabla1[N Doc], 0)),
IF(B74=5,
        INDEX(Tabla1[Iva 10], MATCH($A74, Tabla1[N Doc], 0)),
IF(B74=6,
        INDEX(Tabla1[Exento], MATCH($A74, Tabla1[N Doc], 0)),
IF(B74=7,
        INDEX(#REF!, MATCH($A74, Tabla1[N Doc], 0)),
IF(B74=8,
        INDEX(#REF!, MATCH($A74, Tabla1[N Doc], 0)),
IF(B74=9,
        INDEX(Tabla1[Descuentos], MATCH($A74, Tabla1[N Doc], 0)),
""))))))))))</f>
        <v/>
      </c>
      <c r="G74" t="str">
        <f>IF(OR($A74="",$A74=0),"",IF(OR(B74=2,B74=4,B74=6,B74=7),
    INDEX(Tabla13[Ind impuestos], MATCH($A74, Tabla13[N Doc], 0)),
""))</f>
        <v/>
      </c>
      <c r="J74" t="str">
        <f>IF(OR($A74="",$A74=0),"",IF(OR(B74=2,B74=4,B74=6,B74=7),
    INDEX(Tabla1[CECO], MATCH($A74, Tabla1[N Doc], 0)),
""))</f>
        <v/>
      </c>
      <c r="M74" t="str">
        <f>IF(C74=31,INDEX(Tabla1[Descripción], MATCH($A74, Tabla1[N Doc], 0)),"")</f>
        <v/>
      </c>
    </row>
    <row r="75" spans="1:13" x14ac:dyDescent="0.3">
      <c r="A75" t="str" cm="1">
        <f t="array" ref="A75">INDEX(Tabla1[N Doc], ROUNDUP((ROW()-1)/9, 0))</f>
        <v/>
      </c>
      <c r="B75" t="str">
        <f>IF(OR(A75="",A75=0),"",CHOOSE(
    COUNTIF($A$2:A75,A75),
    1,2,3,4,5,6,7,8,9
))</f>
        <v/>
      </c>
      <c r="C75" t="str">
        <f t="shared" si="1"/>
        <v/>
      </c>
      <c r="D75" s="7" t="str" cm="1">
        <f t="array" ref="D75">IF(OR($A75="",$A75=0),"",
IF(AND(INDEX(Formulario!$H$14:$H$100, $A75)="Si", C75&lt;&gt;31),
        VLOOKUP("cta puente",'Descripciones de gastos'!G:H, 2, FALSE),
IF(B75=1,
        INDEX(Tabla13[Titular], MATCH($A75, Tabla1[N Doc], 0)),
IF(B75=2,
        INDEX(Tabla1[Cuenta contable], MATCH($A75, Tabla1[N Doc], 0)),
IF(B75=3,
        INDEX(Tabla13[Cta Iva 22], MATCH($A75, Tabla1[N Doc], 0)),
IF(B75=4,
        INDEX(Tabla1[Cuenta contable], MATCH($A75, Tabla1[N Doc], 0)),
IF(B75=5,
        INDEX(Tabla13[Cta Iva 10], MATCH($A75, Tabla1[N Doc], 0)),
IF(B75=6,
        INDEX(Tabla1[Cuenta contable], MATCH($A75, Tabla1[N Doc], 0)),
IF(B75=7,
        INDEX(Tabla1[Cuenta contable], MATCH($A75, Tabla1[N Doc], 0)),
IF(B75=8,
        IF(INDEX(Tabla1[Tipo IVA], MATCH($A75, Tabla1[N Doc], 0))="22%",
             INDEX(Tabla13[Cta Iva 22], MATCH($A75, Tabla1[N Doc], 0)),
             INDEX(Tabla13[Cta Iva 10], MATCH($A75, Tabla1[N Doc], 0))),
IF(B75=9,
        INDEX(Tabla1[Cuenta contable], MATCH($A75, Tabla1[N Doc], 0))
)))))))))))</f>
        <v/>
      </c>
      <c r="F75" t="str">
        <f>IF(OR($A75="",$A75=0),"",IF(B75=1,
        INDEX(Tabla1[Importe total], MATCH($A75, Tabla1[N Doc], 0)),
IF(B75=2,
        INDEX(Tabla1[Base imponible 22], MATCH($A75, Tabla1[N Doc], 0)),
IF(B75=3,
        INDEX(Tabla1[Iva 22], MATCH($A75, Tabla1[N Doc], 0)),
IF(B75=4,
        INDEX(Tabla1[Base imponible 10], MATCH($A75, Tabla1[N Doc], 0)),
IF(B75=5,
        INDEX(Tabla1[Iva 10], MATCH($A75, Tabla1[N Doc], 0)),
IF(B75=6,
        INDEX(Tabla1[Exento], MATCH($A75, Tabla1[N Doc], 0)),
IF(B75=7,
        INDEX(#REF!, MATCH($A75, Tabla1[N Doc], 0)),
IF(B75=8,
        INDEX(#REF!, MATCH($A75, Tabla1[N Doc], 0)),
IF(B75=9,
        INDEX(Tabla1[Descuentos], MATCH($A75, Tabla1[N Doc], 0)),
""))))))))))</f>
        <v/>
      </c>
      <c r="G75" t="str">
        <f>IF(OR($A75="",$A75=0),"",IF(OR(B75=2,B75=4,B75=6,B75=7),
    INDEX(Tabla13[Ind impuestos], MATCH($A75, Tabla13[N Doc], 0)),
""))</f>
        <v/>
      </c>
      <c r="J75" t="str">
        <f>IF(OR($A75="",$A75=0),"",IF(OR(B75=2,B75=4,B75=6,B75=7),
    INDEX(Tabla1[CECO], MATCH($A75, Tabla1[N Doc], 0)),
""))</f>
        <v/>
      </c>
      <c r="M75" t="str">
        <f>IF(C75=31,INDEX(Tabla1[Descripción], MATCH($A75, Tabla1[N Doc], 0)),"")</f>
        <v/>
      </c>
    </row>
    <row r="76" spans="1:13" x14ac:dyDescent="0.3">
      <c r="A76" t="str" cm="1">
        <f t="array" ref="A76">INDEX(Tabla1[N Doc], ROUNDUP((ROW()-1)/9, 0))</f>
        <v/>
      </c>
      <c r="B76" t="str">
        <f>IF(OR(A76="",A76=0),"",CHOOSE(
    COUNTIF($A$2:A76,A76),
    1,2,3,4,5,6,7,8,9
))</f>
        <v/>
      </c>
      <c r="C76" t="str">
        <f t="shared" si="1"/>
        <v/>
      </c>
      <c r="D76" s="7" t="str" cm="1">
        <f t="array" ref="D76">IF(OR($A76="",$A76=0),"",
IF(AND(INDEX(Formulario!$H$14:$H$100, $A76)="Si", C76&lt;&gt;31),
        VLOOKUP("cta puente",'Descripciones de gastos'!G:H, 2, FALSE),
IF(B76=1,
        INDEX(Tabla13[Titular], MATCH($A76, Tabla1[N Doc], 0)),
IF(B76=2,
        INDEX(Tabla1[Cuenta contable], MATCH($A76, Tabla1[N Doc], 0)),
IF(B76=3,
        INDEX(Tabla13[Cta Iva 22], MATCH($A76, Tabla1[N Doc], 0)),
IF(B76=4,
        INDEX(Tabla1[Cuenta contable], MATCH($A76, Tabla1[N Doc], 0)),
IF(B76=5,
        INDEX(Tabla13[Cta Iva 10], MATCH($A76, Tabla1[N Doc], 0)),
IF(B76=6,
        INDEX(Tabla1[Cuenta contable], MATCH($A76, Tabla1[N Doc], 0)),
IF(B76=7,
        INDEX(Tabla1[Cuenta contable], MATCH($A76, Tabla1[N Doc], 0)),
IF(B76=8,
        IF(INDEX(Tabla1[Tipo IVA], MATCH($A76, Tabla1[N Doc], 0))="22%",
             INDEX(Tabla13[Cta Iva 22], MATCH($A76, Tabla1[N Doc], 0)),
             INDEX(Tabla13[Cta Iva 10], MATCH($A76, Tabla1[N Doc], 0))),
IF(B76=9,
        INDEX(Tabla1[Cuenta contable], MATCH($A76, Tabla1[N Doc], 0))
)))))))))))</f>
        <v/>
      </c>
      <c r="F76" t="str">
        <f>IF(OR($A76="",$A76=0),"",IF(B76=1,
        INDEX(Tabla1[Importe total], MATCH($A76, Tabla1[N Doc], 0)),
IF(B76=2,
        INDEX(Tabla1[Base imponible 22], MATCH($A76, Tabla1[N Doc], 0)),
IF(B76=3,
        INDEX(Tabla1[Iva 22], MATCH($A76, Tabla1[N Doc], 0)),
IF(B76=4,
        INDEX(Tabla1[Base imponible 10], MATCH($A76, Tabla1[N Doc], 0)),
IF(B76=5,
        INDEX(Tabla1[Iva 10], MATCH($A76, Tabla1[N Doc], 0)),
IF(B76=6,
        INDEX(Tabla1[Exento], MATCH($A76, Tabla1[N Doc], 0)),
IF(B76=7,
        INDEX(#REF!, MATCH($A76, Tabla1[N Doc], 0)),
IF(B76=8,
        INDEX(#REF!, MATCH($A76, Tabla1[N Doc], 0)),
IF(B76=9,
        INDEX(Tabla1[Descuentos], MATCH($A76, Tabla1[N Doc], 0)),
""))))))))))</f>
        <v/>
      </c>
      <c r="G76" t="str">
        <f>IF(OR($A76="",$A76=0),"",IF(OR(B76=2,B76=4,B76=6,B76=7),
    INDEX(Tabla13[Ind impuestos], MATCH($A76, Tabla13[N Doc], 0)),
""))</f>
        <v/>
      </c>
      <c r="J76" t="str">
        <f>IF(OR($A76="",$A76=0),"",IF(OR(B76=2,B76=4,B76=6,B76=7),
    INDEX(Tabla1[CECO], MATCH($A76, Tabla1[N Doc], 0)),
""))</f>
        <v/>
      </c>
      <c r="M76" t="str">
        <f>IF(C76=31,INDEX(Tabla1[Descripción], MATCH($A76, Tabla1[N Doc], 0)),"")</f>
        <v/>
      </c>
    </row>
    <row r="77" spans="1:13" x14ac:dyDescent="0.3">
      <c r="A77" t="str" cm="1">
        <f t="array" ref="A77">INDEX(Tabla1[N Doc], ROUNDUP((ROW()-1)/9, 0))</f>
        <v/>
      </c>
      <c r="B77" t="str">
        <f>IF(OR(A77="",A77=0),"",CHOOSE(
    COUNTIF($A$2:A77,A77),
    1,2,3,4,5,6,7,8,9
))</f>
        <v/>
      </c>
      <c r="C77" t="str">
        <f t="shared" si="1"/>
        <v/>
      </c>
      <c r="D77" s="7" t="str" cm="1">
        <f t="array" ref="D77">IF(OR($A77="",$A77=0),"",
IF(AND(INDEX(Formulario!$H$14:$H$100, $A77)="Si", C77&lt;&gt;31),
        VLOOKUP("cta puente",'Descripciones de gastos'!G:H, 2, FALSE),
IF(B77=1,
        INDEX(Tabla13[Titular], MATCH($A77, Tabla1[N Doc], 0)),
IF(B77=2,
        INDEX(Tabla1[Cuenta contable], MATCH($A77, Tabla1[N Doc], 0)),
IF(B77=3,
        INDEX(Tabla13[Cta Iva 22], MATCH($A77, Tabla1[N Doc], 0)),
IF(B77=4,
        INDEX(Tabla1[Cuenta contable], MATCH($A77, Tabla1[N Doc], 0)),
IF(B77=5,
        INDEX(Tabla13[Cta Iva 10], MATCH($A77, Tabla1[N Doc], 0)),
IF(B77=6,
        INDEX(Tabla1[Cuenta contable], MATCH($A77, Tabla1[N Doc], 0)),
IF(B77=7,
        INDEX(Tabla1[Cuenta contable], MATCH($A77, Tabla1[N Doc], 0)),
IF(B77=8,
        IF(INDEX(Tabla1[Tipo IVA], MATCH($A77, Tabla1[N Doc], 0))="22%",
             INDEX(Tabla13[Cta Iva 22], MATCH($A77, Tabla1[N Doc], 0)),
             INDEX(Tabla13[Cta Iva 10], MATCH($A77, Tabla1[N Doc], 0))),
IF(B77=9,
        INDEX(Tabla1[Cuenta contable], MATCH($A77, Tabla1[N Doc], 0))
)))))))))))</f>
        <v/>
      </c>
      <c r="F77" t="str">
        <f>IF(OR($A77="",$A77=0),"",IF(B77=1,
        INDEX(Tabla1[Importe total], MATCH($A77, Tabla1[N Doc], 0)),
IF(B77=2,
        INDEX(Tabla1[Base imponible 22], MATCH($A77, Tabla1[N Doc], 0)),
IF(B77=3,
        INDEX(Tabla1[Iva 22], MATCH($A77, Tabla1[N Doc], 0)),
IF(B77=4,
        INDEX(Tabla1[Base imponible 10], MATCH($A77, Tabla1[N Doc], 0)),
IF(B77=5,
        INDEX(Tabla1[Iva 10], MATCH($A77, Tabla1[N Doc], 0)),
IF(B77=6,
        INDEX(Tabla1[Exento], MATCH($A77, Tabla1[N Doc], 0)),
IF(B77=7,
        INDEX(#REF!, MATCH($A77, Tabla1[N Doc], 0)),
IF(B77=8,
        INDEX(#REF!, MATCH($A77, Tabla1[N Doc], 0)),
IF(B77=9,
        INDEX(Tabla1[Descuentos], MATCH($A77, Tabla1[N Doc], 0)),
""))))))))))</f>
        <v/>
      </c>
      <c r="G77" t="str">
        <f>IF(OR($A77="",$A77=0),"",IF(OR(B77=2,B77=4,B77=6,B77=7),
    INDEX(Tabla13[Ind impuestos], MATCH($A77, Tabla13[N Doc], 0)),
""))</f>
        <v/>
      </c>
      <c r="J77" t="str">
        <f>IF(OR($A77="",$A77=0),"",IF(OR(B77=2,B77=4,B77=6,B77=7),
    INDEX(Tabla1[CECO], MATCH($A77, Tabla1[N Doc], 0)),
""))</f>
        <v/>
      </c>
      <c r="M77" t="str">
        <f>IF(C77=31,INDEX(Tabla1[Descripción], MATCH($A77, Tabla1[N Doc], 0)),"")</f>
        <v/>
      </c>
    </row>
    <row r="78" spans="1:13" x14ac:dyDescent="0.3">
      <c r="A78" t="str" cm="1">
        <f t="array" ref="A78">INDEX(Tabla1[N Doc], ROUNDUP((ROW()-1)/9, 0))</f>
        <v/>
      </c>
      <c r="B78" t="str">
        <f>IF(OR(A78="",A78=0),"",CHOOSE(
    COUNTIF($A$2:A78,A78),
    1,2,3,4,5,6,7,8,9
))</f>
        <v/>
      </c>
      <c r="C78" t="str">
        <f t="shared" si="1"/>
        <v/>
      </c>
      <c r="D78" s="7" t="str" cm="1">
        <f t="array" ref="D78">IF(OR($A78="",$A78=0),"",
IF(AND(INDEX(Formulario!$H$14:$H$100, $A78)="Si", C78&lt;&gt;31),
        VLOOKUP("cta puente",'Descripciones de gastos'!G:H, 2, FALSE),
IF(B78=1,
        INDEX(Tabla13[Titular], MATCH($A78, Tabla1[N Doc], 0)),
IF(B78=2,
        INDEX(Tabla1[Cuenta contable], MATCH($A78, Tabla1[N Doc], 0)),
IF(B78=3,
        INDEX(Tabla13[Cta Iva 22], MATCH($A78, Tabla1[N Doc], 0)),
IF(B78=4,
        INDEX(Tabla1[Cuenta contable], MATCH($A78, Tabla1[N Doc], 0)),
IF(B78=5,
        INDEX(Tabla13[Cta Iva 10], MATCH($A78, Tabla1[N Doc], 0)),
IF(B78=6,
        INDEX(Tabla1[Cuenta contable], MATCH($A78, Tabla1[N Doc], 0)),
IF(B78=7,
        INDEX(Tabla1[Cuenta contable], MATCH($A78, Tabla1[N Doc], 0)),
IF(B78=8,
        IF(INDEX(Tabla1[Tipo IVA], MATCH($A78, Tabla1[N Doc], 0))="22%",
             INDEX(Tabla13[Cta Iva 22], MATCH($A78, Tabla1[N Doc], 0)),
             INDEX(Tabla13[Cta Iva 10], MATCH($A78, Tabla1[N Doc], 0))),
IF(B78=9,
        INDEX(Tabla1[Cuenta contable], MATCH($A78, Tabla1[N Doc], 0))
)))))))))))</f>
        <v/>
      </c>
      <c r="F78" t="str">
        <f>IF(OR($A78="",$A78=0),"",IF(B78=1,
        INDEX(Tabla1[Importe total], MATCH($A78, Tabla1[N Doc], 0)),
IF(B78=2,
        INDEX(Tabla1[Base imponible 22], MATCH($A78, Tabla1[N Doc], 0)),
IF(B78=3,
        INDEX(Tabla1[Iva 22], MATCH($A78, Tabla1[N Doc], 0)),
IF(B78=4,
        INDEX(Tabla1[Base imponible 10], MATCH($A78, Tabla1[N Doc], 0)),
IF(B78=5,
        INDEX(Tabla1[Iva 10], MATCH($A78, Tabla1[N Doc], 0)),
IF(B78=6,
        INDEX(Tabla1[Exento], MATCH($A78, Tabla1[N Doc], 0)),
IF(B78=7,
        INDEX(#REF!, MATCH($A78, Tabla1[N Doc], 0)),
IF(B78=8,
        INDEX(#REF!, MATCH($A78, Tabla1[N Doc], 0)),
IF(B78=9,
        INDEX(Tabla1[Descuentos], MATCH($A78, Tabla1[N Doc], 0)),
""))))))))))</f>
        <v/>
      </c>
      <c r="G78" t="str">
        <f>IF(OR($A78="",$A78=0),"",IF(OR(B78=2,B78=4,B78=6,B78=7),
    INDEX(Tabla13[Ind impuestos], MATCH($A78, Tabla13[N Doc], 0)),
""))</f>
        <v/>
      </c>
      <c r="J78" t="str">
        <f>IF(OR($A78="",$A78=0),"",IF(OR(B78=2,B78=4,B78=6,B78=7),
    INDEX(Tabla1[CECO], MATCH($A78, Tabla1[N Doc], 0)),
""))</f>
        <v/>
      </c>
      <c r="M78" t="str">
        <f>IF(C78=31,INDEX(Tabla1[Descripción], MATCH($A78, Tabla1[N Doc], 0)),"")</f>
        <v/>
      </c>
    </row>
    <row r="79" spans="1:13" x14ac:dyDescent="0.3">
      <c r="A79" t="str" cm="1">
        <f t="array" ref="A79">INDEX(Tabla1[N Doc], ROUNDUP((ROW()-1)/9, 0))</f>
        <v/>
      </c>
      <c r="B79" t="str">
        <f>IF(OR(A79="",A79=0),"",CHOOSE(
    COUNTIF($A$2:A79,A79),
    1,2,3,4,5,6,7,8,9
))</f>
        <v/>
      </c>
      <c r="C79" t="str">
        <f t="shared" si="1"/>
        <v/>
      </c>
      <c r="D79" s="7" t="str" cm="1">
        <f t="array" ref="D79">IF(OR($A79="",$A79=0),"",
IF(AND(INDEX(Formulario!$H$14:$H$100, $A79)="Si", C79&lt;&gt;31),
        VLOOKUP("cta puente",'Descripciones de gastos'!G:H, 2, FALSE),
IF(B79=1,
        INDEX(Tabla13[Titular], MATCH($A79, Tabla1[N Doc], 0)),
IF(B79=2,
        INDEX(Tabla1[Cuenta contable], MATCH($A79, Tabla1[N Doc], 0)),
IF(B79=3,
        INDEX(Tabla13[Cta Iva 22], MATCH($A79, Tabla1[N Doc], 0)),
IF(B79=4,
        INDEX(Tabla1[Cuenta contable], MATCH($A79, Tabla1[N Doc], 0)),
IF(B79=5,
        INDEX(Tabla13[Cta Iva 10], MATCH($A79, Tabla1[N Doc], 0)),
IF(B79=6,
        INDEX(Tabla1[Cuenta contable], MATCH($A79, Tabla1[N Doc], 0)),
IF(B79=7,
        INDEX(Tabla1[Cuenta contable], MATCH($A79, Tabla1[N Doc], 0)),
IF(B79=8,
        IF(INDEX(Tabla1[Tipo IVA], MATCH($A79, Tabla1[N Doc], 0))="22%",
             INDEX(Tabla13[Cta Iva 22], MATCH($A79, Tabla1[N Doc], 0)),
             INDEX(Tabla13[Cta Iva 10], MATCH($A79, Tabla1[N Doc], 0))),
IF(B79=9,
        INDEX(Tabla1[Cuenta contable], MATCH($A79, Tabla1[N Doc], 0))
)))))))))))</f>
        <v/>
      </c>
      <c r="F79" t="str">
        <f>IF(OR($A79="",$A79=0),"",IF(B79=1,
        INDEX(Tabla1[Importe total], MATCH($A79, Tabla1[N Doc], 0)),
IF(B79=2,
        INDEX(Tabla1[Base imponible 22], MATCH($A79, Tabla1[N Doc], 0)),
IF(B79=3,
        INDEX(Tabla1[Iva 22], MATCH($A79, Tabla1[N Doc], 0)),
IF(B79=4,
        INDEX(Tabla1[Base imponible 10], MATCH($A79, Tabla1[N Doc], 0)),
IF(B79=5,
        INDEX(Tabla1[Iva 10], MATCH($A79, Tabla1[N Doc], 0)),
IF(B79=6,
        INDEX(Tabla1[Exento], MATCH($A79, Tabla1[N Doc], 0)),
IF(B79=7,
        INDEX(#REF!, MATCH($A79, Tabla1[N Doc], 0)),
IF(B79=8,
        INDEX(#REF!, MATCH($A79, Tabla1[N Doc], 0)),
IF(B79=9,
        INDEX(Tabla1[Descuentos], MATCH($A79, Tabla1[N Doc], 0)),
""))))))))))</f>
        <v/>
      </c>
      <c r="G79" t="str">
        <f>IF(OR($A79="",$A79=0),"",IF(OR(B79=2,B79=4,B79=6,B79=7),
    INDEX(Tabla13[Ind impuestos], MATCH($A79, Tabla13[N Doc], 0)),
""))</f>
        <v/>
      </c>
      <c r="J79" t="str">
        <f>IF(OR($A79="",$A79=0),"",IF(OR(B79=2,B79=4,B79=6,B79=7),
    INDEX(Tabla1[CECO], MATCH($A79, Tabla1[N Doc], 0)),
""))</f>
        <v/>
      </c>
      <c r="M79" t="str">
        <f>IF(C79=31,INDEX(Tabla1[Descripción], MATCH($A79, Tabla1[N Doc], 0)),"")</f>
        <v/>
      </c>
    </row>
    <row r="80" spans="1:13" x14ac:dyDescent="0.3">
      <c r="A80" t="str" cm="1">
        <f t="array" ref="A80">INDEX(Tabla1[N Doc], ROUNDUP((ROW()-1)/9, 0))</f>
        <v/>
      </c>
      <c r="B80" t="str">
        <f>IF(OR(A80="",A80=0),"",CHOOSE(
    COUNTIF($A$2:A80,A80),
    1,2,3,4,5,6,7,8,9
))</f>
        <v/>
      </c>
      <c r="C80" t="str">
        <f t="shared" si="1"/>
        <v/>
      </c>
      <c r="D80" s="7" t="str" cm="1">
        <f t="array" ref="D80">IF(OR($A80="",$A80=0),"",
IF(AND(INDEX(Formulario!$H$14:$H$100, $A80)="Si", C80&lt;&gt;31),
        VLOOKUP("cta puente",'Descripciones de gastos'!G:H, 2, FALSE),
IF(B80=1,
        INDEX(Tabla13[Titular], MATCH($A80, Tabla1[N Doc], 0)),
IF(B80=2,
        INDEX(Tabla1[Cuenta contable], MATCH($A80, Tabla1[N Doc], 0)),
IF(B80=3,
        INDEX(Tabla13[Cta Iva 22], MATCH($A80, Tabla1[N Doc], 0)),
IF(B80=4,
        INDEX(Tabla1[Cuenta contable], MATCH($A80, Tabla1[N Doc], 0)),
IF(B80=5,
        INDEX(Tabla13[Cta Iva 10], MATCH($A80, Tabla1[N Doc], 0)),
IF(B80=6,
        INDEX(Tabla1[Cuenta contable], MATCH($A80, Tabla1[N Doc], 0)),
IF(B80=7,
        INDEX(Tabla1[Cuenta contable], MATCH($A80, Tabla1[N Doc], 0)),
IF(B80=8,
        IF(INDEX(Tabla1[Tipo IVA], MATCH($A80, Tabla1[N Doc], 0))="22%",
             INDEX(Tabla13[Cta Iva 22], MATCH($A80, Tabla1[N Doc], 0)),
             INDEX(Tabla13[Cta Iva 10], MATCH($A80, Tabla1[N Doc], 0))),
IF(B80=9,
        INDEX(Tabla1[Cuenta contable], MATCH($A80, Tabla1[N Doc], 0))
)))))))))))</f>
        <v/>
      </c>
      <c r="F80" t="str">
        <f>IF(OR($A80="",$A80=0),"",IF(B80=1,
        INDEX(Tabla1[Importe total], MATCH($A80, Tabla1[N Doc], 0)),
IF(B80=2,
        INDEX(Tabla1[Base imponible 22], MATCH($A80, Tabla1[N Doc], 0)),
IF(B80=3,
        INDEX(Tabla1[Iva 22], MATCH($A80, Tabla1[N Doc], 0)),
IF(B80=4,
        INDEX(Tabla1[Base imponible 10], MATCH($A80, Tabla1[N Doc], 0)),
IF(B80=5,
        INDEX(Tabla1[Iva 10], MATCH($A80, Tabla1[N Doc], 0)),
IF(B80=6,
        INDEX(Tabla1[Exento], MATCH($A80, Tabla1[N Doc], 0)),
IF(B80=7,
        INDEX(#REF!, MATCH($A80, Tabla1[N Doc], 0)),
IF(B80=8,
        INDEX(#REF!, MATCH($A80, Tabla1[N Doc], 0)),
IF(B80=9,
        INDEX(Tabla1[Descuentos], MATCH($A80, Tabla1[N Doc], 0)),
""))))))))))</f>
        <v/>
      </c>
      <c r="G80" t="str">
        <f>IF(OR($A80="",$A80=0),"",IF(OR(B80=2,B80=4,B80=6,B80=7),
    INDEX(Tabla13[Ind impuestos], MATCH($A80, Tabla13[N Doc], 0)),
""))</f>
        <v/>
      </c>
      <c r="J80" t="str">
        <f>IF(OR($A80="",$A80=0),"",IF(OR(B80=2,B80=4,B80=6,B80=7),
    INDEX(Tabla1[CECO], MATCH($A80, Tabla1[N Doc], 0)),
""))</f>
        <v/>
      </c>
      <c r="M80" t="str">
        <f>IF(C80=31,INDEX(Tabla1[Descripción], MATCH($A80, Tabla1[N Doc], 0)),"")</f>
        <v/>
      </c>
    </row>
    <row r="81" spans="1:13" x14ac:dyDescent="0.3">
      <c r="A81" t="str" cm="1">
        <f t="array" ref="A81">INDEX(Tabla1[N Doc], ROUNDUP((ROW()-1)/9, 0))</f>
        <v/>
      </c>
      <c r="B81" t="str">
        <f>IF(OR(A81="",A81=0),"",CHOOSE(
    COUNTIF($A$2:A81,A81),
    1,2,3,4,5,6,7,8,9
))</f>
        <v/>
      </c>
      <c r="C81" t="str">
        <f t="shared" si="1"/>
        <v/>
      </c>
      <c r="D81" s="7" t="str" cm="1">
        <f t="array" ref="D81">IF(OR($A81="",$A81=0),"",
IF(AND(INDEX(Formulario!$H$14:$H$100, $A81)="Si", C81&lt;&gt;31),
        VLOOKUP("cta puente",'Descripciones de gastos'!G:H, 2, FALSE),
IF(B81=1,
        INDEX(Tabla13[Titular], MATCH($A81, Tabla1[N Doc], 0)),
IF(B81=2,
        INDEX(Tabla1[Cuenta contable], MATCH($A81, Tabla1[N Doc], 0)),
IF(B81=3,
        INDEX(Tabla13[Cta Iva 22], MATCH($A81, Tabla1[N Doc], 0)),
IF(B81=4,
        INDEX(Tabla1[Cuenta contable], MATCH($A81, Tabla1[N Doc], 0)),
IF(B81=5,
        INDEX(Tabla13[Cta Iva 10], MATCH($A81, Tabla1[N Doc], 0)),
IF(B81=6,
        INDEX(Tabla1[Cuenta contable], MATCH($A81, Tabla1[N Doc], 0)),
IF(B81=7,
        INDEX(Tabla1[Cuenta contable], MATCH($A81, Tabla1[N Doc], 0)),
IF(B81=8,
        IF(INDEX(Tabla1[Tipo IVA], MATCH($A81, Tabla1[N Doc], 0))="22%",
             INDEX(Tabla13[Cta Iva 22], MATCH($A81, Tabla1[N Doc], 0)),
             INDEX(Tabla13[Cta Iva 10], MATCH($A81, Tabla1[N Doc], 0))),
IF(B81=9,
        INDEX(Tabla1[Cuenta contable], MATCH($A81, Tabla1[N Doc], 0))
)))))))))))</f>
        <v/>
      </c>
      <c r="F81" t="str">
        <f>IF(OR($A81="",$A81=0),"",IF(B81=1,
        INDEX(Tabla1[Importe total], MATCH($A81, Tabla1[N Doc], 0)),
IF(B81=2,
        INDEX(Tabla1[Base imponible 22], MATCH($A81, Tabla1[N Doc], 0)),
IF(B81=3,
        INDEX(Tabla1[Iva 22], MATCH($A81, Tabla1[N Doc], 0)),
IF(B81=4,
        INDEX(Tabla1[Base imponible 10], MATCH($A81, Tabla1[N Doc], 0)),
IF(B81=5,
        INDEX(Tabla1[Iva 10], MATCH($A81, Tabla1[N Doc], 0)),
IF(B81=6,
        INDEX(Tabla1[Exento], MATCH($A81, Tabla1[N Doc], 0)),
IF(B81=7,
        INDEX(#REF!, MATCH($A81, Tabla1[N Doc], 0)),
IF(B81=8,
        INDEX(#REF!, MATCH($A81, Tabla1[N Doc], 0)),
IF(B81=9,
        INDEX(Tabla1[Descuentos], MATCH($A81, Tabla1[N Doc], 0)),
""))))))))))</f>
        <v/>
      </c>
      <c r="G81" t="str">
        <f>IF(OR($A81="",$A81=0),"",IF(OR(B81=2,B81=4,B81=6,B81=7),
    INDEX(Tabla13[Ind impuestos], MATCH($A81, Tabla13[N Doc], 0)),
""))</f>
        <v/>
      </c>
      <c r="J81" t="str">
        <f>IF(OR($A81="",$A81=0),"",IF(OR(B81=2,B81=4,B81=6,B81=7),
    INDEX(Tabla1[CECO], MATCH($A81, Tabla1[N Doc], 0)),
""))</f>
        <v/>
      </c>
      <c r="M81" t="str">
        <f>IF(C81=31,INDEX(Tabla1[Descripción], MATCH($A81, Tabla1[N Doc], 0)),"")</f>
        <v/>
      </c>
    </row>
    <row r="82" spans="1:13" x14ac:dyDescent="0.3">
      <c r="A82" t="str" cm="1">
        <f t="array" ref="A82">INDEX(Tabla1[N Doc], ROUNDUP((ROW()-1)/9, 0))</f>
        <v/>
      </c>
      <c r="B82" t="str">
        <f>IF(OR(A82="",A82=0),"",CHOOSE(
    COUNTIF($A$2:A82,A82),
    1,2,3,4,5,6,7,8,9
))</f>
        <v/>
      </c>
      <c r="C82" t="str">
        <f t="shared" si="1"/>
        <v/>
      </c>
      <c r="D82" s="7" t="str" cm="1">
        <f t="array" ref="D82">IF(OR($A82="",$A82=0),"",
IF(AND(INDEX(Formulario!$H$14:$H$100, $A82)="Si", C82&lt;&gt;31),
        VLOOKUP("cta puente",'Descripciones de gastos'!G:H, 2, FALSE),
IF(B82=1,
        INDEX(Tabla13[Titular], MATCH($A82, Tabla1[N Doc], 0)),
IF(B82=2,
        INDEX(Tabla1[Cuenta contable], MATCH($A82, Tabla1[N Doc], 0)),
IF(B82=3,
        INDEX(Tabla13[Cta Iva 22], MATCH($A82, Tabla1[N Doc], 0)),
IF(B82=4,
        INDEX(Tabla1[Cuenta contable], MATCH($A82, Tabla1[N Doc], 0)),
IF(B82=5,
        INDEX(Tabla13[Cta Iva 10], MATCH($A82, Tabla1[N Doc], 0)),
IF(B82=6,
        INDEX(Tabla1[Cuenta contable], MATCH($A82, Tabla1[N Doc], 0)),
IF(B82=7,
        INDEX(Tabla1[Cuenta contable], MATCH($A82, Tabla1[N Doc], 0)),
IF(B82=8,
        IF(INDEX(Tabla1[Tipo IVA], MATCH($A82, Tabla1[N Doc], 0))="22%",
             INDEX(Tabla13[Cta Iva 22], MATCH($A82, Tabla1[N Doc], 0)),
             INDEX(Tabla13[Cta Iva 10], MATCH($A82, Tabla1[N Doc], 0))),
IF(B82=9,
        INDEX(Tabla1[Cuenta contable], MATCH($A82, Tabla1[N Doc], 0))
)))))))))))</f>
        <v/>
      </c>
      <c r="F82" t="str">
        <f>IF(OR($A82="",$A82=0),"",IF(B82=1,
        INDEX(Tabla1[Importe total], MATCH($A82, Tabla1[N Doc], 0)),
IF(B82=2,
        INDEX(Tabla1[Base imponible 22], MATCH($A82, Tabla1[N Doc], 0)),
IF(B82=3,
        INDEX(Tabla1[Iva 22], MATCH($A82, Tabla1[N Doc], 0)),
IF(B82=4,
        INDEX(Tabla1[Base imponible 10], MATCH($A82, Tabla1[N Doc], 0)),
IF(B82=5,
        INDEX(Tabla1[Iva 10], MATCH($A82, Tabla1[N Doc], 0)),
IF(B82=6,
        INDEX(Tabla1[Exento], MATCH($A82, Tabla1[N Doc], 0)),
IF(B82=7,
        INDEX(#REF!, MATCH($A82, Tabla1[N Doc], 0)),
IF(B82=8,
        INDEX(#REF!, MATCH($A82, Tabla1[N Doc], 0)),
IF(B82=9,
        INDEX(Tabla1[Descuentos], MATCH($A82, Tabla1[N Doc], 0)),
""))))))))))</f>
        <v/>
      </c>
      <c r="G82" t="str">
        <f>IF(OR($A82="",$A82=0),"",IF(OR(B82=2,B82=4,B82=6,B82=7),
    INDEX(Tabla13[Ind impuestos], MATCH($A82, Tabla13[N Doc], 0)),
""))</f>
        <v/>
      </c>
      <c r="J82" t="str">
        <f>IF(OR($A82="",$A82=0),"",IF(OR(B82=2,B82=4,B82=6,B82=7),
    INDEX(Tabla1[CECO], MATCH($A82, Tabla1[N Doc], 0)),
""))</f>
        <v/>
      </c>
      <c r="M82" t="str">
        <f>IF(C82=31,INDEX(Tabla1[Descripción], MATCH($A82, Tabla1[N Doc], 0)),"")</f>
        <v/>
      </c>
    </row>
    <row r="83" spans="1:13" x14ac:dyDescent="0.3">
      <c r="A83" t="str" cm="1">
        <f t="array" ref="A83">INDEX(Tabla1[N Doc], ROUNDUP((ROW()-1)/9, 0))</f>
        <v/>
      </c>
      <c r="B83" t="str">
        <f>IF(OR(A83="",A83=0),"",CHOOSE(
    COUNTIF($A$2:A83,A83),
    1,2,3,4,5,6,7,8,9
))</f>
        <v/>
      </c>
      <c r="C83" t="str">
        <f t="shared" si="1"/>
        <v/>
      </c>
      <c r="D83" s="7" t="str" cm="1">
        <f t="array" ref="D83">IF(OR($A83="",$A83=0),"",
IF(AND(INDEX(Formulario!$H$14:$H$100, $A83)="Si", C83&lt;&gt;31),
        VLOOKUP("cta puente",'Descripciones de gastos'!G:H, 2, FALSE),
IF(B83=1,
        INDEX(Tabla13[Titular], MATCH($A83, Tabla1[N Doc], 0)),
IF(B83=2,
        INDEX(Tabla1[Cuenta contable], MATCH($A83, Tabla1[N Doc], 0)),
IF(B83=3,
        INDEX(Tabla13[Cta Iva 22], MATCH($A83, Tabla1[N Doc], 0)),
IF(B83=4,
        INDEX(Tabla1[Cuenta contable], MATCH($A83, Tabla1[N Doc], 0)),
IF(B83=5,
        INDEX(Tabla13[Cta Iva 10], MATCH($A83, Tabla1[N Doc], 0)),
IF(B83=6,
        INDEX(Tabla1[Cuenta contable], MATCH($A83, Tabla1[N Doc], 0)),
IF(B83=7,
        INDEX(Tabla1[Cuenta contable], MATCH($A83, Tabla1[N Doc], 0)),
IF(B83=8,
        IF(INDEX(Tabla1[Tipo IVA], MATCH($A83, Tabla1[N Doc], 0))="22%",
             INDEX(Tabla13[Cta Iva 22], MATCH($A83, Tabla1[N Doc], 0)),
             INDEX(Tabla13[Cta Iva 10], MATCH($A83, Tabla1[N Doc], 0))),
IF(B83=9,
        INDEX(Tabla1[Cuenta contable], MATCH($A83, Tabla1[N Doc], 0))
)))))))))))</f>
        <v/>
      </c>
      <c r="F83" t="str">
        <f>IF(OR($A83="",$A83=0),"",IF(B83=1,
        INDEX(Tabla1[Importe total], MATCH($A83, Tabla1[N Doc], 0)),
IF(B83=2,
        INDEX(Tabla1[Base imponible 22], MATCH($A83, Tabla1[N Doc], 0)),
IF(B83=3,
        INDEX(Tabla1[Iva 22], MATCH($A83, Tabla1[N Doc], 0)),
IF(B83=4,
        INDEX(Tabla1[Base imponible 10], MATCH($A83, Tabla1[N Doc], 0)),
IF(B83=5,
        INDEX(Tabla1[Iva 10], MATCH($A83, Tabla1[N Doc], 0)),
IF(B83=6,
        INDEX(Tabla1[Exento], MATCH($A83, Tabla1[N Doc], 0)),
IF(B83=7,
        INDEX(#REF!, MATCH($A83, Tabla1[N Doc], 0)),
IF(B83=8,
        INDEX(#REF!, MATCH($A83, Tabla1[N Doc], 0)),
IF(B83=9,
        INDEX(Tabla1[Descuentos], MATCH($A83, Tabla1[N Doc], 0)),
""))))))))))</f>
        <v/>
      </c>
      <c r="G83" t="str">
        <f>IF(OR($A83="",$A83=0),"",IF(OR(B83=2,B83=4,B83=6,B83=7),
    INDEX(Tabla13[Ind impuestos], MATCH($A83, Tabla13[N Doc], 0)),
""))</f>
        <v/>
      </c>
      <c r="J83" t="str">
        <f>IF(OR($A83="",$A83=0),"",IF(OR(B83=2,B83=4,B83=6,B83=7),
    INDEX(Tabla1[CECO], MATCH($A83, Tabla1[N Doc], 0)),
""))</f>
        <v/>
      </c>
      <c r="M83" t="str">
        <f>IF(C83=31,INDEX(Tabla1[Descripción], MATCH($A83, Tabla1[N Doc], 0)),"")</f>
        <v/>
      </c>
    </row>
    <row r="84" spans="1:13" x14ac:dyDescent="0.3">
      <c r="A84" t="str" cm="1">
        <f t="array" ref="A84">INDEX(Tabla1[N Doc], ROUNDUP((ROW()-1)/9, 0))</f>
        <v/>
      </c>
      <c r="B84" t="str">
        <f>IF(OR(A84="",A84=0),"",CHOOSE(
    COUNTIF($A$2:A84,A84),
    1,2,3,4,5,6,7,8,9
))</f>
        <v/>
      </c>
      <c r="C84" t="str">
        <f t="shared" si="1"/>
        <v/>
      </c>
      <c r="D84" s="7" t="str" cm="1">
        <f t="array" ref="D84">IF(OR($A84="",$A84=0),"",
IF(AND(INDEX(Formulario!$H$14:$H$100, $A84)="Si", C84&lt;&gt;31),
        VLOOKUP("cta puente",'Descripciones de gastos'!G:H, 2, FALSE),
IF(B84=1,
        INDEX(Tabla13[Titular], MATCH($A84, Tabla1[N Doc], 0)),
IF(B84=2,
        INDEX(Tabla1[Cuenta contable], MATCH($A84, Tabla1[N Doc], 0)),
IF(B84=3,
        INDEX(Tabla13[Cta Iva 22], MATCH($A84, Tabla1[N Doc], 0)),
IF(B84=4,
        INDEX(Tabla1[Cuenta contable], MATCH($A84, Tabla1[N Doc], 0)),
IF(B84=5,
        INDEX(Tabla13[Cta Iva 10], MATCH($A84, Tabla1[N Doc], 0)),
IF(B84=6,
        INDEX(Tabla1[Cuenta contable], MATCH($A84, Tabla1[N Doc], 0)),
IF(B84=7,
        INDEX(Tabla1[Cuenta contable], MATCH($A84, Tabla1[N Doc], 0)),
IF(B84=8,
        IF(INDEX(Tabla1[Tipo IVA], MATCH($A84, Tabla1[N Doc], 0))="22%",
             INDEX(Tabla13[Cta Iva 22], MATCH($A84, Tabla1[N Doc], 0)),
             INDEX(Tabla13[Cta Iva 10], MATCH($A84, Tabla1[N Doc], 0))),
IF(B84=9,
        INDEX(Tabla1[Cuenta contable], MATCH($A84, Tabla1[N Doc], 0))
)))))))))))</f>
        <v/>
      </c>
      <c r="F84" t="str">
        <f>IF(OR($A84="",$A84=0),"",IF(B84=1,
        INDEX(Tabla1[Importe total], MATCH($A84, Tabla1[N Doc], 0)),
IF(B84=2,
        INDEX(Tabla1[Base imponible 22], MATCH($A84, Tabla1[N Doc], 0)),
IF(B84=3,
        INDEX(Tabla1[Iva 22], MATCH($A84, Tabla1[N Doc], 0)),
IF(B84=4,
        INDEX(Tabla1[Base imponible 10], MATCH($A84, Tabla1[N Doc], 0)),
IF(B84=5,
        INDEX(Tabla1[Iva 10], MATCH($A84, Tabla1[N Doc], 0)),
IF(B84=6,
        INDEX(Tabla1[Exento], MATCH($A84, Tabla1[N Doc], 0)),
IF(B84=7,
        INDEX(#REF!, MATCH($A84, Tabla1[N Doc], 0)),
IF(B84=8,
        INDEX(#REF!, MATCH($A84, Tabla1[N Doc], 0)),
IF(B84=9,
        INDEX(Tabla1[Descuentos], MATCH($A84, Tabla1[N Doc], 0)),
""))))))))))</f>
        <v/>
      </c>
      <c r="G84" t="str">
        <f>IF(OR($A84="",$A84=0),"",IF(OR(B84=2,B84=4,B84=6,B84=7),
    INDEX(Tabla13[Ind impuestos], MATCH($A84, Tabla13[N Doc], 0)),
""))</f>
        <v/>
      </c>
      <c r="J84" t="str">
        <f>IF(OR($A84="",$A84=0),"",IF(OR(B84=2,B84=4,B84=6,B84=7),
    INDEX(Tabla1[CECO], MATCH($A84, Tabla1[N Doc], 0)),
""))</f>
        <v/>
      </c>
      <c r="M84" t="str">
        <f>IF(C84=31,INDEX(Tabla1[Descripción], MATCH($A84, Tabla1[N Doc], 0)),"")</f>
        <v/>
      </c>
    </row>
    <row r="85" spans="1:13" x14ac:dyDescent="0.3">
      <c r="A85" t="str" cm="1">
        <f t="array" ref="A85">INDEX(Tabla1[N Doc], ROUNDUP((ROW()-1)/9, 0))</f>
        <v/>
      </c>
      <c r="B85" t="str">
        <f>IF(OR(A85="",A85=0),"",CHOOSE(
    COUNTIF($A$2:A85,A85),
    1,2,3,4,5,6,7,8,9
))</f>
        <v/>
      </c>
      <c r="C85" t="str">
        <f t="shared" si="1"/>
        <v/>
      </c>
      <c r="D85" s="7" t="str" cm="1">
        <f t="array" ref="D85">IF(OR($A85="",$A85=0),"",
IF(AND(INDEX(Formulario!$H$14:$H$100, $A85)="Si", C85&lt;&gt;31),
        VLOOKUP("cta puente",'Descripciones de gastos'!G:H, 2, FALSE),
IF(B85=1,
        INDEX(Tabla13[Titular], MATCH($A85, Tabla1[N Doc], 0)),
IF(B85=2,
        INDEX(Tabla1[Cuenta contable], MATCH($A85, Tabla1[N Doc], 0)),
IF(B85=3,
        INDEX(Tabla13[Cta Iva 22], MATCH($A85, Tabla1[N Doc], 0)),
IF(B85=4,
        INDEX(Tabla1[Cuenta contable], MATCH($A85, Tabla1[N Doc], 0)),
IF(B85=5,
        INDEX(Tabla13[Cta Iva 10], MATCH($A85, Tabla1[N Doc], 0)),
IF(B85=6,
        INDEX(Tabla1[Cuenta contable], MATCH($A85, Tabla1[N Doc], 0)),
IF(B85=7,
        INDEX(Tabla1[Cuenta contable], MATCH($A85, Tabla1[N Doc], 0)),
IF(B85=8,
        IF(INDEX(Tabla1[Tipo IVA], MATCH($A85, Tabla1[N Doc], 0))="22%",
             INDEX(Tabla13[Cta Iva 22], MATCH($A85, Tabla1[N Doc], 0)),
             INDEX(Tabla13[Cta Iva 10], MATCH($A85, Tabla1[N Doc], 0))),
IF(B85=9,
        INDEX(Tabla1[Cuenta contable], MATCH($A85, Tabla1[N Doc], 0))
)))))))))))</f>
        <v/>
      </c>
      <c r="F85" t="str">
        <f>IF(OR($A85="",$A85=0),"",IF(B85=1,
        INDEX(Tabla1[Importe total], MATCH($A85, Tabla1[N Doc], 0)),
IF(B85=2,
        INDEX(Tabla1[Base imponible 22], MATCH($A85, Tabla1[N Doc], 0)),
IF(B85=3,
        INDEX(Tabla1[Iva 22], MATCH($A85, Tabla1[N Doc], 0)),
IF(B85=4,
        INDEX(Tabla1[Base imponible 10], MATCH($A85, Tabla1[N Doc], 0)),
IF(B85=5,
        INDEX(Tabla1[Iva 10], MATCH($A85, Tabla1[N Doc], 0)),
IF(B85=6,
        INDEX(Tabla1[Exento], MATCH($A85, Tabla1[N Doc], 0)),
IF(B85=7,
        INDEX(#REF!, MATCH($A85, Tabla1[N Doc], 0)),
IF(B85=8,
        INDEX(#REF!, MATCH($A85, Tabla1[N Doc], 0)),
IF(B85=9,
        INDEX(Tabla1[Descuentos], MATCH($A85, Tabla1[N Doc], 0)),
""))))))))))</f>
        <v/>
      </c>
      <c r="G85" t="str">
        <f>IF(OR($A85="",$A85=0),"",IF(OR(B85=2,B85=4,B85=6,B85=7),
    INDEX(Tabla13[Ind impuestos], MATCH($A85, Tabla13[N Doc], 0)),
""))</f>
        <v/>
      </c>
      <c r="J85" t="str">
        <f>IF(OR($A85="",$A85=0),"",IF(OR(B85=2,B85=4,B85=6,B85=7),
    INDEX(Tabla1[CECO], MATCH($A85, Tabla1[N Doc], 0)),
""))</f>
        <v/>
      </c>
      <c r="M85" t="str">
        <f>IF(C85=31,INDEX(Tabla1[Descripción], MATCH($A85, Tabla1[N Doc], 0)),"")</f>
        <v/>
      </c>
    </row>
    <row r="86" spans="1:13" x14ac:dyDescent="0.3">
      <c r="A86" t="str" cm="1">
        <f t="array" ref="A86">INDEX(Tabla1[N Doc], ROUNDUP((ROW()-1)/9, 0))</f>
        <v/>
      </c>
      <c r="B86" t="str">
        <f>IF(OR(A86="",A86=0),"",CHOOSE(
    COUNTIF($A$2:A86,A86),
    1,2,3,4,5,6,7,8,9
))</f>
        <v/>
      </c>
      <c r="C86" t="str">
        <f t="shared" si="1"/>
        <v/>
      </c>
      <c r="D86" s="7" t="str" cm="1">
        <f t="array" ref="D86">IF(OR($A86="",$A86=0),"",
IF(AND(INDEX(Formulario!$H$14:$H$100, $A86)="Si", C86&lt;&gt;31),
        VLOOKUP("cta puente",'Descripciones de gastos'!G:H, 2, FALSE),
IF(B86=1,
        INDEX(Tabla13[Titular], MATCH($A86, Tabla1[N Doc], 0)),
IF(B86=2,
        INDEX(Tabla1[Cuenta contable], MATCH($A86, Tabla1[N Doc], 0)),
IF(B86=3,
        INDEX(Tabla13[Cta Iva 22], MATCH($A86, Tabla1[N Doc], 0)),
IF(B86=4,
        INDEX(Tabla1[Cuenta contable], MATCH($A86, Tabla1[N Doc], 0)),
IF(B86=5,
        INDEX(Tabla13[Cta Iva 10], MATCH($A86, Tabla1[N Doc], 0)),
IF(B86=6,
        INDEX(Tabla1[Cuenta contable], MATCH($A86, Tabla1[N Doc], 0)),
IF(B86=7,
        INDEX(Tabla1[Cuenta contable], MATCH($A86, Tabla1[N Doc], 0)),
IF(B86=8,
        IF(INDEX(Tabla1[Tipo IVA], MATCH($A86, Tabla1[N Doc], 0))="22%",
             INDEX(Tabla13[Cta Iva 22], MATCH($A86, Tabla1[N Doc], 0)),
             INDEX(Tabla13[Cta Iva 10], MATCH($A86, Tabla1[N Doc], 0))),
IF(B86=9,
        INDEX(Tabla1[Cuenta contable], MATCH($A86, Tabla1[N Doc], 0))
)))))))))))</f>
        <v/>
      </c>
      <c r="F86" t="str">
        <f>IF(OR($A86="",$A86=0),"",IF(B86=1,
        INDEX(Tabla1[Importe total], MATCH($A86, Tabla1[N Doc], 0)),
IF(B86=2,
        INDEX(Tabla1[Base imponible 22], MATCH($A86, Tabla1[N Doc], 0)),
IF(B86=3,
        INDEX(Tabla1[Iva 22], MATCH($A86, Tabla1[N Doc], 0)),
IF(B86=4,
        INDEX(Tabla1[Base imponible 10], MATCH($A86, Tabla1[N Doc], 0)),
IF(B86=5,
        INDEX(Tabla1[Iva 10], MATCH($A86, Tabla1[N Doc], 0)),
IF(B86=6,
        INDEX(Tabla1[Exento], MATCH($A86, Tabla1[N Doc], 0)),
IF(B86=7,
        INDEX(#REF!, MATCH($A86, Tabla1[N Doc], 0)),
IF(B86=8,
        INDEX(#REF!, MATCH($A86, Tabla1[N Doc], 0)),
IF(B86=9,
        INDEX(Tabla1[Descuentos], MATCH($A86, Tabla1[N Doc], 0)),
""))))))))))</f>
        <v/>
      </c>
      <c r="G86" t="str">
        <f>IF(OR($A86="",$A86=0),"",IF(OR(B86=2,B86=4,B86=6,B86=7),
    INDEX(Tabla13[Ind impuestos], MATCH($A86, Tabla13[N Doc], 0)),
""))</f>
        <v/>
      </c>
      <c r="J86" t="str">
        <f>IF(OR($A86="",$A86=0),"",IF(OR(B86=2,B86=4,B86=6,B86=7),
    INDEX(Tabla1[CECO], MATCH($A86, Tabla1[N Doc], 0)),
""))</f>
        <v/>
      </c>
      <c r="M86" t="str">
        <f>IF(C86=31,INDEX(Tabla1[Descripción], MATCH($A86, Tabla1[N Doc], 0)),"")</f>
        <v/>
      </c>
    </row>
    <row r="87" spans="1:13" x14ac:dyDescent="0.3">
      <c r="A87" t="str" cm="1">
        <f t="array" ref="A87">INDEX(Tabla1[N Doc], ROUNDUP((ROW()-1)/9, 0))</f>
        <v/>
      </c>
      <c r="B87" t="str">
        <f>IF(OR(A87="",A87=0),"",CHOOSE(
    COUNTIF($A$2:A87,A87),
    1,2,3,4,5,6,7,8,9
))</f>
        <v/>
      </c>
      <c r="C87" t="str">
        <f t="shared" si="1"/>
        <v/>
      </c>
      <c r="D87" s="7" t="str" cm="1">
        <f t="array" ref="D87">IF(OR($A87="",$A87=0),"",
IF(AND(INDEX(Formulario!$H$14:$H$100, $A87)="Si", C87&lt;&gt;31),
        VLOOKUP("cta puente",'Descripciones de gastos'!G:H, 2, FALSE),
IF(B87=1,
        INDEX(Tabla13[Titular], MATCH($A87, Tabla1[N Doc], 0)),
IF(B87=2,
        INDEX(Tabla1[Cuenta contable], MATCH($A87, Tabla1[N Doc], 0)),
IF(B87=3,
        INDEX(Tabla13[Cta Iva 22], MATCH($A87, Tabla1[N Doc], 0)),
IF(B87=4,
        INDEX(Tabla1[Cuenta contable], MATCH($A87, Tabla1[N Doc], 0)),
IF(B87=5,
        INDEX(Tabla13[Cta Iva 10], MATCH($A87, Tabla1[N Doc], 0)),
IF(B87=6,
        INDEX(Tabla1[Cuenta contable], MATCH($A87, Tabla1[N Doc], 0)),
IF(B87=7,
        INDEX(Tabla1[Cuenta contable], MATCH($A87, Tabla1[N Doc], 0)),
IF(B87=8,
        IF(INDEX(Tabla1[Tipo IVA], MATCH($A87, Tabla1[N Doc], 0))="22%",
             INDEX(Tabla13[Cta Iva 22], MATCH($A87, Tabla1[N Doc], 0)),
             INDEX(Tabla13[Cta Iva 10], MATCH($A87, Tabla1[N Doc], 0))),
IF(B87=9,
        INDEX(Tabla1[Cuenta contable], MATCH($A87, Tabla1[N Doc], 0))
)))))))))))</f>
        <v/>
      </c>
      <c r="F87" t="str">
        <f>IF(OR($A87="",$A87=0),"",IF(B87=1,
        INDEX(Tabla1[Importe total], MATCH($A87, Tabla1[N Doc], 0)),
IF(B87=2,
        INDEX(Tabla1[Base imponible 22], MATCH($A87, Tabla1[N Doc], 0)),
IF(B87=3,
        INDEX(Tabla1[Iva 22], MATCH($A87, Tabla1[N Doc], 0)),
IF(B87=4,
        INDEX(Tabla1[Base imponible 10], MATCH($A87, Tabla1[N Doc], 0)),
IF(B87=5,
        INDEX(Tabla1[Iva 10], MATCH($A87, Tabla1[N Doc], 0)),
IF(B87=6,
        INDEX(Tabla1[Exento], MATCH($A87, Tabla1[N Doc], 0)),
IF(B87=7,
        INDEX(#REF!, MATCH($A87, Tabla1[N Doc], 0)),
IF(B87=8,
        INDEX(#REF!, MATCH($A87, Tabla1[N Doc], 0)),
IF(B87=9,
        INDEX(Tabla1[Descuentos], MATCH($A87, Tabla1[N Doc], 0)),
""))))))))))</f>
        <v/>
      </c>
      <c r="G87" t="str">
        <f>IF(OR($A87="",$A87=0),"",IF(OR(B87=2,B87=4,B87=6,B87=7),
    INDEX(Tabla13[Ind impuestos], MATCH($A87, Tabla13[N Doc], 0)),
""))</f>
        <v/>
      </c>
      <c r="J87" t="str">
        <f>IF(OR($A87="",$A87=0),"",IF(OR(B87=2,B87=4,B87=6,B87=7),
    INDEX(Tabla1[CECO], MATCH($A87, Tabla1[N Doc], 0)),
""))</f>
        <v/>
      </c>
      <c r="M87" t="str">
        <f>IF(C87=31,INDEX(Tabla1[Descripción], MATCH($A87, Tabla1[N Doc], 0)),"")</f>
        <v/>
      </c>
    </row>
    <row r="88" spans="1:13" x14ac:dyDescent="0.3">
      <c r="A88" t="str" cm="1">
        <f t="array" ref="A88">INDEX(Tabla1[N Doc], ROUNDUP((ROW()-1)/9, 0))</f>
        <v/>
      </c>
      <c r="B88" t="str">
        <f>IF(OR(A88="",A88=0),"",CHOOSE(
    COUNTIF($A$2:A88,A88),
    1,2,3,4,5,6,7,8,9
))</f>
        <v/>
      </c>
      <c r="C88" t="str">
        <f t="shared" si="1"/>
        <v/>
      </c>
      <c r="D88" s="7" t="str" cm="1">
        <f t="array" ref="D88">IF(OR($A88="",$A88=0),"",
IF(AND(INDEX(Formulario!$H$14:$H$100, $A88)="Si", C88&lt;&gt;31),
        VLOOKUP("cta puente",'Descripciones de gastos'!G:H, 2, FALSE),
IF(B88=1,
        INDEX(Tabla13[Titular], MATCH($A88, Tabla1[N Doc], 0)),
IF(B88=2,
        INDEX(Tabla1[Cuenta contable], MATCH($A88, Tabla1[N Doc], 0)),
IF(B88=3,
        INDEX(Tabla13[Cta Iva 22], MATCH($A88, Tabla1[N Doc], 0)),
IF(B88=4,
        INDEX(Tabla1[Cuenta contable], MATCH($A88, Tabla1[N Doc], 0)),
IF(B88=5,
        INDEX(Tabla13[Cta Iva 10], MATCH($A88, Tabla1[N Doc], 0)),
IF(B88=6,
        INDEX(Tabla1[Cuenta contable], MATCH($A88, Tabla1[N Doc], 0)),
IF(B88=7,
        INDEX(Tabla1[Cuenta contable], MATCH($A88, Tabla1[N Doc], 0)),
IF(B88=8,
        IF(INDEX(Tabla1[Tipo IVA], MATCH($A88, Tabla1[N Doc], 0))="22%",
             INDEX(Tabla13[Cta Iva 22], MATCH($A88, Tabla1[N Doc], 0)),
             INDEX(Tabla13[Cta Iva 10], MATCH($A88, Tabla1[N Doc], 0))),
IF(B88=9,
        INDEX(Tabla1[Cuenta contable], MATCH($A88, Tabla1[N Doc], 0))
)))))))))))</f>
        <v/>
      </c>
      <c r="F88" t="str">
        <f>IF(OR($A88="",$A88=0),"",IF(B88=1,
        INDEX(Tabla1[Importe total], MATCH($A88, Tabla1[N Doc], 0)),
IF(B88=2,
        INDEX(Tabla1[Base imponible 22], MATCH($A88, Tabla1[N Doc], 0)),
IF(B88=3,
        INDEX(Tabla1[Iva 22], MATCH($A88, Tabla1[N Doc], 0)),
IF(B88=4,
        INDEX(Tabla1[Base imponible 10], MATCH($A88, Tabla1[N Doc], 0)),
IF(B88=5,
        INDEX(Tabla1[Iva 10], MATCH($A88, Tabla1[N Doc], 0)),
IF(B88=6,
        INDEX(Tabla1[Exento], MATCH($A88, Tabla1[N Doc], 0)),
IF(B88=7,
        INDEX(#REF!, MATCH($A88, Tabla1[N Doc], 0)),
IF(B88=8,
        INDEX(#REF!, MATCH($A88, Tabla1[N Doc], 0)),
IF(B88=9,
        INDEX(Tabla1[Descuentos], MATCH($A88, Tabla1[N Doc], 0)),
""))))))))))</f>
        <v/>
      </c>
      <c r="G88" t="str">
        <f>IF(OR($A88="",$A88=0),"",IF(OR(B88=2,B88=4,B88=6,B88=7),
    INDEX(Tabla13[Ind impuestos], MATCH($A88, Tabla13[N Doc], 0)),
""))</f>
        <v/>
      </c>
      <c r="J88" t="str">
        <f>IF(OR($A88="",$A88=0),"",IF(OR(B88=2,B88=4,B88=6,B88=7),
    INDEX(Tabla1[CECO], MATCH($A88, Tabla1[N Doc], 0)),
""))</f>
        <v/>
      </c>
      <c r="M88" t="str">
        <f>IF(C88=31,INDEX(Tabla1[Descripción], MATCH($A88, Tabla1[N Doc], 0)),"")</f>
        <v/>
      </c>
    </row>
    <row r="89" spans="1:13" x14ac:dyDescent="0.3">
      <c r="A89" t="str" cm="1">
        <f t="array" ref="A89">INDEX(Tabla1[N Doc], ROUNDUP((ROW()-1)/9, 0))</f>
        <v/>
      </c>
      <c r="B89" t="str">
        <f>IF(OR(A89="",A89=0),"",CHOOSE(
    COUNTIF($A$2:A89,A89),
    1,2,3,4,5,6,7,8,9
))</f>
        <v/>
      </c>
      <c r="C89" t="str">
        <f t="shared" si="1"/>
        <v/>
      </c>
      <c r="D89" s="7" t="str" cm="1">
        <f t="array" ref="D89">IF(OR($A89="",$A89=0),"",
IF(AND(INDEX(Formulario!$H$14:$H$100, $A89)="Si", C89&lt;&gt;31),
        VLOOKUP("cta puente",'Descripciones de gastos'!G:H, 2, FALSE),
IF(B89=1,
        INDEX(Tabla13[Titular], MATCH($A89, Tabla1[N Doc], 0)),
IF(B89=2,
        INDEX(Tabla1[Cuenta contable], MATCH($A89, Tabla1[N Doc], 0)),
IF(B89=3,
        INDEX(Tabla13[Cta Iva 22], MATCH($A89, Tabla1[N Doc], 0)),
IF(B89=4,
        INDEX(Tabla1[Cuenta contable], MATCH($A89, Tabla1[N Doc], 0)),
IF(B89=5,
        INDEX(Tabla13[Cta Iva 10], MATCH($A89, Tabla1[N Doc], 0)),
IF(B89=6,
        INDEX(Tabla1[Cuenta contable], MATCH($A89, Tabla1[N Doc], 0)),
IF(B89=7,
        INDEX(Tabla1[Cuenta contable], MATCH($A89, Tabla1[N Doc], 0)),
IF(B89=8,
        IF(INDEX(Tabla1[Tipo IVA], MATCH($A89, Tabla1[N Doc], 0))="22%",
             INDEX(Tabla13[Cta Iva 22], MATCH($A89, Tabla1[N Doc], 0)),
             INDEX(Tabla13[Cta Iva 10], MATCH($A89, Tabla1[N Doc], 0))),
IF(B89=9,
        INDEX(Tabla1[Cuenta contable], MATCH($A89, Tabla1[N Doc], 0))
)))))))))))</f>
        <v/>
      </c>
      <c r="F89" t="str">
        <f>IF(OR($A89="",$A89=0),"",IF(B89=1,
        INDEX(Tabla1[Importe total], MATCH($A89, Tabla1[N Doc], 0)),
IF(B89=2,
        INDEX(Tabla1[Base imponible 22], MATCH($A89, Tabla1[N Doc], 0)),
IF(B89=3,
        INDEX(Tabla1[Iva 22], MATCH($A89, Tabla1[N Doc], 0)),
IF(B89=4,
        INDEX(Tabla1[Base imponible 10], MATCH($A89, Tabla1[N Doc], 0)),
IF(B89=5,
        INDEX(Tabla1[Iva 10], MATCH($A89, Tabla1[N Doc], 0)),
IF(B89=6,
        INDEX(Tabla1[Exento], MATCH($A89, Tabla1[N Doc], 0)),
IF(B89=7,
        INDEX(#REF!, MATCH($A89, Tabla1[N Doc], 0)),
IF(B89=8,
        INDEX(#REF!, MATCH($A89, Tabla1[N Doc], 0)),
IF(B89=9,
        INDEX(Tabla1[Descuentos], MATCH($A89, Tabla1[N Doc], 0)),
""))))))))))</f>
        <v/>
      </c>
      <c r="G89" t="str">
        <f>IF(OR($A89="",$A89=0),"",IF(OR(B89=2,B89=4,B89=6,B89=7),
    INDEX(Tabla13[Ind impuestos], MATCH($A89, Tabla13[N Doc], 0)),
""))</f>
        <v/>
      </c>
      <c r="J89" t="str">
        <f>IF(OR($A89="",$A89=0),"",IF(OR(B89=2,B89=4,B89=6,B89=7),
    INDEX(Tabla1[CECO], MATCH($A89, Tabla1[N Doc], 0)),
""))</f>
        <v/>
      </c>
      <c r="M89" t="str">
        <f>IF(C89=31,INDEX(Tabla1[Descripción], MATCH($A89, Tabla1[N Doc], 0)),"")</f>
        <v/>
      </c>
    </row>
    <row r="90" spans="1:13" x14ac:dyDescent="0.3">
      <c r="A90" t="str" cm="1">
        <f t="array" ref="A90">INDEX(Tabla1[N Doc], ROUNDUP((ROW()-1)/9, 0))</f>
        <v/>
      </c>
      <c r="B90" t="str">
        <f>IF(OR(A90="",A90=0),"",CHOOSE(
    COUNTIF($A$2:A90,A90),
    1,2,3,4,5,6,7,8,9
))</f>
        <v/>
      </c>
      <c r="C90" t="str">
        <f t="shared" si="1"/>
        <v/>
      </c>
      <c r="D90" s="7" t="str" cm="1">
        <f t="array" ref="D90">IF(OR($A90="",$A90=0),"",
IF(AND(INDEX(Formulario!$H$14:$H$100, $A90)="Si", C90&lt;&gt;31),
        VLOOKUP("cta puente",'Descripciones de gastos'!G:H, 2, FALSE),
IF(B90=1,
        INDEX(Tabla13[Titular], MATCH($A90, Tabla1[N Doc], 0)),
IF(B90=2,
        INDEX(Tabla1[Cuenta contable], MATCH($A90, Tabla1[N Doc], 0)),
IF(B90=3,
        INDEX(Tabla13[Cta Iva 22], MATCH($A90, Tabla1[N Doc], 0)),
IF(B90=4,
        INDEX(Tabla1[Cuenta contable], MATCH($A90, Tabla1[N Doc], 0)),
IF(B90=5,
        INDEX(Tabla13[Cta Iva 10], MATCH($A90, Tabla1[N Doc], 0)),
IF(B90=6,
        INDEX(Tabla1[Cuenta contable], MATCH($A90, Tabla1[N Doc], 0)),
IF(B90=7,
        INDEX(Tabla1[Cuenta contable], MATCH($A90, Tabla1[N Doc], 0)),
IF(B90=8,
        IF(INDEX(Tabla1[Tipo IVA], MATCH($A90, Tabla1[N Doc], 0))="22%",
             INDEX(Tabla13[Cta Iva 22], MATCH($A90, Tabla1[N Doc], 0)),
             INDEX(Tabla13[Cta Iva 10], MATCH($A90, Tabla1[N Doc], 0))),
IF(B90=9,
        INDEX(Tabla1[Cuenta contable], MATCH($A90, Tabla1[N Doc], 0))
)))))))))))</f>
        <v/>
      </c>
      <c r="F90" t="str">
        <f>IF(OR($A90="",$A90=0),"",IF(B90=1,
        INDEX(Tabla1[Importe total], MATCH($A90, Tabla1[N Doc], 0)),
IF(B90=2,
        INDEX(Tabla1[Base imponible 22], MATCH($A90, Tabla1[N Doc], 0)),
IF(B90=3,
        INDEX(Tabla1[Iva 22], MATCH($A90, Tabla1[N Doc], 0)),
IF(B90=4,
        INDEX(Tabla1[Base imponible 10], MATCH($A90, Tabla1[N Doc], 0)),
IF(B90=5,
        INDEX(Tabla1[Iva 10], MATCH($A90, Tabla1[N Doc], 0)),
IF(B90=6,
        INDEX(Tabla1[Exento], MATCH($A90, Tabla1[N Doc], 0)),
IF(B90=7,
        INDEX(#REF!, MATCH($A90, Tabla1[N Doc], 0)),
IF(B90=8,
        INDEX(#REF!, MATCH($A90, Tabla1[N Doc], 0)),
IF(B90=9,
        INDEX(Tabla1[Descuentos], MATCH($A90, Tabla1[N Doc], 0)),
""))))))))))</f>
        <v/>
      </c>
      <c r="G90" t="str">
        <f>IF(OR($A90="",$A90=0),"",IF(OR(B90=2,B90=4,B90=6,B90=7),
    INDEX(Tabla13[Ind impuestos], MATCH($A90, Tabla13[N Doc], 0)),
""))</f>
        <v/>
      </c>
      <c r="J90" t="str">
        <f>IF(OR($A90="",$A90=0),"",IF(OR(B90=2,B90=4,B90=6,B90=7),
    INDEX(Tabla1[CECO], MATCH($A90, Tabla1[N Doc], 0)),
""))</f>
        <v/>
      </c>
      <c r="M90" t="str">
        <f>IF(C90=31,INDEX(Tabla1[Descripción], MATCH($A90, Tabla1[N Doc], 0)),"")</f>
        <v/>
      </c>
    </row>
    <row r="91" spans="1:13" x14ac:dyDescent="0.3">
      <c r="A91" t="str" cm="1">
        <f t="array" ref="A91">INDEX(Tabla1[N Doc], ROUNDUP((ROW()-1)/9, 0))</f>
        <v/>
      </c>
      <c r="B91" t="str">
        <f>IF(OR(A91="",A91=0),"",CHOOSE(
    COUNTIF($A$2:A91,A91),
    1,2,3,4,5,6,7,8,9
))</f>
        <v/>
      </c>
      <c r="C91" t="str">
        <f t="shared" si="1"/>
        <v/>
      </c>
      <c r="D91" s="7" t="str" cm="1">
        <f t="array" ref="D91">IF(OR($A91="",$A91=0),"",
IF(AND(INDEX(Formulario!$H$14:$H$100, $A91)="Si", C91&lt;&gt;31),
        VLOOKUP("cta puente",'Descripciones de gastos'!G:H, 2, FALSE),
IF(B91=1,
        INDEX(Tabla13[Titular], MATCH($A91, Tabla1[N Doc], 0)),
IF(B91=2,
        INDEX(Tabla1[Cuenta contable], MATCH($A91, Tabla1[N Doc], 0)),
IF(B91=3,
        INDEX(Tabla13[Cta Iva 22], MATCH($A91, Tabla1[N Doc], 0)),
IF(B91=4,
        INDEX(Tabla1[Cuenta contable], MATCH($A91, Tabla1[N Doc], 0)),
IF(B91=5,
        INDEX(Tabla13[Cta Iva 10], MATCH($A91, Tabla1[N Doc], 0)),
IF(B91=6,
        INDEX(Tabla1[Cuenta contable], MATCH($A91, Tabla1[N Doc], 0)),
IF(B91=7,
        INDEX(Tabla1[Cuenta contable], MATCH($A91, Tabla1[N Doc], 0)),
IF(B91=8,
        IF(INDEX(Tabla1[Tipo IVA], MATCH($A91, Tabla1[N Doc], 0))="22%",
             INDEX(Tabla13[Cta Iva 22], MATCH($A91, Tabla1[N Doc], 0)),
             INDEX(Tabla13[Cta Iva 10], MATCH($A91, Tabla1[N Doc], 0))),
IF(B91=9,
        INDEX(Tabla1[Cuenta contable], MATCH($A91, Tabla1[N Doc], 0))
)))))))))))</f>
        <v/>
      </c>
      <c r="F91" t="str">
        <f>IF(OR($A91="",$A91=0),"",IF(B91=1,
        INDEX(Tabla1[Importe total], MATCH($A91, Tabla1[N Doc], 0)),
IF(B91=2,
        INDEX(Tabla1[Base imponible 22], MATCH($A91, Tabla1[N Doc], 0)),
IF(B91=3,
        INDEX(Tabla1[Iva 22], MATCH($A91, Tabla1[N Doc], 0)),
IF(B91=4,
        INDEX(Tabla1[Base imponible 10], MATCH($A91, Tabla1[N Doc], 0)),
IF(B91=5,
        INDEX(Tabla1[Iva 10], MATCH($A91, Tabla1[N Doc], 0)),
IF(B91=6,
        INDEX(Tabla1[Exento], MATCH($A91, Tabla1[N Doc], 0)),
IF(B91=7,
        INDEX(#REF!, MATCH($A91, Tabla1[N Doc], 0)),
IF(B91=8,
        INDEX(#REF!, MATCH($A91, Tabla1[N Doc], 0)),
IF(B91=9,
        INDEX(Tabla1[Descuentos], MATCH($A91, Tabla1[N Doc], 0)),
""))))))))))</f>
        <v/>
      </c>
      <c r="G91" t="str">
        <f>IF(OR($A91="",$A91=0),"",IF(OR(B91=2,B91=4,B91=6,B91=7),
    INDEX(Tabla13[Ind impuestos], MATCH($A91, Tabla13[N Doc], 0)),
""))</f>
        <v/>
      </c>
      <c r="J91" t="str">
        <f>IF(OR($A91="",$A91=0),"",IF(OR(B91=2,B91=4,B91=6,B91=7),
    INDEX(Tabla1[CECO], MATCH($A91, Tabla1[N Doc], 0)),
""))</f>
        <v/>
      </c>
      <c r="M91" t="str">
        <f>IF(C91=31,INDEX(Tabla1[Descripción], MATCH($A91, Tabla1[N Doc], 0)),"")</f>
        <v/>
      </c>
    </row>
    <row r="92" spans="1:13" x14ac:dyDescent="0.3">
      <c r="A92" t="str" cm="1">
        <f t="array" ref="A92">INDEX(Tabla1[N Doc], ROUNDUP((ROW()-1)/9, 0))</f>
        <v/>
      </c>
      <c r="B92" t="str">
        <f>IF(OR(A92="",A92=0),"",CHOOSE(
    COUNTIF($A$2:A92,A92),
    1,2,3,4,5,6,7,8,9
))</f>
        <v/>
      </c>
      <c r="C92" t="str">
        <f t="shared" si="1"/>
        <v/>
      </c>
      <c r="D92" s="7" t="str" cm="1">
        <f t="array" ref="D92">IF(OR($A92="",$A92=0),"",
IF(AND(INDEX(Formulario!$H$14:$H$100, $A92)="Si", C92&lt;&gt;31),
        VLOOKUP("cta puente",'Descripciones de gastos'!G:H, 2, FALSE),
IF(B92=1,
        INDEX(Tabla13[Titular], MATCH($A92, Tabla1[N Doc], 0)),
IF(B92=2,
        INDEX(Tabla1[Cuenta contable], MATCH($A92, Tabla1[N Doc], 0)),
IF(B92=3,
        INDEX(Tabla13[Cta Iva 22], MATCH($A92, Tabla1[N Doc], 0)),
IF(B92=4,
        INDEX(Tabla1[Cuenta contable], MATCH($A92, Tabla1[N Doc], 0)),
IF(B92=5,
        INDEX(Tabla13[Cta Iva 10], MATCH($A92, Tabla1[N Doc], 0)),
IF(B92=6,
        INDEX(Tabla1[Cuenta contable], MATCH($A92, Tabla1[N Doc], 0)),
IF(B92=7,
        INDEX(Tabla1[Cuenta contable], MATCH($A92, Tabla1[N Doc], 0)),
IF(B92=8,
        IF(INDEX(Tabla1[Tipo IVA], MATCH($A92, Tabla1[N Doc], 0))="22%",
             INDEX(Tabla13[Cta Iva 22], MATCH($A92, Tabla1[N Doc], 0)),
             INDEX(Tabla13[Cta Iva 10], MATCH($A92, Tabla1[N Doc], 0))),
IF(B92=9,
        INDEX(Tabla1[Cuenta contable], MATCH($A92, Tabla1[N Doc], 0))
)))))))))))</f>
        <v/>
      </c>
      <c r="F92" t="str">
        <f>IF(OR($A92="",$A92=0),"",IF(B92=1,
        INDEX(Tabla1[Importe total], MATCH($A92, Tabla1[N Doc], 0)),
IF(B92=2,
        INDEX(Tabla1[Base imponible 22], MATCH($A92, Tabla1[N Doc], 0)),
IF(B92=3,
        INDEX(Tabla1[Iva 22], MATCH($A92, Tabla1[N Doc], 0)),
IF(B92=4,
        INDEX(Tabla1[Base imponible 10], MATCH($A92, Tabla1[N Doc], 0)),
IF(B92=5,
        INDEX(Tabla1[Iva 10], MATCH($A92, Tabla1[N Doc], 0)),
IF(B92=6,
        INDEX(Tabla1[Exento], MATCH($A92, Tabla1[N Doc], 0)),
IF(B92=7,
        INDEX(#REF!, MATCH($A92, Tabla1[N Doc], 0)),
IF(B92=8,
        INDEX(#REF!, MATCH($A92, Tabla1[N Doc], 0)),
IF(B92=9,
        INDEX(Tabla1[Descuentos], MATCH($A92, Tabla1[N Doc], 0)),
""))))))))))</f>
        <v/>
      </c>
      <c r="G92" t="str">
        <f>IF(OR($A92="",$A92=0),"",IF(OR(B92=2,B92=4,B92=6,B92=7),
    INDEX(Tabla13[Ind impuestos], MATCH($A92, Tabla13[N Doc], 0)),
""))</f>
        <v/>
      </c>
      <c r="J92" t="str">
        <f>IF(OR($A92="",$A92=0),"",IF(OR(B92=2,B92=4,B92=6,B92=7),
    INDEX(Tabla1[CECO], MATCH($A92, Tabla1[N Doc], 0)),
""))</f>
        <v/>
      </c>
      <c r="M92" t="str">
        <f>IF(C92=31,INDEX(Tabla1[Descripción], MATCH($A92, Tabla1[N Doc], 0)),"")</f>
        <v/>
      </c>
    </row>
    <row r="93" spans="1:13" x14ac:dyDescent="0.3">
      <c r="A93" t="str" cm="1">
        <f t="array" ref="A93">INDEX(Tabla1[N Doc], ROUNDUP((ROW()-1)/9, 0))</f>
        <v/>
      </c>
      <c r="B93" t="str">
        <f>IF(OR(A93="",A93=0),"",CHOOSE(
    COUNTIF($A$2:A93,A93),
    1,2,3,4,5,6,7,8,9
))</f>
        <v/>
      </c>
      <c r="C93" t="str">
        <f t="shared" si="1"/>
        <v/>
      </c>
      <c r="D93" s="7" t="str" cm="1">
        <f t="array" ref="D93">IF(OR($A93="",$A93=0),"",
IF(AND(INDEX(Formulario!$H$14:$H$100, $A93)="Si", C93&lt;&gt;31),
        VLOOKUP("cta puente",'Descripciones de gastos'!G:H, 2, FALSE),
IF(B93=1,
        INDEX(Tabla13[Titular], MATCH($A93, Tabla1[N Doc], 0)),
IF(B93=2,
        INDEX(Tabla1[Cuenta contable], MATCH($A93, Tabla1[N Doc], 0)),
IF(B93=3,
        INDEX(Tabla13[Cta Iva 22], MATCH($A93, Tabla1[N Doc], 0)),
IF(B93=4,
        INDEX(Tabla1[Cuenta contable], MATCH($A93, Tabla1[N Doc], 0)),
IF(B93=5,
        INDEX(Tabla13[Cta Iva 10], MATCH($A93, Tabla1[N Doc], 0)),
IF(B93=6,
        INDEX(Tabla1[Cuenta contable], MATCH($A93, Tabla1[N Doc], 0)),
IF(B93=7,
        INDEX(Tabla1[Cuenta contable], MATCH($A93, Tabla1[N Doc], 0)),
IF(B93=8,
        IF(INDEX(Tabla1[Tipo IVA], MATCH($A93, Tabla1[N Doc], 0))="22%",
             INDEX(Tabla13[Cta Iva 22], MATCH($A93, Tabla1[N Doc], 0)),
             INDEX(Tabla13[Cta Iva 10], MATCH($A93, Tabla1[N Doc], 0))),
IF(B93=9,
        INDEX(Tabla1[Cuenta contable], MATCH($A93, Tabla1[N Doc], 0))
)))))))))))</f>
        <v/>
      </c>
      <c r="F93" t="str">
        <f>IF(OR($A93="",$A93=0),"",IF(B93=1,
        INDEX(Tabla1[Importe total], MATCH($A93, Tabla1[N Doc], 0)),
IF(B93=2,
        INDEX(Tabla1[Base imponible 22], MATCH($A93, Tabla1[N Doc], 0)),
IF(B93=3,
        INDEX(Tabla1[Iva 22], MATCH($A93, Tabla1[N Doc], 0)),
IF(B93=4,
        INDEX(Tabla1[Base imponible 10], MATCH($A93, Tabla1[N Doc], 0)),
IF(B93=5,
        INDEX(Tabla1[Iva 10], MATCH($A93, Tabla1[N Doc], 0)),
IF(B93=6,
        INDEX(Tabla1[Exento], MATCH($A93, Tabla1[N Doc], 0)),
IF(B93=7,
        INDEX(#REF!, MATCH($A93, Tabla1[N Doc], 0)),
IF(B93=8,
        INDEX(#REF!, MATCH($A93, Tabla1[N Doc], 0)),
IF(B93=9,
        INDEX(Tabla1[Descuentos], MATCH($A93, Tabla1[N Doc], 0)),
""))))))))))</f>
        <v/>
      </c>
      <c r="G93" t="str">
        <f>IF(OR($A93="",$A93=0),"",IF(OR(B93=2,B93=4,B93=6,B93=7),
    INDEX(Tabla13[Ind impuestos], MATCH($A93, Tabla13[N Doc], 0)),
""))</f>
        <v/>
      </c>
      <c r="J93" t="str">
        <f>IF(OR($A93="",$A93=0),"",IF(OR(B93=2,B93=4,B93=6,B93=7),
    INDEX(Tabla1[CECO], MATCH($A93, Tabla1[N Doc], 0)),
""))</f>
        <v/>
      </c>
      <c r="M93" t="str">
        <f>IF(C93=31,INDEX(Tabla1[Descripción], MATCH($A93, Tabla1[N Doc], 0)),"")</f>
        <v/>
      </c>
    </row>
    <row r="94" spans="1:13" x14ac:dyDescent="0.3">
      <c r="A94" t="str" cm="1">
        <f t="array" ref="A94">INDEX(Tabla1[N Doc], ROUNDUP((ROW()-1)/9, 0))</f>
        <v/>
      </c>
      <c r="B94" t="str">
        <f>IF(OR(A94="",A94=0),"",CHOOSE(
    COUNTIF($A$2:A94,A94),
    1,2,3,4,5,6,7,8,9
))</f>
        <v/>
      </c>
      <c r="C94" t="str">
        <f t="shared" si="1"/>
        <v/>
      </c>
      <c r="D94" s="7" t="str" cm="1">
        <f t="array" ref="D94">IF(OR($A94="",$A94=0),"",
IF(AND(INDEX(Formulario!$H$14:$H$100, $A94)="Si", C94&lt;&gt;31),
        VLOOKUP("cta puente",'Descripciones de gastos'!G:H, 2, FALSE),
IF(B94=1,
        INDEX(Tabla13[Titular], MATCH($A94, Tabla1[N Doc], 0)),
IF(B94=2,
        INDEX(Tabla1[Cuenta contable], MATCH($A94, Tabla1[N Doc], 0)),
IF(B94=3,
        INDEX(Tabla13[Cta Iva 22], MATCH($A94, Tabla1[N Doc], 0)),
IF(B94=4,
        INDEX(Tabla1[Cuenta contable], MATCH($A94, Tabla1[N Doc], 0)),
IF(B94=5,
        INDEX(Tabla13[Cta Iva 10], MATCH($A94, Tabla1[N Doc], 0)),
IF(B94=6,
        INDEX(Tabla1[Cuenta contable], MATCH($A94, Tabla1[N Doc], 0)),
IF(B94=7,
        INDEX(Tabla1[Cuenta contable], MATCH($A94, Tabla1[N Doc], 0)),
IF(B94=8,
        IF(INDEX(Tabla1[Tipo IVA], MATCH($A94, Tabla1[N Doc], 0))="22%",
             INDEX(Tabla13[Cta Iva 22], MATCH($A94, Tabla1[N Doc], 0)),
             INDEX(Tabla13[Cta Iva 10], MATCH($A94, Tabla1[N Doc], 0))),
IF(B94=9,
        INDEX(Tabla1[Cuenta contable], MATCH($A94, Tabla1[N Doc], 0))
)))))))))))</f>
        <v/>
      </c>
      <c r="F94" t="str">
        <f>IF(OR($A94="",$A94=0),"",IF(B94=1,
        INDEX(Tabla1[Importe total], MATCH($A94, Tabla1[N Doc], 0)),
IF(B94=2,
        INDEX(Tabla1[Base imponible 22], MATCH($A94, Tabla1[N Doc], 0)),
IF(B94=3,
        INDEX(Tabla1[Iva 22], MATCH($A94, Tabla1[N Doc], 0)),
IF(B94=4,
        INDEX(Tabla1[Base imponible 10], MATCH($A94, Tabla1[N Doc], 0)),
IF(B94=5,
        INDEX(Tabla1[Iva 10], MATCH($A94, Tabla1[N Doc], 0)),
IF(B94=6,
        INDEX(Tabla1[Exento], MATCH($A94, Tabla1[N Doc], 0)),
IF(B94=7,
        INDEX(#REF!, MATCH($A94, Tabla1[N Doc], 0)),
IF(B94=8,
        INDEX(#REF!, MATCH($A94, Tabla1[N Doc], 0)),
IF(B94=9,
        INDEX(Tabla1[Descuentos], MATCH($A94, Tabla1[N Doc], 0)),
""))))))))))</f>
        <v/>
      </c>
      <c r="G94" t="str">
        <f>IF(OR($A94="",$A94=0),"",IF(OR(B94=2,B94=4,B94=6,B94=7),
    INDEX(Tabla13[Ind impuestos], MATCH($A94, Tabla13[N Doc], 0)),
""))</f>
        <v/>
      </c>
      <c r="J94" t="str">
        <f>IF(OR($A94="",$A94=0),"",IF(OR(B94=2,B94=4,B94=6,B94=7),
    INDEX(Tabla1[CECO], MATCH($A94, Tabla1[N Doc], 0)),
""))</f>
        <v/>
      </c>
      <c r="M94" t="str">
        <f>IF(C94=31,INDEX(Tabla1[Descripción], MATCH($A94, Tabla1[N Doc], 0)),"")</f>
        <v/>
      </c>
    </row>
    <row r="95" spans="1:13" x14ac:dyDescent="0.3">
      <c r="A95" t="str" cm="1">
        <f t="array" ref="A95">INDEX(Tabla1[N Doc], ROUNDUP((ROW()-1)/9, 0))</f>
        <v/>
      </c>
      <c r="B95" t="str">
        <f>IF(OR(A95="",A95=0),"",CHOOSE(
    COUNTIF($A$2:A95,A95),
    1,2,3,4,5,6,7,8,9
))</f>
        <v/>
      </c>
      <c r="C95" t="str">
        <f t="shared" si="1"/>
        <v/>
      </c>
      <c r="D95" s="7" t="str" cm="1">
        <f t="array" ref="D95">IF(OR($A95="",$A95=0),"",
IF(AND(INDEX(Formulario!$H$14:$H$100, $A95)="Si", C95&lt;&gt;31),
        VLOOKUP("cta puente",'Descripciones de gastos'!G:H, 2, FALSE),
IF(B95=1,
        INDEX(Tabla13[Titular], MATCH($A95, Tabla1[N Doc], 0)),
IF(B95=2,
        INDEX(Tabla1[Cuenta contable], MATCH($A95, Tabla1[N Doc], 0)),
IF(B95=3,
        INDEX(Tabla13[Cta Iva 22], MATCH($A95, Tabla1[N Doc], 0)),
IF(B95=4,
        INDEX(Tabla1[Cuenta contable], MATCH($A95, Tabla1[N Doc], 0)),
IF(B95=5,
        INDEX(Tabla13[Cta Iva 10], MATCH($A95, Tabla1[N Doc], 0)),
IF(B95=6,
        INDEX(Tabla1[Cuenta contable], MATCH($A95, Tabla1[N Doc], 0)),
IF(B95=7,
        INDEX(Tabla1[Cuenta contable], MATCH($A95, Tabla1[N Doc], 0)),
IF(B95=8,
        IF(INDEX(Tabla1[Tipo IVA], MATCH($A95, Tabla1[N Doc], 0))="22%",
             INDEX(Tabla13[Cta Iva 22], MATCH($A95, Tabla1[N Doc], 0)),
             INDEX(Tabla13[Cta Iva 10], MATCH($A95, Tabla1[N Doc], 0))),
IF(B95=9,
        INDEX(Tabla1[Cuenta contable], MATCH($A95, Tabla1[N Doc], 0))
)))))))))))</f>
        <v/>
      </c>
      <c r="F95" t="str">
        <f>IF(OR($A95="",$A95=0),"",IF(B95=1,
        INDEX(Tabla1[Importe total], MATCH($A95, Tabla1[N Doc], 0)),
IF(B95=2,
        INDEX(Tabla1[Base imponible 22], MATCH($A95, Tabla1[N Doc], 0)),
IF(B95=3,
        INDEX(Tabla1[Iva 22], MATCH($A95, Tabla1[N Doc], 0)),
IF(B95=4,
        INDEX(Tabla1[Base imponible 10], MATCH($A95, Tabla1[N Doc], 0)),
IF(B95=5,
        INDEX(Tabla1[Iva 10], MATCH($A95, Tabla1[N Doc], 0)),
IF(B95=6,
        INDEX(Tabla1[Exento], MATCH($A95, Tabla1[N Doc], 0)),
IF(B95=7,
        INDEX(#REF!, MATCH($A95, Tabla1[N Doc], 0)),
IF(B95=8,
        INDEX(#REF!, MATCH($A95, Tabla1[N Doc], 0)),
IF(B95=9,
        INDEX(Tabla1[Descuentos], MATCH($A95, Tabla1[N Doc], 0)),
""))))))))))</f>
        <v/>
      </c>
      <c r="G95" t="str">
        <f>IF(OR($A95="",$A95=0),"",IF(OR(B95=2,B95=4,B95=6,B95=7),
    INDEX(Tabla13[Ind impuestos], MATCH($A95, Tabla13[N Doc], 0)),
""))</f>
        <v/>
      </c>
      <c r="J95" t="str">
        <f>IF(OR($A95="",$A95=0),"",IF(OR(B95=2,B95=4,B95=6,B95=7),
    INDEX(Tabla1[CECO], MATCH($A95, Tabla1[N Doc], 0)),
""))</f>
        <v/>
      </c>
      <c r="M95" t="str">
        <f>IF(C95=31,INDEX(Tabla1[Descripción], MATCH($A95, Tabla1[N Doc], 0)),"")</f>
        <v/>
      </c>
    </row>
    <row r="96" spans="1:13" x14ac:dyDescent="0.3">
      <c r="A96" t="str" cm="1">
        <f t="array" ref="A96">INDEX(Tabla1[N Doc], ROUNDUP((ROW()-1)/9, 0))</f>
        <v/>
      </c>
      <c r="B96" t="str">
        <f>IF(OR(A96="",A96=0),"",CHOOSE(
    COUNTIF($A$2:A96,A96),
    1,2,3,4,5,6,7,8,9
))</f>
        <v/>
      </c>
      <c r="C96" t="str">
        <f t="shared" si="1"/>
        <v/>
      </c>
      <c r="D96" s="7" t="str" cm="1">
        <f t="array" ref="D96">IF(OR($A96="",$A96=0),"",
IF(AND(INDEX(Formulario!$H$14:$H$100, $A96)="Si", C96&lt;&gt;31),
        VLOOKUP("cta puente",'Descripciones de gastos'!G:H, 2, FALSE),
IF(B96=1,
        INDEX(Tabla13[Titular], MATCH($A96, Tabla1[N Doc], 0)),
IF(B96=2,
        INDEX(Tabla1[Cuenta contable], MATCH($A96, Tabla1[N Doc], 0)),
IF(B96=3,
        INDEX(Tabla13[Cta Iva 22], MATCH($A96, Tabla1[N Doc], 0)),
IF(B96=4,
        INDEX(Tabla1[Cuenta contable], MATCH($A96, Tabla1[N Doc], 0)),
IF(B96=5,
        INDEX(Tabla13[Cta Iva 10], MATCH($A96, Tabla1[N Doc], 0)),
IF(B96=6,
        INDEX(Tabla1[Cuenta contable], MATCH($A96, Tabla1[N Doc], 0)),
IF(B96=7,
        INDEX(Tabla1[Cuenta contable], MATCH($A96, Tabla1[N Doc], 0)),
IF(B96=8,
        IF(INDEX(Tabla1[Tipo IVA], MATCH($A96, Tabla1[N Doc], 0))="22%",
             INDEX(Tabla13[Cta Iva 22], MATCH($A96, Tabla1[N Doc], 0)),
             INDEX(Tabla13[Cta Iva 10], MATCH($A96, Tabla1[N Doc], 0))),
IF(B96=9,
        INDEX(Tabla1[Cuenta contable], MATCH($A96, Tabla1[N Doc], 0))
)))))))))))</f>
        <v/>
      </c>
      <c r="F96" t="str">
        <f>IF(OR($A96="",$A96=0),"",IF(B96=1,
        INDEX(Tabla1[Importe total], MATCH($A96, Tabla1[N Doc], 0)),
IF(B96=2,
        INDEX(Tabla1[Base imponible 22], MATCH($A96, Tabla1[N Doc], 0)),
IF(B96=3,
        INDEX(Tabla1[Iva 22], MATCH($A96, Tabla1[N Doc], 0)),
IF(B96=4,
        INDEX(Tabla1[Base imponible 10], MATCH($A96, Tabla1[N Doc], 0)),
IF(B96=5,
        INDEX(Tabla1[Iva 10], MATCH($A96, Tabla1[N Doc], 0)),
IF(B96=6,
        INDEX(Tabla1[Exento], MATCH($A96, Tabla1[N Doc], 0)),
IF(B96=7,
        INDEX(#REF!, MATCH($A96, Tabla1[N Doc], 0)),
IF(B96=8,
        INDEX(#REF!, MATCH($A96, Tabla1[N Doc], 0)),
IF(B96=9,
        INDEX(Tabla1[Descuentos], MATCH($A96, Tabla1[N Doc], 0)),
""))))))))))</f>
        <v/>
      </c>
      <c r="G96" t="str">
        <f>IF(OR($A96="",$A96=0),"",IF(OR(B96=2,B96=4,B96=6,B96=7),
    INDEX(Tabla13[Ind impuestos], MATCH($A96, Tabla13[N Doc], 0)),
""))</f>
        <v/>
      </c>
      <c r="J96" t="str">
        <f>IF(OR($A96="",$A96=0),"",IF(OR(B96=2,B96=4,B96=6,B96=7),
    INDEX(Tabla1[CECO], MATCH($A96, Tabla1[N Doc], 0)),
""))</f>
        <v/>
      </c>
      <c r="M96" t="str">
        <f>IF(C96=31,INDEX(Tabla1[Descripción], MATCH($A96, Tabla1[N Doc], 0)),"")</f>
        <v/>
      </c>
    </row>
    <row r="97" spans="1:13" x14ac:dyDescent="0.3">
      <c r="A97" t="str" cm="1">
        <f t="array" ref="A97">INDEX(Tabla1[N Doc], ROUNDUP((ROW()-1)/9, 0))</f>
        <v/>
      </c>
      <c r="B97" t="str">
        <f>IF(OR(A97="",A97=0),"",CHOOSE(
    COUNTIF($A$2:A97,A97),
    1,2,3,4,5,6,7,8,9
))</f>
        <v/>
      </c>
      <c r="C97" t="str">
        <f t="shared" si="1"/>
        <v/>
      </c>
      <c r="D97" s="7" t="str" cm="1">
        <f t="array" ref="D97">IF(OR($A97="",$A97=0),"",
IF(AND(INDEX(Formulario!$H$14:$H$100, $A97)="Si", C97&lt;&gt;31),
        VLOOKUP("cta puente",'Descripciones de gastos'!G:H, 2, FALSE),
IF(B97=1,
        INDEX(Tabla13[Titular], MATCH($A97, Tabla1[N Doc], 0)),
IF(B97=2,
        INDEX(Tabla1[Cuenta contable], MATCH($A97, Tabla1[N Doc], 0)),
IF(B97=3,
        INDEX(Tabla13[Cta Iva 22], MATCH($A97, Tabla1[N Doc], 0)),
IF(B97=4,
        INDEX(Tabla1[Cuenta contable], MATCH($A97, Tabla1[N Doc], 0)),
IF(B97=5,
        INDEX(Tabla13[Cta Iva 10], MATCH($A97, Tabla1[N Doc], 0)),
IF(B97=6,
        INDEX(Tabla1[Cuenta contable], MATCH($A97, Tabla1[N Doc], 0)),
IF(B97=7,
        INDEX(Tabla1[Cuenta contable], MATCH($A97, Tabla1[N Doc], 0)),
IF(B97=8,
        IF(INDEX(Tabla1[Tipo IVA], MATCH($A97, Tabla1[N Doc], 0))="22%",
             INDEX(Tabla13[Cta Iva 22], MATCH($A97, Tabla1[N Doc], 0)),
             INDEX(Tabla13[Cta Iva 10], MATCH($A97, Tabla1[N Doc], 0))),
IF(B97=9,
        INDEX(Tabla1[Cuenta contable], MATCH($A97, Tabla1[N Doc], 0))
)))))))))))</f>
        <v/>
      </c>
      <c r="F97" t="str">
        <f>IF(OR($A97="",$A97=0),"",IF(B97=1,
        INDEX(Tabla1[Importe total], MATCH($A97, Tabla1[N Doc], 0)),
IF(B97=2,
        INDEX(Tabla1[Base imponible 22], MATCH($A97, Tabla1[N Doc], 0)),
IF(B97=3,
        INDEX(Tabla1[Iva 22], MATCH($A97, Tabla1[N Doc], 0)),
IF(B97=4,
        INDEX(Tabla1[Base imponible 10], MATCH($A97, Tabla1[N Doc], 0)),
IF(B97=5,
        INDEX(Tabla1[Iva 10], MATCH($A97, Tabla1[N Doc], 0)),
IF(B97=6,
        INDEX(Tabla1[Exento], MATCH($A97, Tabla1[N Doc], 0)),
IF(B97=7,
        INDEX(#REF!, MATCH($A97, Tabla1[N Doc], 0)),
IF(B97=8,
        INDEX(#REF!, MATCH($A97, Tabla1[N Doc], 0)),
IF(B97=9,
        INDEX(Tabla1[Descuentos], MATCH($A97, Tabla1[N Doc], 0)),
""))))))))))</f>
        <v/>
      </c>
      <c r="G97" t="str">
        <f>IF(OR($A97="",$A97=0),"",IF(OR(B97=2,B97=4,B97=6,B97=7),
    INDEX(Tabla13[Ind impuestos], MATCH($A97, Tabla13[N Doc], 0)),
""))</f>
        <v/>
      </c>
      <c r="J97" t="str">
        <f>IF(OR($A97="",$A97=0),"",IF(OR(B97=2,B97=4,B97=6,B97=7),
    INDEX(Tabla1[CECO], MATCH($A97, Tabla1[N Doc], 0)),
""))</f>
        <v/>
      </c>
      <c r="M97" t="str">
        <f>IF(C97=31,INDEX(Tabla1[Descripción], MATCH($A97, Tabla1[N Doc], 0)),"")</f>
        <v/>
      </c>
    </row>
    <row r="98" spans="1:13" x14ac:dyDescent="0.3">
      <c r="A98" t="str" cm="1">
        <f t="array" ref="A98">INDEX(Tabla1[N Doc], ROUNDUP((ROW()-1)/9, 0))</f>
        <v/>
      </c>
      <c r="B98" t="str">
        <f>IF(OR(A98="",A98=0),"",CHOOSE(
    COUNTIF($A$2:A98,A98),
    1,2,3,4,5,6,7,8,9
))</f>
        <v/>
      </c>
      <c r="C98" t="str">
        <f t="shared" si="1"/>
        <v/>
      </c>
      <c r="D98" s="7" t="str" cm="1">
        <f t="array" ref="D98">IF(OR($A98="",$A98=0),"",
IF(AND(INDEX(Formulario!$H$14:$H$100, $A98)="Si", C98&lt;&gt;31),
        VLOOKUP("cta puente",'Descripciones de gastos'!G:H, 2, FALSE),
IF(B98=1,
        INDEX(Tabla13[Titular], MATCH($A98, Tabla1[N Doc], 0)),
IF(B98=2,
        INDEX(Tabla1[Cuenta contable], MATCH($A98, Tabla1[N Doc], 0)),
IF(B98=3,
        INDEX(Tabla13[Cta Iva 22], MATCH($A98, Tabla1[N Doc], 0)),
IF(B98=4,
        INDEX(Tabla1[Cuenta contable], MATCH($A98, Tabla1[N Doc], 0)),
IF(B98=5,
        INDEX(Tabla13[Cta Iva 10], MATCH($A98, Tabla1[N Doc], 0)),
IF(B98=6,
        INDEX(Tabla1[Cuenta contable], MATCH($A98, Tabla1[N Doc], 0)),
IF(B98=7,
        INDEX(Tabla1[Cuenta contable], MATCH($A98, Tabla1[N Doc], 0)),
IF(B98=8,
        IF(INDEX(Tabla1[Tipo IVA], MATCH($A98, Tabla1[N Doc], 0))="22%",
             INDEX(Tabla13[Cta Iva 22], MATCH($A98, Tabla1[N Doc], 0)),
             INDEX(Tabla13[Cta Iva 10], MATCH($A98, Tabla1[N Doc], 0))),
IF(B98=9,
        INDEX(Tabla1[Cuenta contable], MATCH($A98, Tabla1[N Doc], 0))
)))))))))))</f>
        <v/>
      </c>
      <c r="F98" t="str">
        <f>IF(OR($A98="",$A98=0),"",IF(B98=1,
        INDEX(Tabla1[Importe total], MATCH($A98, Tabla1[N Doc], 0)),
IF(B98=2,
        INDEX(Tabla1[Base imponible 22], MATCH($A98, Tabla1[N Doc], 0)),
IF(B98=3,
        INDEX(Tabla1[Iva 22], MATCH($A98, Tabla1[N Doc], 0)),
IF(B98=4,
        INDEX(Tabla1[Base imponible 10], MATCH($A98, Tabla1[N Doc], 0)),
IF(B98=5,
        INDEX(Tabla1[Iva 10], MATCH($A98, Tabla1[N Doc], 0)),
IF(B98=6,
        INDEX(Tabla1[Exento], MATCH($A98, Tabla1[N Doc], 0)),
IF(B98=7,
        INDEX(#REF!, MATCH($A98, Tabla1[N Doc], 0)),
IF(B98=8,
        INDEX(#REF!, MATCH($A98, Tabla1[N Doc], 0)),
IF(B98=9,
        INDEX(Tabla1[Descuentos], MATCH($A98, Tabla1[N Doc], 0)),
""))))))))))</f>
        <v/>
      </c>
      <c r="G98" t="str">
        <f>IF(OR($A98="",$A98=0),"",IF(OR(B98=2,B98=4,B98=6,B98=7),
    INDEX(Tabla13[Ind impuestos], MATCH($A98, Tabla13[N Doc], 0)),
""))</f>
        <v/>
      </c>
      <c r="J98" t="str">
        <f>IF(OR($A98="",$A98=0),"",IF(OR(B98=2,B98=4,B98=6,B98=7),
    INDEX(Tabla1[CECO], MATCH($A98, Tabla1[N Doc], 0)),
""))</f>
        <v/>
      </c>
      <c r="M98" t="str">
        <f>IF(C98=31,INDEX(Tabla1[Descripción], MATCH($A98, Tabla1[N Doc], 0)),"")</f>
        <v/>
      </c>
    </row>
    <row r="99" spans="1:13" x14ac:dyDescent="0.3">
      <c r="A99" t="str" cm="1">
        <f t="array" ref="A99">INDEX(Tabla1[N Doc], ROUNDUP((ROW()-1)/9, 0))</f>
        <v/>
      </c>
      <c r="B99" t="str">
        <f>IF(OR(A99="",A99=0),"",CHOOSE(
    COUNTIF($A$2:A99,A99),
    1,2,3,4,5,6,7,8,9
))</f>
        <v/>
      </c>
      <c r="C99" t="str">
        <f t="shared" si="1"/>
        <v/>
      </c>
      <c r="D99" s="7" t="str" cm="1">
        <f t="array" ref="D99">IF(OR($A99="",$A99=0),"",
IF(AND(INDEX(Formulario!$H$14:$H$100, $A99)="Si", C99&lt;&gt;31),
        VLOOKUP("cta puente",'Descripciones de gastos'!G:H, 2, FALSE),
IF(B99=1,
        INDEX(Tabla13[Titular], MATCH($A99, Tabla1[N Doc], 0)),
IF(B99=2,
        INDEX(Tabla1[Cuenta contable], MATCH($A99, Tabla1[N Doc], 0)),
IF(B99=3,
        INDEX(Tabla13[Cta Iva 22], MATCH($A99, Tabla1[N Doc], 0)),
IF(B99=4,
        INDEX(Tabla1[Cuenta contable], MATCH($A99, Tabla1[N Doc], 0)),
IF(B99=5,
        INDEX(Tabla13[Cta Iva 10], MATCH($A99, Tabla1[N Doc], 0)),
IF(B99=6,
        INDEX(Tabla1[Cuenta contable], MATCH($A99, Tabla1[N Doc], 0)),
IF(B99=7,
        INDEX(Tabla1[Cuenta contable], MATCH($A99, Tabla1[N Doc], 0)),
IF(B99=8,
        IF(INDEX(Tabla1[Tipo IVA], MATCH($A99, Tabla1[N Doc], 0))="22%",
             INDEX(Tabla13[Cta Iva 22], MATCH($A99, Tabla1[N Doc], 0)),
             INDEX(Tabla13[Cta Iva 10], MATCH($A99, Tabla1[N Doc], 0))),
IF(B99=9,
        INDEX(Tabla1[Cuenta contable], MATCH($A99, Tabla1[N Doc], 0))
)))))))))))</f>
        <v/>
      </c>
      <c r="F99" t="str">
        <f>IF(OR($A99="",$A99=0),"",IF(B99=1,
        INDEX(Tabla1[Importe total], MATCH($A99, Tabla1[N Doc], 0)),
IF(B99=2,
        INDEX(Tabla1[Base imponible 22], MATCH($A99, Tabla1[N Doc], 0)),
IF(B99=3,
        INDEX(Tabla1[Iva 22], MATCH($A99, Tabla1[N Doc], 0)),
IF(B99=4,
        INDEX(Tabla1[Base imponible 10], MATCH($A99, Tabla1[N Doc], 0)),
IF(B99=5,
        INDEX(Tabla1[Iva 10], MATCH($A99, Tabla1[N Doc], 0)),
IF(B99=6,
        INDEX(Tabla1[Exento], MATCH($A99, Tabla1[N Doc], 0)),
IF(B99=7,
        INDEX(#REF!, MATCH($A99, Tabla1[N Doc], 0)),
IF(B99=8,
        INDEX(#REF!, MATCH($A99, Tabla1[N Doc], 0)),
IF(B99=9,
        INDEX(Tabla1[Descuentos], MATCH($A99, Tabla1[N Doc], 0)),
""))))))))))</f>
        <v/>
      </c>
      <c r="G99" t="str">
        <f>IF(OR($A99="",$A99=0),"",IF(OR(B99=2,B99=4,B99=6,B99=7),
    INDEX(Tabla13[Ind impuestos], MATCH($A99, Tabla13[N Doc], 0)),
""))</f>
        <v/>
      </c>
      <c r="J99" t="str">
        <f>IF(OR($A99="",$A99=0),"",IF(OR(B99=2,B99=4,B99=6,B99=7),
    INDEX(Tabla1[CECO], MATCH($A99, Tabla1[N Doc], 0)),
""))</f>
        <v/>
      </c>
      <c r="M99" t="str">
        <f>IF(C99=31,INDEX(Tabla1[Descripción], MATCH($A99, Tabla1[N Doc], 0)),"")</f>
        <v/>
      </c>
    </row>
    <row r="100" spans="1:13" x14ac:dyDescent="0.3">
      <c r="A100" t="str" cm="1">
        <f t="array" ref="A100">INDEX(Tabla1[N Doc], ROUNDUP((ROW()-1)/9, 0))</f>
        <v/>
      </c>
      <c r="B100" t="str">
        <f>IF(OR(A100="",A100=0),"",CHOOSE(
    COUNTIF($A$2:A100,A100),
    1,2,3,4,5,6,7,8,9
))</f>
        <v/>
      </c>
      <c r="C100" t="str">
        <f t="shared" si="1"/>
        <v/>
      </c>
      <c r="D100" s="7" t="str" cm="1">
        <f t="array" ref="D100">IF(OR($A100="",$A100=0),"",
IF(AND(INDEX(Formulario!$H$14:$H$100, $A100)="Si", C100&lt;&gt;31),
        VLOOKUP("cta puente",'Descripciones de gastos'!G:H, 2, FALSE),
IF(B100=1,
        INDEX(Tabla13[Titular], MATCH($A100, Tabla1[N Doc], 0)),
IF(B100=2,
        INDEX(Tabla1[Cuenta contable], MATCH($A100, Tabla1[N Doc], 0)),
IF(B100=3,
        INDEX(Tabla13[Cta Iva 22], MATCH($A100, Tabla1[N Doc], 0)),
IF(B100=4,
        INDEX(Tabla1[Cuenta contable], MATCH($A100, Tabla1[N Doc], 0)),
IF(B100=5,
        INDEX(Tabla13[Cta Iva 10], MATCH($A100, Tabla1[N Doc], 0)),
IF(B100=6,
        INDEX(Tabla1[Cuenta contable], MATCH($A100, Tabla1[N Doc], 0)),
IF(B100=7,
        INDEX(Tabla1[Cuenta contable], MATCH($A100, Tabla1[N Doc], 0)),
IF(B100=8,
        IF(INDEX(Tabla1[Tipo IVA], MATCH($A100, Tabla1[N Doc], 0))="22%",
             INDEX(Tabla13[Cta Iva 22], MATCH($A100, Tabla1[N Doc], 0)),
             INDEX(Tabla13[Cta Iva 10], MATCH($A100, Tabla1[N Doc], 0))),
IF(B100=9,
        INDEX(Tabla1[Cuenta contable], MATCH($A100, Tabla1[N Doc], 0))
)))))))))))</f>
        <v/>
      </c>
      <c r="F100" t="str">
        <f>IF(OR($A100="",$A100=0),"",IF(B100=1,
        INDEX(Tabla1[Importe total], MATCH($A100, Tabla1[N Doc], 0)),
IF(B100=2,
        INDEX(Tabla1[Base imponible 22], MATCH($A100, Tabla1[N Doc], 0)),
IF(B100=3,
        INDEX(Tabla1[Iva 22], MATCH($A100, Tabla1[N Doc], 0)),
IF(B100=4,
        INDEX(Tabla1[Base imponible 10], MATCH($A100, Tabla1[N Doc], 0)),
IF(B100=5,
        INDEX(Tabla1[Iva 10], MATCH($A100, Tabla1[N Doc], 0)),
IF(B100=6,
        INDEX(Tabla1[Exento], MATCH($A100, Tabla1[N Doc], 0)),
IF(B100=7,
        INDEX(#REF!, MATCH($A100, Tabla1[N Doc], 0)),
IF(B100=8,
        INDEX(#REF!, MATCH($A100, Tabla1[N Doc], 0)),
IF(B100=9,
        INDEX(Tabla1[Descuentos], MATCH($A100, Tabla1[N Doc], 0)),
""))))))))))</f>
        <v/>
      </c>
      <c r="G100" t="str">
        <f>IF(OR($A100="",$A100=0),"",IF(OR(B100=2,B100=4,B100=6,B100=7),
    INDEX(Tabla13[Ind impuestos], MATCH($A100, Tabla13[N Doc], 0)),
""))</f>
        <v/>
      </c>
      <c r="J100" t="str">
        <f>IF(OR($A100="",$A100=0),"",IF(OR(B100=2,B100=4,B100=6,B100=7),
    INDEX(Tabla1[CECO], MATCH($A100, Tabla1[N Doc], 0)),
""))</f>
        <v/>
      </c>
      <c r="M100" t="str">
        <f>IF(C100=31,INDEX(Tabla1[Descripción], MATCH($A100, Tabla1[N Doc], 0)),"")</f>
        <v/>
      </c>
    </row>
    <row r="101" spans="1:13" x14ac:dyDescent="0.3">
      <c r="A101" t="str" cm="1">
        <f t="array" ref="A101">INDEX(Tabla1[N Doc], ROUNDUP((ROW()-1)/9, 0))</f>
        <v/>
      </c>
      <c r="B101" t="str">
        <f>IF(OR(A101="",A101=0),"",CHOOSE(
    COUNTIF($A$2:A101,A101),
    1,2,3,4,5,6,7,8,9
))</f>
        <v/>
      </c>
      <c r="C101" t="str">
        <f t="shared" si="1"/>
        <v/>
      </c>
      <c r="D101" s="7" t="str" cm="1">
        <f t="array" ref="D101">IF(OR($A101="",$A101=0),"",
IF(AND(INDEX(Formulario!$H$14:$H$100, $A101)="Si", C101&lt;&gt;31),
        VLOOKUP("cta puente",'Descripciones de gastos'!G:H, 2, FALSE),
IF(B101=1,
        INDEX(Tabla13[Titular], MATCH($A101, Tabla1[N Doc], 0)),
IF(B101=2,
        INDEX(Tabla1[Cuenta contable], MATCH($A101, Tabla1[N Doc], 0)),
IF(B101=3,
        INDEX(Tabla13[Cta Iva 22], MATCH($A101, Tabla1[N Doc], 0)),
IF(B101=4,
        INDEX(Tabla1[Cuenta contable], MATCH($A101, Tabla1[N Doc], 0)),
IF(B101=5,
        INDEX(Tabla13[Cta Iva 10], MATCH($A101, Tabla1[N Doc], 0)),
IF(B101=6,
        INDEX(Tabla1[Cuenta contable], MATCH($A101, Tabla1[N Doc], 0)),
IF(B101=7,
        INDEX(Tabla1[Cuenta contable], MATCH($A101, Tabla1[N Doc], 0)),
IF(B101=8,
        IF(INDEX(Tabla1[Tipo IVA], MATCH($A101, Tabla1[N Doc], 0))="22%",
             INDEX(Tabla13[Cta Iva 22], MATCH($A101, Tabla1[N Doc], 0)),
             INDEX(Tabla13[Cta Iva 10], MATCH($A101, Tabla1[N Doc], 0))),
IF(B101=9,
        INDEX(Tabla1[Cuenta contable], MATCH($A101, Tabla1[N Doc], 0))
)))))))))))</f>
        <v/>
      </c>
      <c r="F101" t="str">
        <f>IF(OR($A101="",$A101=0),"",IF(B101=1,
        INDEX(Tabla1[Importe total], MATCH($A101, Tabla1[N Doc], 0)),
IF(B101=2,
        INDEX(Tabla1[Base imponible 22], MATCH($A101, Tabla1[N Doc], 0)),
IF(B101=3,
        INDEX(Tabla1[Iva 22], MATCH($A101, Tabla1[N Doc], 0)),
IF(B101=4,
        INDEX(Tabla1[Base imponible 10], MATCH($A101, Tabla1[N Doc], 0)),
IF(B101=5,
        INDEX(Tabla1[Iva 10], MATCH($A101, Tabla1[N Doc], 0)),
IF(B101=6,
        INDEX(Tabla1[Exento], MATCH($A101, Tabla1[N Doc], 0)),
IF(B101=7,
        INDEX(#REF!, MATCH($A101, Tabla1[N Doc], 0)),
IF(B101=8,
        INDEX(#REF!, MATCH($A101, Tabla1[N Doc], 0)),
IF(B101=9,
        INDEX(Tabla1[Descuentos], MATCH($A101, Tabla1[N Doc], 0)),
""))))))))))</f>
        <v/>
      </c>
      <c r="G101" t="str">
        <f>IF(OR($A101="",$A101=0),"",IF(OR(B101=2,B101=4,B101=6,B101=7),
    INDEX(Tabla13[Ind impuestos], MATCH($A101, Tabla13[N Doc], 0)),
""))</f>
        <v/>
      </c>
      <c r="J101" t="str">
        <f>IF(OR($A101="",$A101=0),"",IF(OR(B101=2,B101=4,B101=6,B101=7),
    INDEX(Tabla1[CECO], MATCH($A101, Tabla1[N Doc], 0)),
""))</f>
        <v/>
      </c>
      <c r="M101" t="str">
        <f>IF(C101=31,INDEX(Tabla1[Descripción], MATCH($A101, Tabla1[N Doc], 0)),"")</f>
        <v/>
      </c>
    </row>
    <row r="102" spans="1:13" x14ac:dyDescent="0.3">
      <c r="A102" t="str" cm="1">
        <f t="array" ref="A102">INDEX(Tabla1[N Doc], ROUNDUP((ROW()-1)/9, 0))</f>
        <v/>
      </c>
      <c r="B102" t="str">
        <f>IF(OR(A102="",A102=0),"",CHOOSE(
    COUNTIF($A$2:A102,A102),
    1,2,3,4,5,6,7,8,9
))</f>
        <v/>
      </c>
      <c r="C102" t="str">
        <f t="shared" si="1"/>
        <v/>
      </c>
      <c r="D102" s="7" t="str" cm="1">
        <f t="array" ref="D102">IF(OR($A102="",$A102=0),"",
IF(AND(INDEX(Formulario!$H$14:$H$100, $A102)="Si", C102&lt;&gt;31),
        VLOOKUP("cta puente",'Descripciones de gastos'!G:H, 2, FALSE),
IF(B102=1,
        INDEX(Tabla13[Titular], MATCH($A102, Tabla1[N Doc], 0)),
IF(B102=2,
        INDEX(Tabla1[Cuenta contable], MATCH($A102, Tabla1[N Doc], 0)),
IF(B102=3,
        INDEX(Tabla13[Cta Iva 22], MATCH($A102, Tabla1[N Doc], 0)),
IF(B102=4,
        INDEX(Tabla1[Cuenta contable], MATCH($A102, Tabla1[N Doc], 0)),
IF(B102=5,
        INDEX(Tabla13[Cta Iva 10], MATCH($A102, Tabla1[N Doc], 0)),
IF(B102=6,
        INDEX(Tabla1[Cuenta contable], MATCH($A102, Tabla1[N Doc], 0)),
IF(B102=7,
        INDEX(Tabla1[Cuenta contable], MATCH($A102, Tabla1[N Doc], 0)),
IF(B102=8,
        IF(INDEX(Tabla1[Tipo IVA], MATCH($A102, Tabla1[N Doc], 0))="22%",
             INDEX(Tabla13[Cta Iva 22], MATCH($A102, Tabla1[N Doc], 0)),
             INDEX(Tabla13[Cta Iva 10], MATCH($A102, Tabla1[N Doc], 0))),
IF(B102=9,
        INDEX(Tabla1[Cuenta contable], MATCH($A102, Tabla1[N Doc], 0))
)))))))))))</f>
        <v/>
      </c>
      <c r="F102" t="str">
        <f>IF(OR($A102="",$A102=0),"",IF(B102=1,
        INDEX(Tabla1[Importe total], MATCH($A102, Tabla1[N Doc], 0)),
IF(B102=2,
        INDEX(Tabla1[Base imponible 22], MATCH($A102, Tabla1[N Doc], 0)),
IF(B102=3,
        INDEX(Tabla1[Iva 22], MATCH($A102, Tabla1[N Doc], 0)),
IF(B102=4,
        INDEX(Tabla1[Base imponible 10], MATCH($A102, Tabla1[N Doc], 0)),
IF(B102=5,
        INDEX(Tabla1[Iva 10], MATCH($A102, Tabla1[N Doc], 0)),
IF(B102=6,
        INDEX(Tabla1[Exento], MATCH($A102, Tabla1[N Doc], 0)),
IF(B102=7,
        INDEX(#REF!, MATCH($A102, Tabla1[N Doc], 0)),
IF(B102=8,
        INDEX(#REF!, MATCH($A102, Tabla1[N Doc], 0)),
IF(B102=9,
        INDEX(Tabla1[Descuentos], MATCH($A102, Tabla1[N Doc], 0)),
""))))))))))</f>
        <v/>
      </c>
      <c r="G102" t="str">
        <f>IF(OR($A102="",$A102=0),"",IF(OR(B102=2,B102=4,B102=6,B102=7),
    INDEX(Tabla13[Ind impuestos], MATCH($A102, Tabla13[N Doc], 0)),
""))</f>
        <v/>
      </c>
      <c r="J102" t="str">
        <f>IF(OR($A102="",$A102=0),"",IF(OR(B102=2,B102=4,B102=6,B102=7),
    INDEX(Tabla1[CECO], MATCH($A102, Tabla1[N Doc], 0)),
""))</f>
        <v/>
      </c>
      <c r="M102" t="str">
        <f>IF(C102=31,INDEX(Tabla1[Descripción], MATCH($A102, Tabla1[N Doc], 0)),"")</f>
        <v/>
      </c>
    </row>
    <row r="103" spans="1:13" x14ac:dyDescent="0.3">
      <c r="A103" t="str" cm="1">
        <f t="array" ref="A103">INDEX(Tabla1[N Doc], ROUNDUP((ROW()-1)/9, 0))</f>
        <v/>
      </c>
      <c r="B103" t="str">
        <f>IF(OR(A103="",A103=0),"",CHOOSE(
    COUNTIF($A$2:A103,A103),
    1,2,3,4,5,6,7,8,9
))</f>
        <v/>
      </c>
      <c r="C103" t="str">
        <f t="shared" si="1"/>
        <v/>
      </c>
      <c r="D103" s="7" t="str" cm="1">
        <f t="array" ref="D103">IF(OR($A103="",$A103=0),"",
IF(AND(INDEX(Formulario!$H$14:$H$100, $A103)="Si", C103&lt;&gt;31),
        VLOOKUP("cta puente",'Descripciones de gastos'!G:H, 2, FALSE),
IF(B103=1,
        INDEX(Tabla13[Titular], MATCH($A103, Tabla1[N Doc], 0)),
IF(B103=2,
        INDEX(Tabla1[Cuenta contable], MATCH($A103, Tabla1[N Doc], 0)),
IF(B103=3,
        INDEX(Tabla13[Cta Iva 22], MATCH($A103, Tabla1[N Doc], 0)),
IF(B103=4,
        INDEX(Tabla1[Cuenta contable], MATCH($A103, Tabla1[N Doc], 0)),
IF(B103=5,
        INDEX(Tabla13[Cta Iva 10], MATCH($A103, Tabla1[N Doc], 0)),
IF(B103=6,
        INDEX(Tabla1[Cuenta contable], MATCH($A103, Tabla1[N Doc], 0)),
IF(B103=7,
        INDEX(Tabla1[Cuenta contable], MATCH($A103, Tabla1[N Doc], 0)),
IF(B103=8,
        IF(INDEX(Tabla1[Tipo IVA], MATCH($A103, Tabla1[N Doc], 0))="22%",
             INDEX(Tabla13[Cta Iva 22], MATCH($A103, Tabla1[N Doc], 0)),
             INDEX(Tabla13[Cta Iva 10], MATCH($A103, Tabla1[N Doc], 0))),
IF(B103=9,
        INDEX(Tabla1[Cuenta contable], MATCH($A103, Tabla1[N Doc], 0))
)))))))))))</f>
        <v/>
      </c>
      <c r="F103" t="str">
        <f>IF(OR($A103="",$A103=0),"",IF(B103=1,
        INDEX(Tabla1[Importe total], MATCH($A103, Tabla1[N Doc], 0)),
IF(B103=2,
        INDEX(Tabla1[Base imponible 22], MATCH($A103, Tabla1[N Doc], 0)),
IF(B103=3,
        INDEX(Tabla1[Iva 22], MATCH($A103, Tabla1[N Doc], 0)),
IF(B103=4,
        INDEX(Tabla1[Base imponible 10], MATCH($A103, Tabla1[N Doc], 0)),
IF(B103=5,
        INDEX(Tabla1[Iva 10], MATCH($A103, Tabla1[N Doc], 0)),
IF(B103=6,
        INDEX(Tabla1[Exento], MATCH($A103, Tabla1[N Doc], 0)),
IF(B103=7,
        INDEX(#REF!, MATCH($A103, Tabla1[N Doc], 0)),
IF(B103=8,
        INDEX(#REF!, MATCH($A103, Tabla1[N Doc], 0)),
IF(B103=9,
        INDEX(Tabla1[Descuentos], MATCH($A103, Tabla1[N Doc], 0)),
""))))))))))</f>
        <v/>
      </c>
      <c r="G103" t="str">
        <f>IF(OR($A103="",$A103=0),"",IF(OR(B103=2,B103=4,B103=6,B103=7),
    INDEX(Tabla13[Ind impuestos], MATCH($A103, Tabla13[N Doc], 0)),
""))</f>
        <v/>
      </c>
      <c r="J103" t="str">
        <f>IF(OR($A103="",$A103=0),"",IF(OR(B103=2,B103=4,B103=6,B103=7),
    INDEX(Tabla1[CECO], MATCH($A103, Tabla1[N Doc], 0)),
""))</f>
        <v/>
      </c>
      <c r="M103" t="str">
        <f>IF(C103=31,INDEX(Tabla1[Descripción], MATCH($A103, Tabla1[N Doc], 0)),"")</f>
        <v/>
      </c>
    </row>
    <row r="104" spans="1:13" x14ac:dyDescent="0.3">
      <c r="A104" t="str" cm="1">
        <f t="array" ref="A104">INDEX(Tabla1[N Doc], ROUNDUP((ROW()-1)/9, 0))</f>
        <v/>
      </c>
      <c r="B104" t="str">
        <f>IF(OR(A104="",A104=0),"",CHOOSE(
    COUNTIF($A$2:A104,A104),
    1,2,3,4,5,6,7,8,9
))</f>
        <v/>
      </c>
      <c r="C104" t="str">
        <f t="shared" si="1"/>
        <v/>
      </c>
      <c r="D104" s="7" t="str" cm="1">
        <f t="array" ref="D104">IF(OR($A104="",$A104=0),"",
IF(AND(INDEX(Formulario!$H$14:$H$100, $A104)="Si", C104&lt;&gt;31),
        VLOOKUP("cta puente",'Descripciones de gastos'!G:H, 2, FALSE),
IF(B104=1,
        INDEX(Tabla13[Titular], MATCH($A104, Tabla1[N Doc], 0)),
IF(B104=2,
        INDEX(Tabla1[Cuenta contable], MATCH($A104, Tabla1[N Doc], 0)),
IF(B104=3,
        INDEX(Tabla13[Cta Iva 22], MATCH($A104, Tabla1[N Doc], 0)),
IF(B104=4,
        INDEX(Tabla1[Cuenta contable], MATCH($A104, Tabla1[N Doc], 0)),
IF(B104=5,
        INDEX(Tabla13[Cta Iva 10], MATCH($A104, Tabla1[N Doc], 0)),
IF(B104=6,
        INDEX(Tabla1[Cuenta contable], MATCH($A104, Tabla1[N Doc], 0)),
IF(B104=7,
        INDEX(Tabla1[Cuenta contable], MATCH($A104, Tabla1[N Doc], 0)),
IF(B104=8,
        IF(INDEX(Tabla1[Tipo IVA], MATCH($A104, Tabla1[N Doc], 0))="22%",
             INDEX(Tabla13[Cta Iva 22], MATCH($A104, Tabla1[N Doc], 0)),
             INDEX(Tabla13[Cta Iva 10], MATCH($A104, Tabla1[N Doc], 0))),
IF(B104=9,
        INDEX(Tabla1[Cuenta contable], MATCH($A104, Tabla1[N Doc], 0))
)))))))))))</f>
        <v/>
      </c>
      <c r="F104" t="str">
        <f>IF(OR($A104="",$A104=0),"",IF(B104=1,
        INDEX(Tabla1[Importe total], MATCH($A104, Tabla1[N Doc], 0)),
IF(B104=2,
        INDEX(Tabla1[Base imponible 22], MATCH($A104, Tabla1[N Doc], 0)),
IF(B104=3,
        INDEX(Tabla1[Iva 22], MATCH($A104, Tabla1[N Doc], 0)),
IF(B104=4,
        INDEX(Tabla1[Base imponible 10], MATCH($A104, Tabla1[N Doc], 0)),
IF(B104=5,
        INDEX(Tabla1[Iva 10], MATCH($A104, Tabla1[N Doc], 0)),
IF(B104=6,
        INDEX(Tabla1[Exento], MATCH($A104, Tabla1[N Doc], 0)),
IF(B104=7,
        INDEX(#REF!, MATCH($A104, Tabla1[N Doc], 0)),
IF(B104=8,
        INDEX(#REF!, MATCH($A104, Tabla1[N Doc], 0)),
IF(B104=9,
        INDEX(Tabla1[Descuentos], MATCH($A104, Tabla1[N Doc], 0)),
""))))))))))</f>
        <v/>
      </c>
      <c r="G104" t="str">
        <f>IF(OR($A104="",$A104=0),"",IF(OR(B104=2,B104=4,B104=6,B104=7),
    INDEX(Tabla13[Ind impuestos], MATCH($A104, Tabla13[N Doc], 0)),
""))</f>
        <v/>
      </c>
      <c r="J104" t="str">
        <f>IF(OR($A104="",$A104=0),"",IF(OR(B104=2,B104=4,B104=6,B104=7),
    INDEX(Tabla1[CECO], MATCH($A104, Tabla1[N Doc], 0)),
""))</f>
        <v/>
      </c>
      <c r="M104" t="str">
        <f>IF(C104=31,INDEX(Tabla1[Descripción], MATCH($A104, Tabla1[N Doc], 0)),"")</f>
        <v/>
      </c>
    </row>
    <row r="105" spans="1:13" x14ac:dyDescent="0.3">
      <c r="A105" t="str" cm="1">
        <f t="array" ref="A105">INDEX(Tabla1[N Doc], ROUNDUP((ROW()-1)/9, 0))</f>
        <v/>
      </c>
      <c r="B105" t="str">
        <f>IF(OR(A105="",A105=0),"",CHOOSE(
    COUNTIF($A$2:A105,A105),
    1,2,3,4,5,6,7,8,9
))</f>
        <v/>
      </c>
      <c r="C105" t="str">
        <f t="shared" si="1"/>
        <v/>
      </c>
      <c r="D105" s="7" t="str" cm="1">
        <f t="array" ref="D105">IF(OR($A105="",$A105=0),"",
IF(AND(INDEX(Formulario!$H$14:$H$100, $A105)="Si", C105&lt;&gt;31),
        VLOOKUP("cta puente",'Descripciones de gastos'!G:H, 2, FALSE),
IF(B105=1,
        INDEX(Tabla13[Titular], MATCH($A105, Tabla1[N Doc], 0)),
IF(B105=2,
        INDEX(Tabla1[Cuenta contable], MATCH($A105, Tabla1[N Doc], 0)),
IF(B105=3,
        INDEX(Tabla13[Cta Iva 22], MATCH($A105, Tabla1[N Doc], 0)),
IF(B105=4,
        INDEX(Tabla1[Cuenta contable], MATCH($A105, Tabla1[N Doc], 0)),
IF(B105=5,
        INDEX(Tabla13[Cta Iva 10], MATCH($A105, Tabla1[N Doc], 0)),
IF(B105=6,
        INDEX(Tabla1[Cuenta contable], MATCH($A105, Tabla1[N Doc], 0)),
IF(B105=7,
        INDEX(Tabla1[Cuenta contable], MATCH($A105, Tabla1[N Doc], 0)),
IF(B105=8,
        IF(INDEX(Tabla1[Tipo IVA], MATCH($A105, Tabla1[N Doc], 0))="22%",
             INDEX(Tabla13[Cta Iva 22], MATCH($A105, Tabla1[N Doc], 0)),
             INDEX(Tabla13[Cta Iva 10], MATCH($A105, Tabla1[N Doc], 0))),
IF(B105=9,
        INDEX(Tabla1[Cuenta contable], MATCH($A105, Tabla1[N Doc], 0))
)))))))))))</f>
        <v/>
      </c>
      <c r="F105" t="str">
        <f>IF(OR($A105="",$A105=0),"",IF(B105=1,
        INDEX(Tabla1[Importe total], MATCH($A105, Tabla1[N Doc], 0)),
IF(B105=2,
        INDEX(Tabla1[Base imponible 22], MATCH($A105, Tabla1[N Doc], 0)),
IF(B105=3,
        INDEX(Tabla1[Iva 22], MATCH($A105, Tabla1[N Doc], 0)),
IF(B105=4,
        INDEX(Tabla1[Base imponible 10], MATCH($A105, Tabla1[N Doc], 0)),
IF(B105=5,
        INDEX(Tabla1[Iva 10], MATCH($A105, Tabla1[N Doc], 0)),
IF(B105=6,
        INDEX(Tabla1[Exento], MATCH($A105, Tabla1[N Doc], 0)),
IF(B105=7,
        INDEX(#REF!, MATCH($A105, Tabla1[N Doc], 0)),
IF(B105=8,
        INDEX(#REF!, MATCH($A105, Tabla1[N Doc], 0)),
IF(B105=9,
        INDEX(Tabla1[Descuentos], MATCH($A105, Tabla1[N Doc], 0)),
""))))))))))</f>
        <v/>
      </c>
      <c r="G105" t="str">
        <f>IF(OR($A105="",$A105=0),"",IF(OR(B105=2,B105=4,B105=6,B105=7),
    INDEX(Tabla13[Ind impuestos], MATCH($A105, Tabla13[N Doc], 0)),
""))</f>
        <v/>
      </c>
      <c r="J105" t="str">
        <f>IF(OR($A105="",$A105=0),"",IF(OR(B105=2,B105=4,B105=6,B105=7),
    INDEX(Tabla1[CECO], MATCH($A105, Tabla1[N Doc], 0)),
""))</f>
        <v/>
      </c>
      <c r="M105" t="str">
        <f>IF(C105=31,INDEX(Tabla1[Descripción], MATCH($A105, Tabla1[N Doc], 0)),"")</f>
        <v/>
      </c>
    </row>
    <row r="106" spans="1:13" x14ac:dyDescent="0.3">
      <c r="A106" t="str" cm="1">
        <f t="array" ref="A106">INDEX(Tabla1[N Doc], ROUNDUP((ROW()-1)/9, 0))</f>
        <v/>
      </c>
      <c r="B106" t="str">
        <f>IF(OR(A106="",A106=0),"",CHOOSE(
    COUNTIF($A$2:A106,A106),
    1,2,3,4,5,6,7,8,9
))</f>
        <v/>
      </c>
      <c r="C106" t="str">
        <f t="shared" si="1"/>
        <v/>
      </c>
      <c r="D106" s="7" t="str" cm="1">
        <f t="array" ref="D106">IF(OR($A106="",$A106=0),"",
IF(AND(INDEX(Formulario!$H$14:$H$100, $A106)="Si", C106&lt;&gt;31),
        VLOOKUP("cta puente",'Descripciones de gastos'!G:H, 2, FALSE),
IF(B106=1,
        INDEX(Tabla13[Titular], MATCH($A106, Tabla1[N Doc], 0)),
IF(B106=2,
        INDEX(Tabla1[Cuenta contable], MATCH($A106, Tabla1[N Doc], 0)),
IF(B106=3,
        INDEX(Tabla13[Cta Iva 22], MATCH($A106, Tabla1[N Doc], 0)),
IF(B106=4,
        INDEX(Tabla1[Cuenta contable], MATCH($A106, Tabla1[N Doc], 0)),
IF(B106=5,
        INDEX(Tabla13[Cta Iva 10], MATCH($A106, Tabla1[N Doc], 0)),
IF(B106=6,
        INDEX(Tabla1[Cuenta contable], MATCH($A106, Tabla1[N Doc], 0)),
IF(B106=7,
        INDEX(Tabla1[Cuenta contable], MATCH($A106, Tabla1[N Doc], 0)),
IF(B106=8,
        IF(INDEX(Tabla1[Tipo IVA], MATCH($A106, Tabla1[N Doc], 0))="22%",
             INDEX(Tabla13[Cta Iva 22], MATCH($A106, Tabla1[N Doc], 0)),
             INDEX(Tabla13[Cta Iva 10], MATCH($A106, Tabla1[N Doc], 0))),
IF(B106=9,
        INDEX(Tabla1[Cuenta contable], MATCH($A106, Tabla1[N Doc], 0))
)))))))))))</f>
        <v/>
      </c>
      <c r="F106" t="str">
        <f>IF(OR($A106="",$A106=0),"",IF(B106=1,
        INDEX(Tabla1[Importe total], MATCH($A106, Tabla1[N Doc], 0)),
IF(B106=2,
        INDEX(Tabla1[Base imponible 22], MATCH($A106, Tabla1[N Doc], 0)),
IF(B106=3,
        INDEX(Tabla1[Iva 22], MATCH($A106, Tabla1[N Doc], 0)),
IF(B106=4,
        INDEX(Tabla1[Base imponible 10], MATCH($A106, Tabla1[N Doc], 0)),
IF(B106=5,
        INDEX(Tabla1[Iva 10], MATCH($A106, Tabla1[N Doc], 0)),
IF(B106=6,
        INDEX(Tabla1[Exento], MATCH($A106, Tabla1[N Doc], 0)),
IF(B106=7,
        INDEX(#REF!, MATCH($A106, Tabla1[N Doc], 0)),
IF(B106=8,
        INDEX(#REF!, MATCH($A106, Tabla1[N Doc], 0)),
IF(B106=9,
        INDEX(Tabla1[Descuentos], MATCH($A106, Tabla1[N Doc], 0)),
""))))))))))</f>
        <v/>
      </c>
      <c r="G106" t="str">
        <f>IF(OR($A106="",$A106=0),"",IF(OR(B106=2,B106=4,B106=6,B106=7),
    INDEX(Tabla13[Ind impuestos], MATCH($A106, Tabla13[N Doc], 0)),
""))</f>
        <v/>
      </c>
      <c r="J106" t="str">
        <f>IF(OR($A106="",$A106=0),"",IF(OR(B106=2,B106=4,B106=6,B106=7),
    INDEX(Tabla1[CECO], MATCH($A106, Tabla1[N Doc], 0)),
""))</f>
        <v/>
      </c>
      <c r="M106" t="str">
        <f>IF(C106=31,INDEX(Tabla1[Descripción], MATCH($A106, Tabla1[N Doc], 0)),"")</f>
        <v/>
      </c>
    </row>
    <row r="107" spans="1:13" x14ac:dyDescent="0.3">
      <c r="A107" t="str" cm="1">
        <f t="array" ref="A107">INDEX(Tabla1[N Doc], ROUNDUP((ROW()-1)/9, 0))</f>
        <v/>
      </c>
      <c r="B107" t="str">
        <f>IF(OR(A107="",A107=0),"",CHOOSE(
    COUNTIF($A$2:A107,A107),
    1,2,3,4,5,6,7,8,9
))</f>
        <v/>
      </c>
      <c r="C107" t="str">
        <f t="shared" si="1"/>
        <v/>
      </c>
      <c r="D107" s="7" t="str" cm="1">
        <f t="array" ref="D107">IF(OR($A107="",$A107=0),"",
IF(AND(INDEX(Formulario!$H$14:$H$100, $A107)="Si", C107&lt;&gt;31),
        VLOOKUP("cta puente",'Descripciones de gastos'!G:H, 2, FALSE),
IF(B107=1,
        INDEX(Tabla13[Titular], MATCH($A107, Tabla1[N Doc], 0)),
IF(B107=2,
        INDEX(Tabla1[Cuenta contable], MATCH($A107, Tabla1[N Doc], 0)),
IF(B107=3,
        INDEX(Tabla13[Cta Iva 22], MATCH($A107, Tabla1[N Doc], 0)),
IF(B107=4,
        INDEX(Tabla1[Cuenta contable], MATCH($A107, Tabla1[N Doc], 0)),
IF(B107=5,
        INDEX(Tabla13[Cta Iva 10], MATCH($A107, Tabla1[N Doc], 0)),
IF(B107=6,
        INDEX(Tabla1[Cuenta contable], MATCH($A107, Tabla1[N Doc], 0)),
IF(B107=7,
        INDEX(Tabla1[Cuenta contable], MATCH($A107, Tabla1[N Doc], 0)),
IF(B107=8,
        IF(INDEX(Tabla1[Tipo IVA], MATCH($A107, Tabla1[N Doc], 0))="22%",
             INDEX(Tabla13[Cta Iva 22], MATCH($A107, Tabla1[N Doc], 0)),
             INDEX(Tabla13[Cta Iva 10], MATCH($A107, Tabla1[N Doc], 0))),
IF(B107=9,
        INDEX(Tabla1[Cuenta contable], MATCH($A107, Tabla1[N Doc], 0))
)))))))))))</f>
        <v/>
      </c>
      <c r="F107" t="str">
        <f>IF(OR($A107="",$A107=0),"",IF(B107=1,
        INDEX(Tabla1[Importe total], MATCH($A107, Tabla1[N Doc], 0)),
IF(B107=2,
        INDEX(Tabla1[Base imponible 22], MATCH($A107, Tabla1[N Doc], 0)),
IF(B107=3,
        INDEX(Tabla1[Iva 22], MATCH($A107, Tabla1[N Doc], 0)),
IF(B107=4,
        INDEX(Tabla1[Base imponible 10], MATCH($A107, Tabla1[N Doc], 0)),
IF(B107=5,
        INDEX(Tabla1[Iva 10], MATCH($A107, Tabla1[N Doc], 0)),
IF(B107=6,
        INDEX(Tabla1[Exento], MATCH($A107, Tabla1[N Doc], 0)),
IF(B107=7,
        INDEX(#REF!, MATCH($A107, Tabla1[N Doc], 0)),
IF(B107=8,
        INDEX(#REF!, MATCH($A107, Tabla1[N Doc], 0)),
IF(B107=9,
        INDEX(Tabla1[Descuentos], MATCH($A107, Tabla1[N Doc], 0)),
""))))))))))</f>
        <v/>
      </c>
      <c r="G107" t="str">
        <f>IF(OR($A107="",$A107=0),"",IF(OR(B107=2,B107=4,B107=6,B107=7),
    INDEX(Tabla13[Ind impuestos], MATCH($A107, Tabla13[N Doc], 0)),
""))</f>
        <v/>
      </c>
      <c r="J107" t="str">
        <f>IF(OR($A107="",$A107=0),"",IF(OR(B107=2,B107=4,B107=6,B107=7),
    INDEX(Tabla1[CECO], MATCH($A107, Tabla1[N Doc], 0)),
""))</f>
        <v/>
      </c>
      <c r="M107" t="str">
        <f>IF(C107=31,INDEX(Tabla1[Descripción], MATCH($A107, Tabla1[N Doc], 0)),"")</f>
        <v/>
      </c>
    </row>
    <row r="108" spans="1:13" x14ac:dyDescent="0.3">
      <c r="A108" t="str" cm="1">
        <f t="array" ref="A108">INDEX(Tabla1[N Doc], ROUNDUP((ROW()-1)/9, 0))</f>
        <v/>
      </c>
      <c r="B108" t="str">
        <f>IF(OR(A108="",A108=0),"",CHOOSE(
    COUNTIF($A$2:A108,A108),
    1,2,3,4,5,6,7,8,9
))</f>
        <v/>
      </c>
      <c r="C108" t="str">
        <f t="shared" si="1"/>
        <v/>
      </c>
      <c r="D108" s="7" t="str" cm="1">
        <f t="array" ref="D108">IF(OR($A108="",$A108=0),"",
IF(AND(INDEX(Formulario!$H$14:$H$100, $A108)="Si", C108&lt;&gt;31),
        VLOOKUP("cta puente",'Descripciones de gastos'!G:H, 2, FALSE),
IF(B108=1,
        INDEX(Tabla13[Titular], MATCH($A108, Tabla1[N Doc], 0)),
IF(B108=2,
        INDEX(Tabla1[Cuenta contable], MATCH($A108, Tabla1[N Doc], 0)),
IF(B108=3,
        INDEX(Tabla13[Cta Iva 22], MATCH($A108, Tabla1[N Doc], 0)),
IF(B108=4,
        INDEX(Tabla1[Cuenta contable], MATCH($A108, Tabla1[N Doc], 0)),
IF(B108=5,
        INDEX(Tabla13[Cta Iva 10], MATCH($A108, Tabla1[N Doc], 0)),
IF(B108=6,
        INDEX(Tabla1[Cuenta contable], MATCH($A108, Tabla1[N Doc], 0)),
IF(B108=7,
        INDEX(Tabla1[Cuenta contable], MATCH($A108, Tabla1[N Doc], 0)),
IF(B108=8,
        IF(INDEX(Tabla1[Tipo IVA], MATCH($A108, Tabla1[N Doc], 0))="22%",
             INDEX(Tabla13[Cta Iva 22], MATCH($A108, Tabla1[N Doc], 0)),
             INDEX(Tabla13[Cta Iva 10], MATCH($A108, Tabla1[N Doc], 0))),
IF(B108=9,
        INDEX(Tabla1[Cuenta contable], MATCH($A108, Tabla1[N Doc], 0))
)))))))))))</f>
        <v/>
      </c>
      <c r="F108" t="str">
        <f>IF(OR($A108="",$A108=0),"",IF(B108=1,
        INDEX(Tabla1[Importe total], MATCH($A108, Tabla1[N Doc], 0)),
IF(B108=2,
        INDEX(Tabla1[Base imponible 22], MATCH($A108, Tabla1[N Doc], 0)),
IF(B108=3,
        INDEX(Tabla1[Iva 22], MATCH($A108, Tabla1[N Doc], 0)),
IF(B108=4,
        INDEX(Tabla1[Base imponible 10], MATCH($A108, Tabla1[N Doc], 0)),
IF(B108=5,
        INDEX(Tabla1[Iva 10], MATCH($A108, Tabla1[N Doc], 0)),
IF(B108=6,
        INDEX(Tabla1[Exento], MATCH($A108, Tabla1[N Doc], 0)),
IF(B108=7,
        INDEX(#REF!, MATCH($A108, Tabla1[N Doc], 0)),
IF(B108=8,
        INDEX(#REF!, MATCH($A108, Tabla1[N Doc], 0)),
IF(B108=9,
        INDEX(Tabla1[Descuentos], MATCH($A108, Tabla1[N Doc], 0)),
""))))))))))</f>
        <v/>
      </c>
      <c r="G108" t="str">
        <f>IF(OR($A108="",$A108=0),"",IF(OR(B108=2,B108=4,B108=6,B108=7),
    INDEX(Tabla13[Ind impuestos], MATCH($A108, Tabla13[N Doc], 0)),
""))</f>
        <v/>
      </c>
      <c r="J108" t="str">
        <f>IF(OR($A108="",$A108=0),"",IF(OR(B108=2,B108=4,B108=6,B108=7),
    INDEX(Tabla1[CECO], MATCH($A108, Tabla1[N Doc], 0)),
""))</f>
        <v/>
      </c>
      <c r="M108" t="str">
        <f>IF(C108=31,INDEX(Tabla1[Descripción], MATCH($A108, Tabla1[N Doc], 0)),"")</f>
        <v/>
      </c>
    </row>
    <row r="109" spans="1:13" x14ac:dyDescent="0.3">
      <c r="A109" t="str" cm="1">
        <f t="array" ref="A109">INDEX(Tabla1[N Doc], ROUNDUP((ROW()-1)/9, 0))</f>
        <v/>
      </c>
      <c r="B109" t="str">
        <f>IF(OR(A109="",A109=0),"",CHOOSE(
    COUNTIF($A$2:A109,A109),
    1,2,3,4,5,6,7,8,9
))</f>
        <v/>
      </c>
      <c r="C109" t="str">
        <f t="shared" si="1"/>
        <v/>
      </c>
      <c r="D109" s="7" t="str" cm="1">
        <f t="array" ref="D109">IF(OR($A109="",$A109=0),"",
IF(AND(INDEX(Formulario!$H$14:$H$100, $A109)="Si", C109&lt;&gt;31),
        VLOOKUP("cta puente",'Descripciones de gastos'!G:H, 2, FALSE),
IF(B109=1,
        INDEX(Tabla13[Titular], MATCH($A109, Tabla1[N Doc], 0)),
IF(B109=2,
        INDEX(Tabla1[Cuenta contable], MATCH($A109, Tabla1[N Doc], 0)),
IF(B109=3,
        INDEX(Tabla13[Cta Iva 22], MATCH($A109, Tabla1[N Doc], 0)),
IF(B109=4,
        INDEX(Tabla1[Cuenta contable], MATCH($A109, Tabla1[N Doc], 0)),
IF(B109=5,
        INDEX(Tabla13[Cta Iva 10], MATCH($A109, Tabla1[N Doc], 0)),
IF(B109=6,
        INDEX(Tabla1[Cuenta contable], MATCH($A109, Tabla1[N Doc], 0)),
IF(B109=7,
        INDEX(Tabla1[Cuenta contable], MATCH($A109, Tabla1[N Doc], 0)),
IF(B109=8,
        IF(INDEX(Tabla1[Tipo IVA], MATCH($A109, Tabla1[N Doc], 0))="22%",
             INDEX(Tabla13[Cta Iva 22], MATCH($A109, Tabla1[N Doc], 0)),
             INDEX(Tabla13[Cta Iva 10], MATCH($A109, Tabla1[N Doc], 0))),
IF(B109=9,
        INDEX(Tabla1[Cuenta contable], MATCH($A109, Tabla1[N Doc], 0))
)))))))))))</f>
        <v/>
      </c>
      <c r="F109" t="str">
        <f>IF(OR($A109="",$A109=0),"",IF(B109=1,
        INDEX(Tabla1[Importe total], MATCH($A109, Tabla1[N Doc], 0)),
IF(B109=2,
        INDEX(Tabla1[Base imponible 22], MATCH($A109, Tabla1[N Doc], 0)),
IF(B109=3,
        INDEX(Tabla1[Iva 22], MATCH($A109, Tabla1[N Doc], 0)),
IF(B109=4,
        INDEX(Tabla1[Base imponible 10], MATCH($A109, Tabla1[N Doc], 0)),
IF(B109=5,
        INDEX(Tabla1[Iva 10], MATCH($A109, Tabla1[N Doc], 0)),
IF(B109=6,
        INDEX(Tabla1[Exento], MATCH($A109, Tabla1[N Doc], 0)),
IF(B109=7,
        INDEX(#REF!, MATCH($A109, Tabla1[N Doc], 0)),
IF(B109=8,
        INDEX(#REF!, MATCH($A109, Tabla1[N Doc], 0)),
IF(B109=9,
        INDEX(Tabla1[Descuentos], MATCH($A109, Tabla1[N Doc], 0)),
""))))))))))</f>
        <v/>
      </c>
      <c r="G109" t="str">
        <f>IF(OR($A109="",$A109=0),"",IF(OR(B109=2,B109=4,B109=6,B109=7),
    INDEX(Tabla13[Ind impuestos], MATCH($A109, Tabla13[N Doc], 0)),
""))</f>
        <v/>
      </c>
      <c r="J109" t="str">
        <f>IF(OR($A109="",$A109=0),"",IF(OR(B109=2,B109=4,B109=6,B109=7),
    INDEX(Tabla1[CECO], MATCH($A109, Tabla1[N Doc], 0)),
""))</f>
        <v/>
      </c>
      <c r="M109" t="str">
        <f>IF(C109=31,INDEX(Tabla1[Descripción], MATCH($A109, Tabla1[N Doc], 0)),"")</f>
        <v/>
      </c>
    </row>
    <row r="110" spans="1:13" x14ac:dyDescent="0.3">
      <c r="A110" t="str" cm="1">
        <f t="array" ref="A110">INDEX(Tabla1[N Doc], ROUNDUP((ROW()-1)/9, 0))</f>
        <v/>
      </c>
      <c r="B110" t="str">
        <f>IF(OR(A110="",A110=0),"",CHOOSE(
    COUNTIF($A$2:A110,A110),
    1,2,3,4,5,6,7,8,9
))</f>
        <v/>
      </c>
      <c r="C110" t="str">
        <f t="shared" si="1"/>
        <v/>
      </c>
      <c r="D110" s="7" t="str" cm="1">
        <f t="array" ref="D110">IF(OR($A110="",$A110=0),"",
IF(AND(INDEX(Formulario!$H$14:$H$100, $A110)="Si", C110&lt;&gt;31),
        VLOOKUP("cta puente",'Descripciones de gastos'!G:H, 2, FALSE),
IF(B110=1,
        INDEX(Tabla13[Titular], MATCH($A110, Tabla1[N Doc], 0)),
IF(B110=2,
        INDEX(Tabla1[Cuenta contable], MATCH($A110, Tabla1[N Doc], 0)),
IF(B110=3,
        INDEX(Tabla13[Cta Iva 22], MATCH($A110, Tabla1[N Doc], 0)),
IF(B110=4,
        INDEX(Tabla1[Cuenta contable], MATCH($A110, Tabla1[N Doc], 0)),
IF(B110=5,
        INDEX(Tabla13[Cta Iva 10], MATCH($A110, Tabla1[N Doc], 0)),
IF(B110=6,
        INDEX(Tabla1[Cuenta contable], MATCH($A110, Tabla1[N Doc], 0)),
IF(B110=7,
        INDEX(Tabla1[Cuenta contable], MATCH($A110, Tabla1[N Doc], 0)),
IF(B110=8,
        IF(INDEX(Tabla1[Tipo IVA], MATCH($A110, Tabla1[N Doc], 0))="22%",
             INDEX(Tabla13[Cta Iva 22], MATCH($A110, Tabla1[N Doc], 0)),
             INDEX(Tabla13[Cta Iva 10], MATCH($A110, Tabla1[N Doc], 0))),
IF(B110=9,
        INDEX(Tabla1[Cuenta contable], MATCH($A110, Tabla1[N Doc], 0))
)))))))))))</f>
        <v/>
      </c>
      <c r="F110" t="str">
        <f>IF(OR($A110="",$A110=0),"",IF(B110=1,
        INDEX(Tabla1[Importe total], MATCH($A110, Tabla1[N Doc], 0)),
IF(B110=2,
        INDEX(Tabla1[Base imponible 22], MATCH($A110, Tabla1[N Doc], 0)),
IF(B110=3,
        INDEX(Tabla1[Iva 22], MATCH($A110, Tabla1[N Doc], 0)),
IF(B110=4,
        INDEX(Tabla1[Base imponible 10], MATCH($A110, Tabla1[N Doc], 0)),
IF(B110=5,
        INDEX(Tabla1[Iva 10], MATCH($A110, Tabla1[N Doc], 0)),
IF(B110=6,
        INDEX(Tabla1[Exento], MATCH($A110, Tabla1[N Doc], 0)),
IF(B110=7,
        INDEX(#REF!, MATCH($A110, Tabla1[N Doc], 0)),
IF(B110=8,
        INDEX(#REF!, MATCH($A110, Tabla1[N Doc], 0)),
IF(B110=9,
        INDEX(Tabla1[Descuentos], MATCH($A110, Tabla1[N Doc], 0)),
""))))))))))</f>
        <v/>
      </c>
      <c r="G110" t="str">
        <f>IF(OR($A110="",$A110=0),"",IF(OR(B110=2,B110=4,B110=6,B110=7),
    INDEX(Tabla13[Ind impuestos], MATCH($A110, Tabla13[N Doc], 0)),
""))</f>
        <v/>
      </c>
      <c r="J110" t="str">
        <f>IF(OR($A110="",$A110=0),"",IF(OR(B110=2,B110=4,B110=6,B110=7),
    INDEX(Tabla1[CECO], MATCH($A110, Tabla1[N Doc], 0)),
""))</f>
        <v/>
      </c>
      <c r="M110" t="str">
        <f>IF(C110=31,INDEX(Tabla1[Descripción], MATCH($A110, Tabla1[N Doc], 0)),"")</f>
        <v/>
      </c>
    </row>
    <row r="111" spans="1:13" x14ac:dyDescent="0.3">
      <c r="A111" t="str" cm="1">
        <f t="array" ref="A111">INDEX(Tabla1[N Doc], ROUNDUP((ROW()-1)/9, 0))</f>
        <v/>
      </c>
      <c r="B111" t="str">
        <f>IF(OR(A111="",A111=0),"",CHOOSE(
    COUNTIF($A$2:A111,A111),
    1,2,3,4,5,6,7,8,9
))</f>
        <v/>
      </c>
      <c r="C111" t="str">
        <f t="shared" si="1"/>
        <v/>
      </c>
      <c r="D111" s="7" t="str" cm="1">
        <f t="array" ref="D111">IF(OR($A111="",$A111=0),"",
IF(AND(INDEX(Formulario!$H$14:$H$100, $A111)="Si", C111&lt;&gt;31),
        VLOOKUP("cta puente",'Descripciones de gastos'!G:H, 2, FALSE),
IF(B111=1,
        INDEX(Tabla13[Titular], MATCH($A111, Tabla1[N Doc], 0)),
IF(B111=2,
        INDEX(Tabla1[Cuenta contable], MATCH($A111, Tabla1[N Doc], 0)),
IF(B111=3,
        INDEX(Tabla13[Cta Iva 22], MATCH($A111, Tabla1[N Doc], 0)),
IF(B111=4,
        INDEX(Tabla1[Cuenta contable], MATCH($A111, Tabla1[N Doc], 0)),
IF(B111=5,
        INDEX(Tabla13[Cta Iva 10], MATCH($A111, Tabla1[N Doc], 0)),
IF(B111=6,
        INDEX(Tabla1[Cuenta contable], MATCH($A111, Tabla1[N Doc], 0)),
IF(B111=7,
        INDEX(Tabla1[Cuenta contable], MATCH($A111, Tabla1[N Doc], 0)),
IF(B111=8,
        IF(INDEX(Tabla1[Tipo IVA], MATCH($A111, Tabla1[N Doc], 0))="22%",
             INDEX(Tabla13[Cta Iva 22], MATCH($A111, Tabla1[N Doc], 0)),
             INDEX(Tabla13[Cta Iva 10], MATCH($A111, Tabla1[N Doc], 0))),
IF(B111=9,
        INDEX(Tabla1[Cuenta contable], MATCH($A111, Tabla1[N Doc], 0))
)))))))))))</f>
        <v/>
      </c>
      <c r="F111" t="str">
        <f>IF(OR($A111="",$A111=0),"",IF(B111=1,
        INDEX(Tabla1[Importe total], MATCH($A111, Tabla1[N Doc], 0)),
IF(B111=2,
        INDEX(Tabla1[Base imponible 22], MATCH($A111, Tabla1[N Doc], 0)),
IF(B111=3,
        INDEX(Tabla1[Iva 22], MATCH($A111, Tabla1[N Doc], 0)),
IF(B111=4,
        INDEX(Tabla1[Base imponible 10], MATCH($A111, Tabla1[N Doc], 0)),
IF(B111=5,
        INDEX(Tabla1[Iva 10], MATCH($A111, Tabla1[N Doc], 0)),
IF(B111=6,
        INDEX(Tabla1[Exento], MATCH($A111, Tabla1[N Doc], 0)),
IF(B111=7,
        INDEX(#REF!, MATCH($A111, Tabla1[N Doc], 0)),
IF(B111=8,
        INDEX(#REF!, MATCH($A111, Tabla1[N Doc], 0)),
IF(B111=9,
        INDEX(Tabla1[Descuentos], MATCH($A111, Tabla1[N Doc], 0)),
""))))))))))</f>
        <v/>
      </c>
      <c r="G111" t="str">
        <f>IF(OR($A111="",$A111=0),"",IF(OR(B111=2,B111=4,B111=6,B111=7),
    INDEX(Tabla13[Ind impuestos], MATCH($A111, Tabla13[N Doc], 0)),
""))</f>
        <v/>
      </c>
      <c r="J111" t="str">
        <f>IF(OR($A111="",$A111=0),"",IF(OR(B111=2,B111=4,B111=6,B111=7),
    INDEX(Tabla1[CECO], MATCH($A111, Tabla1[N Doc], 0)),
""))</f>
        <v/>
      </c>
      <c r="M111" t="str">
        <f>IF(C111=31,INDEX(Tabla1[Descripción], MATCH($A111, Tabla1[N Doc], 0)),"")</f>
        <v/>
      </c>
    </row>
    <row r="112" spans="1:13" x14ac:dyDescent="0.3">
      <c r="A112" t="str" cm="1">
        <f t="array" ref="A112">INDEX(Tabla1[N Doc], ROUNDUP((ROW()-1)/9, 0))</f>
        <v/>
      </c>
      <c r="B112" t="str">
        <f>IF(OR(A112="",A112=0),"",CHOOSE(
    COUNTIF($A$2:A112,A112),
    1,2,3,4,5,6,7,8,9
))</f>
        <v/>
      </c>
      <c r="C112" t="str">
        <f t="shared" si="1"/>
        <v/>
      </c>
      <c r="D112" s="7" t="str" cm="1">
        <f t="array" ref="D112">IF(OR($A112="",$A112=0),"",
IF(AND(INDEX(Formulario!$H$14:$H$100, $A112)="Si", C112&lt;&gt;31),
        VLOOKUP("cta puente",'Descripciones de gastos'!G:H, 2, FALSE),
IF(B112=1,
        INDEX(Tabla13[Titular], MATCH($A112, Tabla1[N Doc], 0)),
IF(B112=2,
        INDEX(Tabla1[Cuenta contable], MATCH($A112, Tabla1[N Doc], 0)),
IF(B112=3,
        INDEX(Tabla13[Cta Iva 22], MATCH($A112, Tabla1[N Doc], 0)),
IF(B112=4,
        INDEX(Tabla1[Cuenta contable], MATCH($A112, Tabla1[N Doc], 0)),
IF(B112=5,
        INDEX(Tabla13[Cta Iva 10], MATCH($A112, Tabla1[N Doc], 0)),
IF(B112=6,
        INDEX(Tabla1[Cuenta contable], MATCH($A112, Tabla1[N Doc], 0)),
IF(B112=7,
        INDEX(Tabla1[Cuenta contable], MATCH($A112, Tabla1[N Doc], 0)),
IF(B112=8,
        IF(INDEX(Tabla1[Tipo IVA], MATCH($A112, Tabla1[N Doc], 0))="22%",
             INDEX(Tabla13[Cta Iva 22], MATCH($A112, Tabla1[N Doc], 0)),
             INDEX(Tabla13[Cta Iva 10], MATCH($A112, Tabla1[N Doc], 0))),
IF(B112=9,
        INDEX(Tabla1[Cuenta contable], MATCH($A112, Tabla1[N Doc], 0))
)))))))))))</f>
        <v/>
      </c>
      <c r="F112" t="str">
        <f>IF(OR($A112="",$A112=0),"",IF(B112=1,
        INDEX(Tabla1[Importe total], MATCH($A112, Tabla1[N Doc], 0)),
IF(B112=2,
        INDEX(Tabla1[Base imponible 22], MATCH($A112, Tabla1[N Doc], 0)),
IF(B112=3,
        INDEX(Tabla1[Iva 22], MATCH($A112, Tabla1[N Doc], 0)),
IF(B112=4,
        INDEX(Tabla1[Base imponible 10], MATCH($A112, Tabla1[N Doc], 0)),
IF(B112=5,
        INDEX(Tabla1[Iva 10], MATCH($A112, Tabla1[N Doc], 0)),
IF(B112=6,
        INDEX(Tabla1[Exento], MATCH($A112, Tabla1[N Doc], 0)),
IF(B112=7,
        INDEX(#REF!, MATCH($A112, Tabla1[N Doc], 0)),
IF(B112=8,
        INDEX(#REF!, MATCH($A112, Tabla1[N Doc], 0)),
IF(B112=9,
        INDEX(Tabla1[Descuentos], MATCH($A112, Tabla1[N Doc], 0)),
""))))))))))</f>
        <v/>
      </c>
      <c r="G112" t="str">
        <f>IF(OR($A112="",$A112=0),"",IF(OR(B112=2,B112=4,B112=6,B112=7),
    INDEX(Tabla13[Ind impuestos], MATCH($A112, Tabla13[N Doc], 0)),
""))</f>
        <v/>
      </c>
      <c r="J112" t="str">
        <f>IF(OR($A112="",$A112=0),"",IF(OR(B112=2,B112=4,B112=6,B112=7),
    INDEX(Tabla1[CECO], MATCH($A112, Tabla1[N Doc], 0)),
""))</f>
        <v/>
      </c>
      <c r="M112" t="str">
        <f>IF(C112=31,INDEX(Tabla1[Descripción], MATCH($A112, Tabla1[N Doc], 0)),"")</f>
        <v/>
      </c>
    </row>
    <row r="113" spans="1:13" x14ac:dyDescent="0.3">
      <c r="A113" t="str" cm="1">
        <f t="array" ref="A113">INDEX(Tabla1[N Doc], ROUNDUP((ROW()-1)/9, 0))</f>
        <v/>
      </c>
      <c r="B113" t="str">
        <f>IF(OR(A113="",A113=0),"",CHOOSE(
    COUNTIF($A$2:A113,A113),
    1,2,3,4,5,6,7,8,9
))</f>
        <v/>
      </c>
      <c r="C113" t="str">
        <f t="shared" si="1"/>
        <v/>
      </c>
      <c r="D113" s="7" t="str" cm="1">
        <f t="array" ref="D113">IF(OR($A113="",$A113=0),"",
IF(AND(INDEX(Formulario!$H$14:$H$100, $A113)="Si", C113&lt;&gt;31),
        VLOOKUP("cta puente",'Descripciones de gastos'!G:H, 2, FALSE),
IF(B113=1,
        INDEX(Tabla13[Titular], MATCH($A113, Tabla1[N Doc], 0)),
IF(B113=2,
        INDEX(Tabla1[Cuenta contable], MATCH($A113, Tabla1[N Doc], 0)),
IF(B113=3,
        INDEX(Tabla13[Cta Iva 22], MATCH($A113, Tabla1[N Doc], 0)),
IF(B113=4,
        INDEX(Tabla1[Cuenta contable], MATCH($A113, Tabla1[N Doc], 0)),
IF(B113=5,
        INDEX(Tabla13[Cta Iva 10], MATCH($A113, Tabla1[N Doc], 0)),
IF(B113=6,
        INDEX(Tabla1[Cuenta contable], MATCH($A113, Tabla1[N Doc], 0)),
IF(B113=7,
        INDEX(Tabla1[Cuenta contable], MATCH($A113, Tabla1[N Doc], 0)),
IF(B113=8,
        IF(INDEX(Tabla1[Tipo IVA], MATCH($A113, Tabla1[N Doc], 0))="22%",
             INDEX(Tabla13[Cta Iva 22], MATCH($A113, Tabla1[N Doc], 0)),
             INDEX(Tabla13[Cta Iva 10], MATCH($A113, Tabla1[N Doc], 0))),
IF(B113=9,
        INDEX(Tabla1[Cuenta contable], MATCH($A113, Tabla1[N Doc], 0))
)))))))))))</f>
        <v/>
      </c>
      <c r="F113" t="str">
        <f>IF(OR($A113="",$A113=0),"",IF(B113=1,
        INDEX(Tabla1[Importe total], MATCH($A113, Tabla1[N Doc], 0)),
IF(B113=2,
        INDEX(Tabla1[Base imponible 22], MATCH($A113, Tabla1[N Doc], 0)),
IF(B113=3,
        INDEX(Tabla1[Iva 22], MATCH($A113, Tabla1[N Doc], 0)),
IF(B113=4,
        INDEX(Tabla1[Base imponible 10], MATCH($A113, Tabla1[N Doc], 0)),
IF(B113=5,
        INDEX(Tabla1[Iva 10], MATCH($A113, Tabla1[N Doc], 0)),
IF(B113=6,
        INDEX(Tabla1[Exento], MATCH($A113, Tabla1[N Doc], 0)),
IF(B113=7,
        INDEX(#REF!, MATCH($A113, Tabla1[N Doc], 0)),
IF(B113=8,
        INDEX(#REF!, MATCH($A113, Tabla1[N Doc], 0)),
IF(B113=9,
        INDEX(Tabla1[Descuentos], MATCH($A113, Tabla1[N Doc], 0)),
""))))))))))</f>
        <v/>
      </c>
      <c r="G113" t="str">
        <f>IF(OR($A113="",$A113=0),"",IF(OR(B113=2,B113=4,B113=6,B113=7),
    INDEX(Tabla13[Ind impuestos], MATCH($A113, Tabla13[N Doc], 0)),
""))</f>
        <v/>
      </c>
      <c r="J113" t="str">
        <f>IF(OR($A113="",$A113=0),"",IF(OR(B113=2,B113=4,B113=6,B113=7),
    INDEX(Tabla1[CECO], MATCH($A113, Tabla1[N Doc], 0)),
""))</f>
        <v/>
      </c>
      <c r="M113" t="str">
        <f>IF(C113=31,INDEX(Tabla1[Descripción], MATCH($A113, Tabla1[N Doc], 0)),"")</f>
        <v/>
      </c>
    </row>
    <row r="114" spans="1:13" x14ac:dyDescent="0.3">
      <c r="A114" t="str" cm="1">
        <f t="array" ref="A114">INDEX(Tabla1[N Doc], ROUNDUP((ROW()-1)/9, 0))</f>
        <v/>
      </c>
      <c r="B114" t="str">
        <f>IF(OR(A114="",A114=0),"",CHOOSE(
    COUNTIF($A$2:A114,A114),
    1,2,3,4,5,6,7,8,9
))</f>
        <v/>
      </c>
      <c r="C114" t="str">
        <f t="shared" si="1"/>
        <v/>
      </c>
      <c r="D114" s="7" t="str" cm="1">
        <f t="array" ref="D114">IF(OR($A114="",$A114=0),"",
IF(AND(INDEX(Formulario!$H$14:$H$100, $A114)="Si", C114&lt;&gt;31),
        VLOOKUP("cta puente",'Descripciones de gastos'!G:H, 2, FALSE),
IF(B114=1,
        INDEX(Tabla13[Titular], MATCH($A114, Tabla1[N Doc], 0)),
IF(B114=2,
        INDEX(Tabla1[Cuenta contable], MATCH($A114, Tabla1[N Doc], 0)),
IF(B114=3,
        INDEX(Tabla13[Cta Iva 22], MATCH($A114, Tabla1[N Doc], 0)),
IF(B114=4,
        INDEX(Tabla1[Cuenta contable], MATCH($A114, Tabla1[N Doc], 0)),
IF(B114=5,
        INDEX(Tabla13[Cta Iva 10], MATCH($A114, Tabla1[N Doc], 0)),
IF(B114=6,
        INDEX(Tabla1[Cuenta contable], MATCH($A114, Tabla1[N Doc], 0)),
IF(B114=7,
        INDEX(Tabla1[Cuenta contable], MATCH($A114, Tabla1[N Doc], 0)),
IF(B114=8,
        IF(INDEX(Tabla1[Tipo IVA], MATCH($A114, Tabla1[N Doc], 0))="22%",
             INDEX(Tabla13[Cta Iva 22], MATCH($A114, Tabla1[N Doc], 0)),
             INDEX(Tabla13[Cta Iva 10], MATCH($A114, Tabla1[N Doc], 0))),
IF(B114=9,
        INDEX(Tabla1[Cuenta contable], MATCH($A114, Tabla1[N Doc], 0))
)))))))))))</f>
        <v/>
      </c>
      <c r="F114" t="str">
        <f>IF(OR($A114="",$A114=0),"",IF(B114=1,
        INDEX(Tabla1[Importe total], MATCH($A114, Tabla1[N Doc], 0)),
IF(B114=2,
        INDEX(Tabla1[Base imponible 22], MATCH($A114, Tabla1[N Doc], 0)),
IF(B114=3,
        INDEX(Tabla1[Iva 22], MATCH($A114, Tabla1[N Doc], 0)),
IF(B114=4,
        INDEX(Tabla1[Base imponible 10], MATCH($A114, Tabla1[N Doc], 0)),
IF(B114=5,
        INDEX(Tabla1[Iva 10], MATCH($A114, Tabla1[N Doc], 0)),
IF(B114=6,
        INDEX(Tabla1[Exento], MATCH($A114, Tabla1[N Doc], 0)),
IF(B114=7,
        INDEX(#REF!, MATCH($A114, Tabla1[N Doc], 0)),
IF(B114=8,
        INDEX(#REF!, MATCH($A114, Tabla1[N Doc], 0)),
IF(B114=9,
        INDEX(Tabla1[Descuentos], MATCH($A114, Tabla1[N Doc], 0)),
""))))))))))</f>
        <v/>
      </c>
      <c r="G114" t="str">
        <f>IF(OR($A114="",$A114=0),"",IF(OR(B114=2,B114=4,B114=6,B114=7),
    INDEX(Tabla13[Ind impuestos], MATCH($A114, Tabla13[N Doc], 0)),
""))</f>
        <v/>
      </c>
      <c r="J114" t="str">
        <f>IF(OR($A114="",$A114=0),"",IF(OR(B114=2,B114=4,B114=6,B114=7),
    INDEX(Tabla1[CECO], MATCH($A114, Tabla1[N Doc], 0)),
""))</f>
        <v/>
      </c>
      <c r="M114" t="str">
        <f>IF(C114=31,INDEX(Tabla1[Descripción], MATCH($A114, Tabla1[N Doc], 0)),"")</f>
        <v/>
      </c>
    </row>
    <row r="115" spans="1:13" x14ac:dyDescent="0.3">
      <c r="A115" t="str" cm="1">
        <f t="array" ref="A115">INDEX(Tabla1[N Doc], ROUNDUP((ROW()-1)/9, 0))</f>
        <v/>
      </c>
      <c r="B115" t="str">
        <f>IF(OR(A115="",A115=0),"",CHOOSE(
    COUNTIF($A$2:A115,A115),
    1,2,3,4,5,6,7,8,9
))</f>
        <v/>
      </c>
      <c r="C115" t="str">
        <f t="shared" si="1"/>
        <v/>
      </c>
      <c r="D115" s="7" t="str" cm="1">
        <f t="array" ref="D115">IF(OR($A115="",$A115=0),"",
IF(AND(INDEX(Formulario!$H$14:$H$100, $A115)="Si", C115&lt;&gt;31),
        VLOOKUP("cta puente",'Descripciones de gastos'!G:H, 2, FALSE),
IF(B115=1,
        INDEX(Tabla13[Titular], MATCH($A115, Tabla1[N Doc], 0)),
IF(B115=2,
        INDEX(Tabla1[Cuenta contable], MATCH($A115, Tabla1[N Doc], 0)),
IF(B115=3,
        INDEX(Tabla13[Cta Iva 22], MATCH($A115, Tabla1[N Doc], 0)),
IF(B115=4,
        INDEX(Tabla1[Cuenta contable], MATCH($A115, Tabla1[N Doc], 0)),
IF(B115=5,
        INDEX(Tabla13[Cta Iva 10], MATCH($A115, Tabla1[N Doc], 0)),
IF(B115=6,
        INDEX(Tabla1[Cuenta contable], MATCH($A115, Tabla1[N Doc], 0)),
IF(B115=7,
        INDEX(Tabla1[Cuenta contable], MATCH($A115, Tabla1[N Doc], 0)),
IF(B115=8,
        IF(INDEX(Tabla1[Tipo IVA], MATCH($A115, Tabla1[N Doc], 0))="22%",
             INDEX(Tabla13[Cta Iva 22], MATCH($A115, Tabla1[N Doc], 0)),
             INDEX(Tabla13[Cta Iva 10], MATCH($A115, Tabla1[N Doc], 0))),
IF(B115=9,
        INDEX(Tabla1[Cuenta contable], MATCH($A115, Tabla1[N Doc], 0))
)))))))))))</f>
        <v/>
      </c>
      <c r="F115" t="str">
        <f>IF(OR($A115="",$A115=0),"",IF(B115=1,
        INDEX(Tabla1[Importe total], MATCH($A115, Tabla1[N Doc], 0)),
IF(B115=2,
        INDEX(Tabla1[Base imponible 22], MATCH($A115, Tabla1[N Doc], 0)),
IF(B115=3,
        INDEX(Tabla1[Iva 22], MATCH($A115, Tabla1[N Doc], 0)),
IF(B115=4,
        INDEX(Tabla1[Base imponible 10], MATCH($A115, Tabla1[N Doc], 0)),
IF(B115=5,
        INDEX(Tabla1[Iva 10], MATCH($A115, Tabla1[N Doc], 0)),
IF(B115=6,
        INDEX(Tabla1[Exento], MATCH($A115, Tabla1[N Doc], 0)),
IF(B115=7,
        INDEX(#REF!, MATCH($A115, Tabla1[N Doc], 0)),
IF(B115=8,
        INDEX(#REF!, MATCH($A115, Tabla1[N Doc], 0)),
IF(B115=9,
        INDEX(Tabla1[Descuentos], MATCH($A115, Tabla1[N Doc], 0)),
""))))))))))</f>
        <v/>
      </c>
      <c r="G115" t="str">
        <f>IF(OR($A115="",$A115=0),"",IF(OR(B115=2,B115=4,B115=6,B115=7),
    INDEX(Tabla13[Ind impuestos], MATCH($A115, Tabla13[N Doc], 0)),
""))</f>
        <v/>
      </c>
      <c r="J115" t="str">
        <f>IF(OR($A115="",$A115=0),"",IF(OR(B115=2,B115=4,B115=6,B115=7),
    INDEX(Tabla1[CECO], MATCH($A115, Tabla1[N Doc], 0)),
""))</f>
        <v/>
      </c>
      <c r="M115" t="str">
        <f>IF(C115=31,INDEX(Tabla1[Descripción], MATCH($A115, Tabla1[N Doc], 0)),"")</f>
        <v/>
      </c>
    </row>
    <row r="116" spans="1:13" x14ac:dyDescent="0.3">
      <c r="A116" t="str" cm="1">
        <f t="array" ref="A116">INDEX(Tabla1[N Doc], ROUNDUP((ROW()-1)/9, 0))</f>
        <v/>
      </c>
      <c r="B116" t="str">
        <f>IF(OR(A116="",A116=0),"",CHOOSE(
    COUNTIF($A$2:A116,A116),
    1,2,3,4,5,6,7,8,9
))</f>
        <v/>
      </c>
      <c r="C116" t="str">
        <f t="shared" si="1"/>
        <v/>
      </c>
      <c r="D116" s="7" t="str" cm="1">
        <f t="array" ref="D116">IF(OR($A116="",$A116=0),"",
IF(AND(INDEX(Formulario!$H$14:$H$100, $A116)="Si", C116&lt;&gt;31),
        VLOOKUP("cta puente",'Descripciones de gastos'!G:H, 2, FALSE),
IF(B116=1,
        INDEX(Tabla13[Titular], MATCH($A116, Tabla1[N Doc], 0)),
IF(B116=2,
        INDEX(Tabla1[Cuenta contable], MATCH($A116, Tabla1[N Doc], 0)),
IF(B116=3,
        INDEX(Tabla13[Cta Iva 22], MATCH($A116, Tabla1[N Doc], 0)),
IF(B116=4,
        INDEX(Tabla1[Cuenta contable], MATCH($A116, Tabla1[N Doc], 0)),
IF(B116=5,
        INDEX(Tabla13[Cta Iva 10], MATCH($A116, Tabla1[N Doc], 0)),
IF(B116=6,
        INDEX(Tabla1[Cuenta contable], MATCH($A116, Tabla1[N Doc], 0)),
IF(B116=7,
        INDEX(Tabla1[Cuenta contable], MATCH($A116, Tabla1[N Doc], 0)),
IF(B116=8,
        IF(INDEX(Tabla1[Tipo IVA], MATCH($A116, Tabla1[N Doc], 0))="22%",
             INDEX(Tabla13[Cta Iva 22], MATCH($A116, Tabla1[N Doc], 0)),
             INDEX(Tabla13[Cta Iva 10], MATCH($A116, Tabla1[N Doc], 0))),
IF(B116=9,
        INDEX(Tabla1[Cuenta contable], MATCH($A116, Tabla1[N Doc], 0))
)))))))))))</f>
        <v/>
      </c>
      <c r="F116" t="str">
        <f>IF(OR($A116="",$A116=0),"",IF(B116=1,
        INDEX(Tabla1[Importe total], MATCH($A116, Tabla1[N Doc], 0)),
IF(B116=2,
        INDEX(Tabla1[Base imponible 22], MATCH($A116, Tabla1[N Doc], 0)),
IF(B116=3,
        INDEX(Tabla1[Iva 22], MATCH($A116, Tabla1[N Doc], 0)),
IF(B116=4,
        INDEX(Tabla1[Base imponible 10], MATCH($A116, Tabla1[N Doc], 0)),
IF(B116=5,
        INDEX(Tabla1[Iva 10], MATCH($A116, Tabla1[N Doc], 0)),
IF(B116=6,
        INDEX(Tabla1[Exento], MATCH($A116, Tabla1[N Doc], 0)),
IF(B116=7,
        INDEX(#REF!, MATCH($A116, Tabla1[N Doc], 0)),
IF(B116=8,
        INDEX(#REF!, MATCH($A116, Tabla1[N Doc], 0)),
IF(B116=9,
        INDEX(Tabla1[Descuentos], MATCH($A116, Tabla1[N Doc], 0)),
""))))))))))</f>
        <v/>
      </c>
      <c r="G116" t="str">
        <f>IF(OR($A116="",$A116=0),"",IF(OR(B116=2,B116=4,B116=6,B116=7),
    INDEX(Tabla13[Ind impuestos], MATCH($A116, Tabla13[N Doc], 0)),
""))</f>
        <v/>
      </c>
      <c r="J116" t="str">
        <f>IF(OR($A116="",$A116=0),"",IF(OR(B116=2,B116=4,B116=6,B116=7),
    INDEX(Tabla1[CECO], MATCH($A116, Tabla1[N Doc], 0)),
""))</f>
        <v/>
      </c>
      <c r="M116" t="str">
        <f>IF(C116=31,INDEX(Tabla1[Descripción], MATCH($A116, Tabla1[N Doc], 0)),"")</f>
        <v/>
      </c>
    </row>
    <row r="117" spans="1:13" x14ac:dyDescent="0.3">
      <c r="A117" t="str" cm="1">
        <f t="array" ref="A117">INDEX(Tabla1[N Doc], ROUNDUP((ROW()-1)/9, 0))</f>
        <v/>
      </c>
      <c r="B117" t="str">
        <f>IF(OR(A117="",A117=0),"",CHOOSE(
    COUNTIF($A$2:A117,A117),
    1,2,3,4,5,6,7,8,9
))</f>
        <v/>
      </c>
      <c r="C117" t="str">
        <f t="shared" si="1"/>
        <v/>
      </c>
      <c r="D117" s="7" t="str" cm="1">
        <f t="array" ref="D117">IF(OR($A117="",$A117=0),"",
IF(AND(INDEX(Formulario!$H$14:$H$100, $A117)="Si", C117&lt;&gt;31),
        VLOOKUP("cta puente",'Descripciones de gastos'!G:H, 2, FALSE),
IF(B117=1,
        INDEX(Tabla13[Titular], MATCH($A117, Tabla1[N Doc], 0)),
IF(B117=2,
        INDEX(Tabla1[Cuenta contable], MATCH($A117, Tabla1[N Doc], 0)),
IF(B117=3,
        INDEX(Tabla13[Cta Iva 22], MATCH($A117, Tabla1[N Doc], 0)),
IF(B117=4,
        INDEX(Tabla1[Cuenta contable], MATCH($A117, Tabla1[N Doc], 0)),
IF(B117=5,
        INDEX(Tabla13[Cta Iva 10], MATCH($A117, Tabla1[N Doc], 0)),
IF(B117=6,
        INDEX(Tabla1[Cuenta contable], MATCH($A117, Tabla1[N Doc], 0)),
IF(B117=7,
        INDEX(Tabla1[Cuenta contable], MATCH($A117, Tabla1[N Doc], 0)),
IF(B117=8,
        IF(INDEX(Tabla1[Tipo IVA], MATCH($A117, Tabla1[N Doc], 0))="22%",
             INDEX(Tabla13[Cta Iva 22], MATCH($A117, Tabla1[N Doc], 0)),
             INDEX(Tabla13[Cta Iva 10], MATCH($A117, Tabla1[N Doc], 0))),
IF(B117=9,
        INDEX(Tabla1[Cuenta contable], MATCH($A117, Tabla1[N Doc], 0))
)))))))))))</f>
        <v/>
      </c>
      <c r="F117" t="str">
        <f>IF(OR($A117="",$A117=0),"",IF(B117=1,
        INDEX(Tabla1[Importe total], MATCH($A117, Tabla1[N Doc], 0)),
IF(B117=2,
        INDEX(Tabla1[Base imponible 22], MATCH($A117, Tabla1[N Doc], 0)),
IF(B117=3,
        INDEX(Tabla1[Iva 22], MATCH($A117, Tabla1[N Doc], 0)),
IF(B117=4,
        INDEX(Tabla1[Base imponible 10], MATCH($A117, Tabla1[N Doc], 0)),
IF(B117=5,
        INDEX(Tabla1[Iva 10], MATCH($A117, Tabla1[N Doc], 0)),
IF(B117=6,
        INDEX(Tabla1[Exento], MATCH($A117, Tabla1[N Doc], 0)),
IF(B117=7,
        INDEX(#REF!, MATCH($A117, Tabla1[N Doc], 0)),
IF(B117=8,
        INDEX(#REF!, MATCH($A117, Tabla1[N Doc], 0)),
IF(B117=9,
        INDEX(Tabla1[Descuentos], MATCH($A117, Tabla1[N Doc], 0)),
""))))))))))</f>
        <v/>
      </c>
      <c r="G117" t="str">
        <f>IF(OR($A117="",$A117=0),"",IF(OR(B117=2,B117=4,B117=6,B117=7),
    INDEX(Tabla13[Ind impuestos], MATCH($A117, Tabla13[N Doc], 0)),
""))</f>
        <v/>
      </c>
      <c r="J117" t="str">
        <f>IF(OR($A117="",$A117=0),"",IF(OR(B117=2,B117=4,B117=6,B117=7),
    INDEX(Tabla1[CECO], MATCH($A117, Tabla1[N Doc], 0)),
""))</f>
        <v/>
      </c>
      <c r="M117" t="str">
        <f>IF(C117=31,INDEX(Tabla1[Descripción], MATCH($A117, Tabla1[N Doc], 0)),"")</f>
        <v/>
      </c>
    </row>
    <row r="118" spans="1:13" x14ac:dyDescent="0.3">
      <c r="A118" t="str" cm="1">
        <f t="array" ref="A118">INDEX(Tabla1[N Doc], ROUNDUP((ROW()-1)/9, 0))</f>
        <v/>
      </c>
      <c r="B118" t="str">
        <f>IF(OR(A118="",A118=0),"",CHOOSE(
    COUNTIF($A$2:A118,A118),
    1,2,3,4,5,6,7,8,9
))</f>
        <v/>
      </c>
      <c r="C118" t="str">
        <f t="shared" si="1"/>
        <v/>
      </c>
      <c r="D118" s="7" t="str" cm="1">
        <f t="array" ref="D118">IF(OR($A118="",$A118=0),"",
IF(AND(INDEX(Formulario!$H$14:$H$100, $A118)="Si", C118&lt;&gt;31),
        VLOOKUP("cta puente",'Descripciones de gastos'!G:H, 2, FALSE),
IF(B118=1,
        INDEX(Tabla13[Titular], MATCH($A118, Tabla1[N Doc], 0)),
IF(B118=2,
        INDEX(Tabla1[Cuenta contable], MATCH($A118, Tabla1[N Doc], 0)),
IF(B118=3,
        INDEX(Tabla13[Cta Iva 22], MATCH($A118, Tabla1[N Doc], 0)),
IF(B118=4,
        INDEX(Tabla1[Cuenta contable], MATCH($A118, Tabla1[N Doc], 0)),
IF(B118=5,
        INDEX(Tabla13[Cta Iva 10], MATCH($A118, Tabla1[N Doc], 0)),
IF(B118=6,
        INDEX(Tabla1[Cuenta contable], MATCH($A118, Tabla1[N Doc], 0)),
IF(B118=7,
        INDEX(Tabla1[Cuenta contable], MATCH($A118, Tabla1[N Doc], 0)),
IF(B118=8,
        IF(INDEX(Tabla1[Tipo IVA], MATCH($A118, Tabla1[N Doc], 0))="22%",
             INDEX(Tabla13[Cta Iva 22], MATCH($A118, Tabla1[N Doc], 0)),
             INDEX(Tabla13[Cta Iva 10], MATCH($A118, Tabla1[N Doc], 0))),
IF(B118=9,
        INDEX(Tabla1[Cuenta contable], MATCH($A118, Tabla1[N Doc], 0))
)))))))))))</f>
        <v/>
      </c>
      <c r="F118" t="str">
        <f>IF(OR($A118="",$A118=0),"",IF(B118=1,
        INDEX(Tabla1[Importe total], MATCH($A118, Tabla1[N Doc], 0)),
IF(B118=2,
        INDEX(Tabla1[Base imponible 22], MATCH($A118, Tabla1[N Doc], 0)),
IF(B118=3,
        INDEX(Tabla1[Iva 22], MATCH($A118, Tabla1[N Doc], 0)),
IF(B118=4,
        INDEX(Tabla1[Base imponible 10], MATCH($A118, Tabla1[N Doc], 0)),
IF(B118=5,
        INDEX(Tabla1[Iva 10], MATCH($A118, Tabla1[N Doc], 0)),
IF(B118=6,
        INDEX(Tabla1[Exento], MATCH($A118, Tabla1[N Doc], 0)),
IF(B118=7,
        INDEX(#REF!, MATCH($A118, Tabla1[N Doc], 0)),
IF(B118=8,
        INDEX(#REF!, MATCH($A118, Tabla1[N Doc], 0)),
IF(B118=9,
        INDEX(Tabla1[Descuentos], MATCH($A118, Tabla1[N Doc], 0)),
""))))))))))</f>
        <v/>
      </c>
      <c r="G118" t="str">
        <f>IF(OR($A118="",$A118=0),"",IF(OR(B118=2,B118=4,B118=6,B118=7),
    INDEX(Tabla13[Ind impuestos], MATCH($A118, Tabla13[N Doc], 0)),
""))</f>
        <v/>
      </c>
      <c r="J118" t="str">
        <f>IF(OR($A118="",$A118=0),"",IF(OR(B118=2,B118=4,B118=6,B118=7),
    INDEX(Tabla1[CECO], MATCH($A118, Tabla1[N Doc], 0)),
""))</f>
        <v/>
      </c>
      <c r="M118" t="str">
        <f>IF(C118=31,INDEX(Tabla1[Descripción], MATCH($A118, Tabla1[N Doc], 0)),"")</f>
        <v/>
      </c>
    </row>
    <row r="119" spans="1:13" x14ac:dyDescent="0.3">
      <c r="A119" t="str" cm="1">
        <f t="array" ref="A119">INDEX(Tabla1[N Doc], ROUNDUP((ROW()-1)/9, 0))</f>
        <v/>
      </c>
      <c r="B119" t="str">
        <f>IF(OR(A119="",A119=0),"",CHOOSE(
    COUNTIF($A$2:A119,A119),
    1,2,3,4,5,6,7,8,9
))</f>
        <v/>
      </c>
      <c r="C119" t="str">
        <f t="shared" si="1"/>
        <v/>
      </c>
      <c r="D119" s="7" t="str" cm="1">
        <f t="array" ref="D119">IF(OR($A119="",$A119=0),"",
IF(AND(INDEX(Formulario!$H$14:$H$100, $A119)="Si", C119&lt;&gt;31),
        VLOOKUP("cta puente",'Descripciones de gastos'!G:H, 2, FALSE),
IF(B119=1,
        INDEX(Tabla13[Titular], MATCH($A119, Tabla1[N Doc], 0)),
IF(B119=2,
        INDEX(Tabla1[Cuenta contable], MATCH($A119, Tabla1[N Doc], 0)),
IF(B119=3,
        INDEX(Tabla13[Cta Iva 22], MATCH($A119, Tabla1[N Doc], 0)),
IF(B119=4,
        INDEX(Tabla1[Cuenta contable], MATCH($A119, Tabla1[N Doc], 0)),
IF(B119=5,
        INDEX(Tabla13[Cta Iva 10], MATCH($A119, Tabla1[N Doc], 0)),
IF(B119=6,
        INDEX(Tabla1[Cuenta contable], MATCH($A119, Tabla1[N Doc], 0)),
IF(B119=7,
        INDEX(Tabla1[Cuenta contable], MATCH($A119, Tabla1[N Doc], 0)),
IF(B119=8,
        IF(INDEX(Tabla1[Tipo IVA], MATCH($A119, Tabla1[N Doc], 0))="22%",
             INDEX(Tabla13[Cta Iva 22], MATCH($A119, Tabla1[N Doc], 0)),
             INDEX(Tabla13[Cta Iva 10], MATCH($A119, Tabla1[N Doc], 0))),
IF(B119=9,
        INDEX(Tabla1[Cuenta contable], MATCH($A119, Tabla1[N Doc], 0))
)))))))))))</f>
        <v/>
      </c>
      <c r="F119" t="str">
        <f>IF(OR($A119="",$A119=0),"",IF(B119=1,
        INDEX(Tabla1[Importe total], MATCH($A119, Tabla1[N Doc], 0)),
IF(B119=2,
        INDEX(Tabla1[Base imponible 22], MATCH($A119, Tabla1[N Doc], 0)),
IF(B119=3,
        INDEX(Tabla1[Iva 22], MATCH($A119, Tabla1[N Doc], 0)),
IF(B119=4,
        INDEX(Tabla1[Base imponible 10], MATCH($A119, Tabla1[N Doc], 0)),
IF(B119=5,
        INDEX(Tabla1[Iva 10], MATCH($A119, Tabla1[N Doc], 0)),
IF(B119=6,
        INDEX(Tabla1[Exento], MATCH($A119, Tabla1[N Doc], 0)),
IF(B119=7,
        INDEX(#REF!, MATCH($A119, Tabla1[N Doc], 0)),
IF(B119=8,
        INDEX(#REF!, MATCH($A119, Tabla1[N Doc], 0)),
IF(B119=9,
        INDEX(Tabla1[Descuentos], MATCH($A119, Tabla1[N Doc], 0)),
""))))))))))</f>
        <v/>
      </c>
      <c r="G119" t="str">
        <f>IF(OR($A119="",$A119=0),"",IF(OR(B119=2,B119=4,B119=6,B119=7),
    INDEX(Tabla13[Ind impuestos], MATCH($A119, Tabla13[N Doc], 0)),
""))</f>
        <v/>
      </c>
      <c r="J119" t="str">
        <f>IF(OR($A119="",$A119=0),"",IF(OR(B119=2,B119=4,B119=6,B119=7),
    INDEX(Tabla1[CECO], MATCH($A119, Tabla1[N Doc], 0)),
""))</f>
        <v/>
      </c>
      <c r="M119" t="str">
        <f>IF(C119=31,INDEX(Tabla1[Descripción], MATCH($A119, Tabla1[N Doc], 0)),"")</f>
        <v/>
      </c>
    </row>
    <row r="120" spans="1:13" x14ac:dyDescent="0.3">
      <c r="A120" t="str" cm="1">
        <f t="array" ref="A120">INDEX(Tabla1[N Doc], ROUNDUP((ROW()-1)/9, 0))</f>
        <v/>
      </c>
      <c r="B120" t="str">
        <f>IF(OR(A120="",A120=0),"",CHOOSE(
    COUNTIF($A$2:A120,A120),
    1,2,3,4,5,6,7,8,9
))</f>
        <v/>
      </c>
      <c r="C120" t="str">
        <f t="shared" si="1"/>
        <v/>
      </c>
      <c r="D120" s="7" t="str" cm="1">
        <f t="array" ref="D120">IF(OR($A120="",$A120=0),"",
IF(AND(INDEX(Formulario!$H$14:$H$100, $A120)="Si", C120&lt;&gt;31),
        VLOOKUP("cta puente",'Descripciones de gastos'!G:H, 2, FALSE),
IF(B120=1,
        INDEX(Tabla13[Titular], MATCH($A120, Tabla1[N Doc], 0)),
IF(B120=2,
        INDEX(Tabla1[Cuenta contable], MATCH($A120, Tabla1[N Doc], 0)),
IF(B120=3,
        INDEX(Tabla13[Cta Iva 22], MATCH($A120, Tabla1[N Doc], 0)),
IF(B120=4,
        INDEX(Tabla1[Cuenta contable], MATCH($A120, Tabla1[N Doc], 0)),
IF(B120=5,
        INDEX(Tabla13[Cta Iva 10], MATCH($A120, Tabla1[N Doc], 0)),
IF(B120=6,
        INDEX(Tabla1[Cuenta contable], MATCH($A120, Tabla1[N Doc], 0)),
IF(B120=7,
        INDEX(Tabla1[Cuenta contable], MATCH($A120, Tabla1[N Doc], 0)),
IF(B120=8,
        IF(INDEX(Tabla1[Tipo IVA], MATCH($A120, Tabla1[N Doc], 0))="22%",
             INDEX(Tabla13[Cta Iva 22], MATCH($A120, Tabla1[N Doc], 0)),
             INDEX(Tabla13[Cta Iva 10], MATCH($A120, Tabla1[N Doc], 0))),
IF(B120=9,
        INDEX(Tabla1[Cuenta contable], MATCH($A120, Tabla1[N Doc], 0))
)))))))))))</f>
        <v/>
      </c>
      <c r="F120" t="str">
        <f>IF(OR($A120="",$A120=0),"",IF(B120=1,
        INDEX(Tabla1[Importe total], MATCH($A120, Tabla1[N Doc], 0)),
IF(B120=2,
        INDEX(Tabla1[Base imponible 22], MATCH($A120, Tabla1[N Doc], 0)),
IF(B120=3,
        INDEX(Tabla1[Iva 22], MATCH($A120, Tabla1[N Doc], 0)),
IF(B120=4,
        INDEX(Tabla1[Base imponible 10], MATCH($A120, Tabla1[N Doc], 0)),
IF(B120=5,
        INDEX(Tabla1[Iva 10], MATCH($A120, Tabla1[N Doc], 0)),
IF(B120=6,
        INDEX(Tabla1[Exento], MATCH($A120, Tabla1[N Doc], 0)),
IF(B120=7,
        INDEX(#REF!, MATCH($A120, Tabla1[N Doc], 0)),
IF(B120=8,
        INDEX(#REF!, MATCH($A120, Tabla1[N Doc], 0)),
IF(B120=9,
        INDEX(Tabla1[Descuentos], MATCH($A120, Tabla1[N Doc], 0)),
""))))))))))</f>
        <v/>
      </c>
      <c r="G120" t="str">
        <f>IF(OR($A120="",$A120=0),"",IF(OR(B120=2,B120=4,B120=6,B120=7),
    INDEX(Tabla13[Ind impuestos], MATCH($A120, Tabla13[N Doc], 0)),
""))</f>
        <v/>
      </c>
      <c r="J120" t="str">
        <f>IF(OR($A120="",$A120=0),"",IF(OR(B120=2,B120=4,B120=6,B120=7),
    INDEX(Tabla1[CECO], MATCH($A120, Tabla1[N Doc], 0)),
""))</f>
        <v/>
      </c>
      <c r="M120" t="str">
        <f>IF(C120=31,INDEX(Tabla1[Descripción], MATCH($A120, Tabla1[N Doc], 0)),"")</f>
        <v/>
      </c>
    </row>
    <row r="121" spans="1:13" x14ac:dyDescent="0.3">
      <c r="A121" t="str" cm="1">
        <f t="array" ref="A121">INDEX(Tabla1[N Doc], ROUNDUP((ROW()-1)/9, 0))</f>
        <v/>
      </c>
      <c r="B121" t="str">
        <f>IF(OR(A121="",A121=0),"",CHOOSE(
    COUNTIF($A$2:A121,A121),
    1,2,3,4,5,6,7,8,9
))</f>
        <v/>
      </c>
      <c r="C121" t="str">
        <f t="shared" si="1"/>
        <v/>
      </c>
      <c r="D121" s="7" t="str" cm="1">
        <f t="array" ref="D121">IF(OR($A121="",$A121=0),"",
IF(AND(INDEX(Formulario!$H$14:$H$100, $A121)="Si", C121&lt;&gt;31),
        VLOOKUP("cta puente",'Descripciones de gastos'!G:H, 2, FALSE),
IF(B121=1,
        INDEX(Tabla13[Titular], MATCH($A121, Tabla1[N Doc], 0)),
IF(B121=2,
        INDEX(Tabla1[Cuenta contable], MATCH($A121, Tabla1[N Doc], 0)),
IF(B121=3,
        INDEX(Tabla13[Cta Iva 22], MATCH($A121, Tabla1[N Doc], 0)),
IF(B121=4,
        INDEX(Tabla1[Cuenta contable], MATCH($A121, Tabla1[N Doc], 0)),
IF(B121=5,
        INDEX(Tabla13[Cta Iva 10], MATCH($A121, Tabla1[N Doc], 0)),
IF(B121=6,
        INDEX(Tabla1[Cuenta contable], MATCH($A121, Tabla1[N Doc], 0)),
IF(B121=7,
        INDEX(Tabla1[Cuenta contable], MATCH($A121, Tabla1[N Doc], 0)),
IF(B121=8,
        IF(INDEX(Tabla1[Tipo IVA], MATCH($A121, Tabla1[N Doc], 0))="22%",
             INDEX(Tabla13[Cta Iva 22], MATCH($A121, Tabla1[N Doc], 0)),
             INDEX(Tabla13[Cta Iva 10], MATCH($A121, Tabla1[N Doc], 0))),
IF(B121=9,
        INDEX(Tabla1[Cuenta contable], MATCH($A121, Tabla1[N Doc], 0))
)))))))))))</f>
        <v/>
      </c>
      <c r="F121" t="str">
        <f>IF(OR($A121="",$A121=0),"",IF(B121=1,
        INDEX(Tabla1[Importe total], MATCH($A121, Tabla1[N Doc], 0)),
IF(B121=2,
        INDEX(Tabla1[Base imponible 22], MATCH($A121, Tabla1[N Doc], 0)),
IF(B121=3,
        INDEX(Tabla1[Iva 22], MATCH($A121, Tabla1[N Doc], 0)),
IF(B121=4,
        INDEX(Tabla1[Base imponible 10], MATCH($A121, Tabla1[N Doc], 0)),
IF(B121=5,
        INDEX(Tabla1[Iva 10], MATCH($A121, Tabla1[N Doc], 0)),
IF(B121=6,
        INDEX(Tabla1[Exento], MATCH($A121, Tabla1[N Doc], 0)),
IF(B121=7,
        INDEX(#REF!, MATCH($A121, Tabla1[N Doc], 0)),
IF(B121=8,
        INDEX(#REF!, MATCH($A121, Tabla1[N Doc], 0)),
IF(B121=9,
        INDEX(Tabla1[Descuentos], MATCH($A121, Tabla1[N Doc], 0)),
""))))))))))</f>
        <v/>
      </c>
      <c r="G121" t="str">
        <f>IF(OR($A121="",$A121=0),"",IF(OR(B121=2,B121=4,B121=6,B121=7),
    INDEX(Tabla13[Ind impuestos], MATCH($A121, Tabla13[N Doc], 0)),
""))</f>
        <v/>
      </c>
      <c r="J121" t="str">
        <f>IF(OR($A121="",$A121=0),"",IF(OR(B121=2,B121=4,B121=6,B121=7),
    INDEX(Tabla1[CECO], MATCH($A121, Tabla1[N Doc], 0)),
""))</f>
        <v/>
      </c>
      <c r="M121" t="str">
        <f>IF(C121=31,INDEX(Tabla1[Descripción], MATCH($A121, Tabla1[N Doc], 0)),"")</f>
        <v/>
      </c>
    </row>
    <row r="122" spans="1:13" x14ac:dyDescent="0.3">
      <c r="A122" t="str" cm="1">
        <f t="array" ref="A122">INDEX(Tabla1[N Doc], ROUNDUP((ROW()-1)/9, 0))</f>
        <v/>
      </c>
      <c r="B122" t="str">
        <f>IF(OR(A122="",A122=0),"",CHOOSE(
    COUNTIF($A$2:A122,A122),
    1,2,3,4,5,6,7,8,9
))</f>
        <v/>
      </c>
      <c r="C122" t="str">
        <f t="shared" si="1"/>
        <v/>
      </c>
      <c r="D122" s="7" t="str" cm="1">
        <f t="array" ref="D122">IF(OR($A122="",$A122=0),"",
IF(AND(INDEX(Formulario!$H$14:$H$100, $A122)="Si", C122&lt;&gt;31),
        VLOOKUP("cta puente",'Descripciones de gastos'!G:H, 2, FALSE),
IF(B122=1,
        INDEX(Tabla13[Titular], MATCH($A122, Tabla1[N Doc], 0)),
IF(B122=2,
        INDEX(Tabla1[Cuenta contable], MATCH($A122, Tabla1[N Doc], 0)),
IF(B122=3,
        INDEX(Tabla13[Cta Iva 22], MATCH($A122, Tabla1[N Doc], 0)),
IF(B122=4,
        INDEX(Tabla1[Cuenta contable], MATCH($A122, Tabla1[N Doc], 0)),
IF(B122=5,
        INDEX(Tabla13[Cta Iva 10], MATCH($A122, Tabla1[N Doc], 0)),
IF(B122=6,
        INDEX(Tabla1[Cuenta contable], MATCH($A122, Tabla1[N Doc], 0)),
IF(B122=7,
        INDEX(Tabla1[Cuenta contable], MATCH($A122, Tabla1[N Doc], 0)),
IF(B122=8,
        IF(INDEX(Tabla1[Tipo IVA], MATCH($A122, Tabla1[N Doc], 0))="22%",
             INDEX(Tabla13[Cta Iva 22], MATCH($A122, Tabla1[N Doc], 0)),
             INDEX(Tabla13[Cta Iva 10], MATCH($A122, Tabla1[N Doc], 0))),
IF(B122=9,
        INDEX(Tabla1[Cuenta contable], MATCH($A122, Tabla1[N Doc], 0))
)))))))))))</f>
        <v/>
      </c>
      <c r="F122" t="str">
        <f>IF(OR($A122="",$A122=0),"",IF(B122=1,
        INDEX(Tabla1[Importe total], MATCH($A122, Tabla1[N Doc], 0)),
IF(B122=2,
        INDEX(Tabla1[Base imponible 22], MATCH($A122, Tabla1[N Doc], 0)),
IF(B122=3,
        INDEX(Tabla1[Iva 22], MATCH($A122, Tabla1[N Doc], 0)),
IF(B122=4,
        INDEX(Tabla1[Base imponible 10], MATCH($A122, Tabla1[N Doc], 0)),
IF(B122=5,
        INDEX(Tabla1[Iva 10], MATCH($A122, Tabla1[N Doc], 0)),
IF(B122=6,
        INDEX(Tabla1[Exento], MATCH($A122, Tabla1[N Doc], 0)),
IF(B122=7,
        INDEX(#REF!, MATCH($A122, Tabla1[N Doc], 0)),
IF(B122=8,
        INDEX(#REF!, MATCH($A122, Tabla1[N Doc], 0)),
IF(B122=9,
        INDEX(Tabla1[Descuentos], MATCH($A122, Tabla1[N Doc], 0)),
""))))))))))</f>
        <v/>
      </c>
      <c r="G122" t="str">
        <f>IF(OR($A122="",$A122=0),"",IF(OR(B122=2,B122=4,B122=6,B122=7),
    INDEX(Tabla13[Ind impuestos], MATCH($A122, Tabla13[N Doc], 0)),
""))</f>
        <v/>
      </c>
      <c r="J122" t="str">
        <f>IF(OR($A122="",$A122=0),"",IF(OR(B122=2,B122=4,B122=6,B122=7),
    INDEX(Tabla1[CECO], MATCH($A122, Tabla1[N Doc], 0)),
""))</f>
        <v/>
      </c>
      <c r="M122" t="str">
        <f>IF(C122=31,INDEX(Tabla1[Descripción], MATCH($A122, Tabla1[N Doc], 0)),"")</f>
        <v/>
      </c>
    </row>
    <row r="123" spans="1:13" x14ac:dyDescent="0.3">
      <c r="A123" t="str" cm="1">
        <f t="array" ref="A123">INDEX(Tabla1[N Doc], ROUNDUP((ROW()-1)/9, 0))</f>
        <v/>
      </c>
      <c r="B123" t="str">
        <f>IF(OR(A123="",A123=0),"",CHOOSE(
    COUNTIF($A$2:A123,A123),
    1,2,3,4,5,6,7,8,9
))</f>
        <v/>
      </c>
      <c r="C123" t="str">
        <f t="shared" si="1"/>
        <v/>
      </c>
      <c r="D123" s="7" t="str" cm="1">
        <f t="array" ref="D123">IF(OR($A123="",$A123=0),"",
IF(AND(INDEX(Formulario!$H$14:$H$100, $A123)="Si", C123&lt;&gt;31),
        VLOOKUP("cta puente",'Descripciones de gastos'!G:H, 2, FALSE),
IF(B123=1,
        INDEX(Tabla13[Titular], MATCH($A123, Tabla1[N Doc], 0)),
IF(B123=2,
        INDEX(Tabla1[Cuenta contable], MATCH($A123, Tabla1[N Doc], 0)),
IF(B123=3,
        INDEX(Tabla13[Cta Iva 22], MATCH($A123, Tabla1[N Doc], 0)),
IF(B123=4,
        INDEX(Tabla1[Cuenta contable], MATCH($A123, Tabla1[N Doc], 0)),
IF(B123=5,
        INDEX(Tabla13[Cta Iva 10], MATCH($A123, Tabla1[N Doc], 0)),
IF(B123=6,
        INDEX(Tabla1[Cuenta contable], MATCH($A123, Tabla1[N Doc], 0)),
IF(B123=7,
        INDEX(Tabla1[Cuenta contable], MATCH($A123, Tabla1[N Doc], 0)),
IF(B123=8,
        IF(INDEX(Tabla1[Tipo IVA], MATCH($A123, Tabla1[N Doc], 0))="22%",
             INDEX(Tabla13[Cta Iva 22], MATCH($A123, Tabla1[N Doc], 0)),
             INDEX(Tabla13[Cta Iva 10], MATCH($A123, Tabla1[N Doc], 0))),
IF(B123=9,
        INDEX(Tabla1[Cuenta contable], MATCH($A123, Tabla1[N Doc], 0))
)))))))))))</f>
        <v/>
      </c>
      <c r="F123" t="str">
        <f>IF(OR($A123="",$A123=0),"",IF(B123=1,
        INDEX(Tabla1[Importe total], MATCH($A123, Tabla1[N Doc], 0)),
IF(B123=2,
        INDEX(Tabla1[Base imponible 22], MATCH($A123, Tabla1[N Doc], 0)),
IF(B123=3,
        INDEX(Tabla1[Iva 22], MATCH($A123, Tabla1[N Doc], 0)),
IF(B123=4,
        INDEX(Tabla1[Base imponible 10], MATCH($A123, Tabla1[N Doc], 0)),
IF(B123=5,
        INDEX(Tabla1[Iva 10], MATCH($A123, Tabla1[N Doc], 0)),
IF(B123=6,
        INDEX(Tabla1[Exento], MATCH($A123, Tabla1[N Doc], 0)),
IF(B123=7,
        INDEX(#REF!, MATCH($A123, Tabla1[N Doc], 0)),
IF(B123=8,
        INDEX(#REF!, MATCH($A123, Tabla1[N Doc], 0)),
IF(B123=9,
        INDEX(Tabla1[Descuentos], MATCH($A123, Tabla1[N Doc], 0)),
""))))))))))</f>
        <v/>
      </c>
      <c r="G123" t="str">
        <f>IF(OR($A123="",$A123=0),"",IF(OR(B123=2,B123=4,B123=6,B123=7),
    INDEX(Tabla13[Ind impuestos], MATCH($A123, Tabla13[N Doc], 0)),
""))</f>
        <v/>
      </c>
      <c r="J123" t="str">
        <f>IF(OR($A123="",$A123=0),"",IF(OR(B123=2,B123=4,B123=6,B123=7),
    INDEX(Tabla1[CECO], MATCH($A123, Tabla1[N Doc], 0)),
""))</f>
        <v/>
      </c>
      <c r="M123" t="str">
        <f>IF(C123=31,INDEX(Tabla1[Descripción], MATCH($A123, Tabla1[N Doc], 0)),"")</f>
        <v/>
      </c>
    </row>
    <row r="124" spans="1:13" x14ac:dyDescent="0.3">
      <c r="A124" t="str" cm="1">
        <f t="array" ref="A124">INDEX(Tabla1[N Doc], ROUNDUP((ROW()-1)/9, 0))</f>
        <v/>
      </c>
      <c r="B124" t="str">
        <f>IF(OR(A124="",A124=0),"",CHOOSE(
    COUNTIF($A$2:A124,A124),
    1,2,3,4,5,6,7,8,9
))</f>
        <v/>
      </c>
      <c r="C124" t="str">
        <f t="shared" si="1"/>
        <v/>
      </c>
      <c r="D124" s="7" t="str" cm="1">
        <f t="array" ref="D124">IF(OR($A124="",$A124=0),"",
IF(AND(INDEX(Formulario!$H$14:$H$100, $A124)="Si", C124&lt;&gt;31),
        VLOOKUP("cta puente",'Descripciones de gastos'!G:H, 2, FALSE),
IF(B124=1,
        INDEX(Tabla13[Titular], MATCH($A124, Tabla1[N Doc], 0)),
IF(B124=2,
        INDEX(Tabla1[Cuenta contable], MATCH($A124, Tabla1[N Doc], 0)),
IF(B124=3,
        INDEX(Tabla13[Cta Iva 22], MATCH($A124, Tabla1[N Doc], 0)),
IF(B124=4,
        INDEX(Tabla1[Cuenta contable], MATCH($A124, Tabla1[N Doc], 0)),
IF(B124=5,
        INDEX(Tabla13[Cta Iva 10], MATCH($A124, Tabla1[N Doc], 0)),
IF(B124=6,
        INDEX(Tabla1[Cuenta contable], MATCH($A124, Tabla1[N Doc], 0)),
IF(B124=7,
        INDEX(Tabla1[Cuenta contable], MATCH($A124, Tabla1[N Doc], 0)),
IF(B124=8,
        IF(INDEX(Tabla1[Tipo IVA], MATCH($A124, Tabla1[N Doc], 0))="22%",
             INDEX(Tabla13[Cta Iva 22], MATCH($A124, Tabla1[N Doc], 0)),
             INDEX(Tabla13[Cta Iva 10], MATCH($A124, Tabla1[N Doc], 0))),
IF(B124=9,
        INDEX(Tabla1[Cuenta contable], MATCH($A124, Tabla1[N Doc], 0))
)))))))))))</f>
        <v/>
      </c>
      <c r="F124" t="str">
        <f>IF(OR($A124="",$A124=0),"",IF(B124=1,
        INDEX(Tabla1[Importe total], MATCH($A124, Tabla1[N Doc], 0)),
IF(B124=2,
        INDEX(Tabla1[Base imponible 22], MATCH($A124, Tabla1[N Doc], 0)),
IF(B124=3,
        INDEX(Tabla1[Iva 22], MATCH($A124, Tabla1[N Doc], 0)),
IF(B124=4,
        INDEX(Tabla1[Base imponible 10], MATCH($A124, Tabla1[N Doc], 0)),
IF(B124=5,
        INDEX(Tabla1[Iva 10], MATCH($A124, Tabla1[N Doc], 0)),
IF(B124=6,
        INDEX(Tabla1[Exento], MATCH($A124, Tabla1[N Doc], 0)),
IF(B124=7,
        INDEX(#REF!, MATCH($A124, Tabla1[N Doc], 0)),
IF(B124=8,
        INDEX(#REF!, MATCH($A124, Tabla1[N Doc], 0)),
IF(B124=9,
        INDEX(Tabla1[Descuentos], MATCH($A124, Tabla1[N Doc], 0)),
""))))))))))</f>
        <v/>
      </c>
      <c r="G124" t="str">
        <f>IF(OR($A124="",$A124=0),"",IF(OR(B124=2,B124=4,B124=6,B124=7),
    INDEX(Tabla13[Ind impuestos], MATCH($A124, Tabla13[N Doc], 0)),
""))</f>
        <v/>
      </c>
      <c r="J124" t="str">
        <f>IF(OR($A124="",$A124=0),"",IF(OR(B124=2,B124=4,B124=6,B124=7),
    INDEX(Tabla1[CECO], MATCH($A124, Tabla1[N Doc], 0)),
""))</f>
        <v/>
      </c>
      <c r="M124" t="str">
        <f>IF(C124=31,INDEX(Tabla1[Descripción], MATCH($A124, Tabla1[N Doc], 0)),"")</f>
        <v/>
      </c>
    </row>
    <row r="125" spans="1:13" x14ac:dyDescent="0.3">
      <c r="A125" t="str" cm="1">
        <f t="array" ref="A125">INDEX(Tabla1[N Doc], ROUNDUP((ROW()-1)/9, 0))</f>
        <v/>
      </c>
      <c r="B125" t="str">
        <f>IF(OR(A125="",A125=0),"",CHOOSE(
    COUNTIF($A$2:A125,A125),
    1,2,3,4,5,6,7,8,9
))</f>
        <v/>
      </c>
      <c r="C125" t="str">
        <f t="shared" si="1"/>
        <v/>
      </c>
      <c r="D125" s="7" t="str" cm="1">
        <f t="array" ref="D125">IF(OR($A125="",$A125=0),"",
IF(AND(INDEX(Formulario!$H$14:$H$100, $A125)="Si", C125&lt;&gt;31),
        VLOOKUP("cta puente",'Descripciones de gastos'!G:H, 2, FALSE),
IF(B125=1,
        INDEX(Tabla13[Titular], MATCH($A125, Tabla1[N Doc], 0)),
IF(B125=2,
        INDEX(Tabla1[Cuenta contable], MATCH($A125, Tabla1[N Doc], 0)),
IF(B125=3,
        INDEX(Tabla13[Cta Iva 22], MATCH($A125, Tabla1[N Doc], 0)),
IF(B125=4,
        INDEX(Tabla1[Cuenta contable], MATCH($A125, Tabla1[N Doc], 0)),
IF(B125=5,
        INDEX(Tabla13[Cta Iva 10], MATCH($A125, Tabla1[N Doc], 0)),
IF(B125=6,
        INDEX(Tabla1[Cuenta contable], MATCH($A125, Tabla1[N Doc], 0)),
IF(B125=7,
        INDEX(Tabla1[Cuenta contable], MATCH($A125, Tabla1[N Doc], 0)),
IF(B125=8,
        IF(INDEX(Tabla1[Tipo IVA], MATCH($A125, Tabla1[N Doc], 0))="22%",
             INDEX(Tabla13[Cta Iva 22], MATCH($A125, Tabla1[N Doc], 0)),
             INDEX(Tabla13[Cta Iva 10], MATCH($A125, Tabla1[N Doc], 0))),
IF(B125=9,
        INDEX(Tabla1[Cuenta contable], MATCH($A125, Tabla1[N Doc], 0))
)))))))))))</f>
        <v/>
      </c>
      <c r="F125" t="str">
        <f>IF(OR($A125="",$A125=0),"",IF(B125=1,
        INDEX(Tabla1[Importe total], MATCH($A125, Tabla1[N Doc], 0)),
IF(B125=2,
        INDEX(Tabla1[Base imponible 22], MATCH($A125, Tabla1[N Doc], 0)),
IF(B125=3,
        INDEX(Tabla1[Iva 22], MATCH($A125, Tabla1[N Doc], 0)),
IF(B125=4,
        INDEX(Tabla1[Base imponible 10], MATCH($A125, Tabla1[N Doc], 0)),
IF(B125=5,
        INDEX(Tabla1[Iva 10], MATCH($A125, Tabla1[N Doc], 0)),
IF(B125=6,
        INDEX(Tabla1[Exento], MATCH($A125, Tabla1[N Doc], 0)),
IF(B125=7,
        INDEX(#REF!, MATCH($A125, Tabla1[N Doc], 0)),
IF(B125=8,
        INDEX(#REF!, MATCH($A125, Tabla1[N Doc], 0)),
IF(B125=9,
        INDEX(Tabla1[Descuentos], MATCH($A125, Tabla1[N Doc], 0)),
""))))))))))</f>
        <v/>
      </c>
      <c r="G125" t="str">
        <f>IF(OR($A125="",$A125=0),"",IF(OR(B125=2,B125=4,B125=6,B125=7),
    INDEX(Tabla13[Ind impuestos], MATCH($A125, Tabla13[N Doc], 0)),
""))</f>
        <v/>
      </c>
      <c r="J125" t="str">
        <f>IF(OR($A125="",$A125=0),"",IF(OR(B125=2,B125=4,B125=6,B125=7),
    INDEX(Tabla1[CECO], MATCH($A125, Tabla1[N Doc], 0)),
""))</f>
        <v/>
      </c>
      <c r="M125" t="str">
        <f>IF(C125=31,INDEX(Tabla1[Descripción], MATCH($A125, Tabla1[N Doc], 0)),"")</f>
        <v/>
      </c>
    </row>
    <row r="126" spans="1:13" x14ac:dyDescent="0.3">
      <c r="A126" t="str" cm="1">
        <f t="array" ref="A126">INDEX(Tabla1[N Doc], ROUNDUP((ROW()-1)/9, 0))</f>
        <v/>
      </c>
      <c r="B126" t="str">
        <f>IF(OR(A126="",A126=0),"",CHOOSE(
    COUNTIF($A$2:A126,A126),
    1,2,3,4,5,6,7,8,9
))</f>
        <v/>
      </c>
      <c r="C126" t="str">
        <f t="shared" si="1"/>
        <v/>
      </c>
      <c r="D126" s="7" t="str" cm="1">
        <f t="array" ref="D126">IF(OR($A126="",$A126=0),"",
IF(AND(INDEX(Formulario!$H$14:$H$100, $A126)="Si", C126&lt;&gt;31),
        VLOOKUP("cta puente",'Descripciones de gastos'!G:H, 2, FALSE),
IF(B126=1,
        INDEX(Tabla13[Titular], MATCH($A126, Tabla1[N Doc], 0)),
IF(B126=2,
        INDEX(Tabla1[Cuenta contable], MATCH($A126, Tabla1[N Doc], 0)),
IF(B126=3,
        INDEX(Tabla13[Cta Iva 22], MATCH($A126, Tabla1[N Doc], 0)),
IF(B126=4,
        INDEX(Tabla1[Cuenta contable], MATCH($A126, Tabla1[N Doc], 0)),
IF(B126=5,
        INDEX(Tabla13[Cta Iva 10], MATCH($A126, Tabla1[N Doc], 0)),
IF(B126=6,
        INDEX(Tabla1[Cuenta contable], MATCH($A126, Tabla1[N Doc], 0)),
IF(B126=7,
        INDEX(Tabla1[Cuenta contable], MATCH($A126, Tabla1[N Doc], 0)),
IF(B126=8,
        IF(INDEX(Tabla1[Tipo IVA], MATCH($A126, Tabla1[N Doc], 0))="22%",
             INDEX(Tabla13[Cta Iva 22], MATCH($A126, Tabla1[N Doc], 0)),
             INDEX(Tabla13[Cta Iva 10], MATCH($A126, Tabla1[N Doc], 0))),
IF(B126=9,
        INDEX(Tabla1[Cuenta contable], MATCH($A126, Tabla1[N Doc], 0))
)))))))))))</f>
        <v/>
      </c>
      <c r="F126" t="str">
        <f>IF(OR($A126="",$A126=0),"",IF(B126=1,
        INDEX(Tabla1[Importe total], MATCH($A126, Tabla1[N Doc], 0)),
IF(B126=2,
        INDEX(Tabla1[Base imponible 22], MATCH($A126, Tabla1[N Doc], 0)),
IF(B126=3,
        INDEX(Tabla1[Iva 22], MATCH($A126, Tabla1[N Doc], 0)),
IF(B126=4,
        INDEX(Tabla1[Base imponible 10], MATCH($A126, Tabla1[N Doc], 0)),
IF(B126=5,
        INDEX(Tabla1[Iva 10], MATCH($A126, Tabla1[N Doc], 0)),
IF(B126=6,
        INDEX(Tabla1[Exento], MATCH($A126, Tabla1[N Doc], 0)),
IF(B126=7,
        INDEX(#REF!, MATCH($A126, Tabla1[N Doc], 0)),
IF(B126=8,
        INDEX(#REF!, MATCH($A126, Tabla1[N Doc], 0)),
IF(B126=9,
        INDEX(Tabla1[Descuentos], MATCH($A126, Tabla1[N Doc], 0)),
""))))))))))</f>
        <v/>
      </c>
      <c r="G126" t="str">
        <f>IF(OR($A126="",$A126=0),"",IF(OR(B126=2,B126=4,B126=6,B126=7),
    INDEX(Tabla13[Ind impuestos], MATCH($A126, Tabla13[N Doc], 0)),
""))</f>
        <v/>
      </c>
      <c r="J126" t="str">
        <f>IF(OR($A126="",$A126=0),"",IF(OR(B126=2,B126=4,B126=6,B126=7),
    INDEX(Tabla1[CECO], MATCH($A126, Tabla1[N Doc], 0)),
""))</f>
        <v/>
      </c>
      <c r="M126" t="str">
        <f>IF(C126=31,INDEX(Tabla1[Descripción], MATCH($A126, Tabla1[N Doc], 0)),"")</f>
        <v/>
      </c>
    </row>
    <row r="127" spans="1:13" x14ac:dyDescent="0.3">
      <c r="A127" t="str" cm="1">
        <f t="array" ref="A127">INDEX(Tabla1[N Doc], ROUNDUP((ROW()-1)/9, 0))</f>
        <v/>
      </c>
      <c r="B127" t="str">
        <f>IF(OR(A127="",A127=0),"",CHOOSE(
    COUNTIF($A$2:A127,A127),
    1,2,3,4,5,6,7,8,9
))</f>
        <v/>
      </c>
      <c r="C127" t="str">
        <f t="shared" si="1"/>
        <v/>
      </c>
      <c r="D127" s="7" t="str" cm="1">
        <f t="array" ref="D127">IF(OR($A127="",$A127=0),"",
IF(AND(INDEX(Formulario!$H$14:$H$100, $A127)="Si", C127&lt;&gt;31),
        VLOOKUP("cta puente",'Descripciones de gastos'!G:H, 2, FALSE),
IF(B127=1,
        INDEX(Tabla13[Titular], MATCH($A127, Tabla1[N Doc], 0)),
IF(B127=2,
        INDEX(Tabla1[Cuenta contable], MATCH($A127, Tabla1[N Doc], 0)),
IF(B127=3,
        INDEX(Tabla13[Cta Iva 22], MATCH($A127, Tabla1[N Doc], 0)),
IF(B127=4,
        INDEX(Tabla1[Cuenta contable], MATCH($A127, Tabla1[N Doc], 0)),
IF(B127=5,
        INDEX(Tabla13[Cta Iva 10], MATCH($A127, Tabla1[N Doc], 0)),
IF(B127=6,
        INDEX(Tabla1[Cuenta contable], MATCH($A127, Tabla1[N Doc], 0)),
IF(B127=7,
        INDEX(Tabla1[Cuenta contable], MATCH($A127, Tabla1[N Doc], 0)),
IF(B127=8,
        IF(INDEX(Tabla1[Tipo IVA], MATCH($A127, Tabla1[N Doc], 0))="22%",
             INDEX(Tabla13[Cta Iva 22], MATCH($A127, Tabla1[N Doc], 0)),
             INDEX(Tabla13[Cta Iva 10], MATCH($A127, Tabla1[N Doc], 0))),
IF(B127=9,
        INDEX(Tabla1[Cuenta contable], MATCH($A127, Tabla1[N Doc], 0))
)))))))))))</f>
        <v/>
      </c>
      <c r="F127" t="str">
        <f>IF(OR($A127="",$A127=0),"",IF(B127=1,
        INDEX(Tabla1[Importe total], MATCH($A127, Tabla1[N Doc], 0)),
IF(B127=2,
        INDEX(Tabla1[Base imponible 22], MATCH($A127, Tabla1[N Doc], 0)),
IF(B127=3,
        INDEX(Tabla1[Iva 22], MATCH($A127, Tabla1[N Doc], 0)),
IF(B127=4,
        INDEX(Tabla1[Base imponible 10], MATCH($A127, Tabla1[N Doc], 0)),
IF(B127=5,
        INDEX(Tabla1[Iva 10], MATCH($A127, Tabla1[N Doc], 0)),
IF(B127=6,
        INDEX(Tabla1[Exento], MATCH($A127, Tabla1[N Doc], 0)),
IF(B127=7,
        INDEX(#REF!, MATCH($A127, Tabla1[N Doc], 0)),
IF(B127=8,
        INDEX(#REF!, MATCH($A127, Tabla1[N Doc], 0)),
IF(B127=9,
        INDEX(Tabla1[Descuentos], MATCH($A127, Tabla1[N Doc], 0)),
""))))))))))</f>
        <v/>
      </c>
      <c r="G127" t="str">
        <f>IF(OR($A127="",$A127=0),"",IF(OR(B127=2,B127=4,B127=6,B127=7),
    INDEX(Tabla13[Ind impuestos], MATCH($A127, Tabla13[N Doc], 0)),
""))</f>
        <v/>
      </c>
      <c r="J127" t="str">
        <f>IF(OR($A127="",$A127=0),"",IF(OR(B127=2,B127=4,B127=6,B127=7),
    INDEX(Tabla1[CECO], MATCH($A127, Tabla1[N Doc], 0)),
""))</f>
        <v/>
      </c>
      <c r="M127" t="str">
        <f>IF(C127=31,INDEX(Tabla1[Descripción], MATCH($A127, Tabla1[N Doc], 0)),"")</f>
        <v/>
      </c>
    </row>
    <row r="128" spans="1:13" x14ac:dyDescent="0.3">
      <c r="A128" t="str" cm="1">
        <f t="array" ref="A128">INDEX(Tabla1[N Doc], ROUNDUP((ROW()-1)/9, 0))</f>
        <v/>
      </c>
      <c r="B128" t="str">
        <f>IF(OR(A128="",A128=0),"",CHOOSE(
    COUNTIF($A$2:A128,A128),
    1,2,3,4,5,6,7,8,9
))</f>
        <v/>
      </c>
      <c r="C128" t="str">
        <f t="shared" si="1"/>
        <v/>
      </c>
      <c r="D128" s="7" t="str" cm="1">
        <f t="array" ref="D128">IF(OR($A128="",$A128=0),"",
IF(AND(INDEX(Formulario!$H$14:$H$100, $A128)="Si", C128&lt;&gt;31),
        VLOOKUP("cta puente",'Descripciones de gastos'!G:H, 2, FALSE),
IF(B128=1,
        INDEX(Tabla13[Titular], MATCH($A128, Tabla1[N Doc], 0)),
IF(B128=2,
        INDEX(Tabla1[Cuenta contable], MATCH($A128, Tabla1[N Doc], 0)),
IF(B128=3,
        INDEX(Tabla13[Cta Iva 22], MATCH($A128, Tabla1[N Doc], 0)),
IF(B128=4,
        INDEX(Tabla1[Cuenta contable], MATCH($A128, Tabla1[N Doc], 0)),
IF(B128=5,
        INDEX(Tabla13[Cta Iva 10], MATCH($A128, Tabla1[N Doc], 0)),
IF(B128=6,
        INDEX(Tabla1[Cuenta contable], MATCH($A128, Tabla1[N Doc], 0)),
IF(B128=7,
        INDEX(Tabla1[Cuenta contable], MATCH($A128, Tabla1[N Doc], 0)),
IF(B128=8,
        IF(INDEX(Tabla1[Tipo IVA], MATCH($A128, Tabla1[N Doc], 0))="22%",
             INDEX(Tabla13[Cta Iva 22], MATCH($A128, Tabla1[N Doc], 0)),
             INDEX(Tabla13[Cta Iva 10], MATCH($A128, Tabla1[N Doc], 0))),
IF(B128=9,
        INDEX(Tabla1[Cuenta contable], MATCH($A128, Tabla1[N Doc], 0))
)))))))))))</f>
        <v/>
      </c>
      <c r="F128" t="str">
        <f>IF(OR($A128="",$A128=0),"",IF(B128=1,
        INDEX(Tabla1[Importe total], MATCH($A128, Tabla1[N Doc], 0)),
IF(B128=2,
        INDEX(Tabla1[Base imponible 22], MATCH($A128, Tabla1[N Doc], 0)),
IF(B128=3,
        INDEX(Tabla1[Iva 22], MATCH($A128, Tabla1[N Doc], 0)),
IF(B128=4,
        INDEX(Tabla1[Base imponible 10], MATCH($A128, Tabla1[N Doc], 0)),
IF(B128=5,
        INDEX(Tabla1[Iva 10], MATCH($A128, Tabla1[N Doc], 0)),
IF(B128=6,
        INDEX(Tabla1[Exento], MATCH($A128, Tabla1[N Doc], 0)),
IF(B128=7,
        INDEX(#REF!, MATCH($A128, Tabla1[N Doc], 0)),
IF(B128=8,
        INDEX(#REF!, MATCH($A128, Tabla1[N Doc], 0)),
IF(B128=9,
        INDEX(Tabla1[Descuentos], MATCH($A128, Tabla1[N Doc], 0)),
""))))))))))</f>
        <v/>
      </c>
      <c r="G128" t="str">
        <f>IF(OR($A128="",$A128=0),"",IF(OR(B128=2,B128=4,B128=6,B128=7),
    INDEX(Tabla13[Ind impuestos], MATCH($A128, Tabla13[N Doc], 0)),
""))</f>
        <v/>
      </c>
      <c r="J128" t="str">
        <f>IF(OR($A128="",$A128=0),"",IF(OR(B128=2,B128=4,B128=6,B128=7),
    INDEX(Tabla1[CECO], MATCH($A128, Tabla1[N Doc], 0)),
""))</f>
        <v/>
      </c>
      <c r="M128" t="str">
        <f>IF(C128=31,INDEX(Tabla1[Descripción], MATCH($A128, Tabla1[N Doc], 0)),"")</f>
        <v/>
      </c>
    </row>
    <row r="129" spans="1:13" x14ac:dyDescent="0.3">
      <c r="A129" t="str" cm="1">
        <f t="array" ref="A129">INDEX(Tabla1[N Doc], ROUNDUP((ROW()-1)/9, 0))</f>
        <v/>
      </c>
      <c r="B129" t="str">
        <f>IF(OR(A129="",A129=0),"",CHOOSE(
    COUNTIF($A$2:A129,A129),
    1,2,3,4,5,6,7,8,9
))</f>
        <v/>
      </c>
      <c r="C129" t="str">
        <f t="shared" si="1"/>
        <v/>
      </c>
      <c r="D129" s="7" t="str" cm="1">
        <f t="array" ref="D129">IF(OR($A129="",$A129=0),"",
IF(AND(INDEX(Formulario!$H$14:$H$100, $A129)="Si", C129&lt;&gt;31),
        VLOOKUP("cta puente",'Descripciones de gastos'!G:H, 2, FALSE),
IF(B129=1,
        INDEX(Tabla13[Titular], MATCH($A129, Tabla1[N Doc], 0)),
IF(B129=2,
        INDEX(Tabla1[Cuenta contable], MATCH($A129, Tabla1[N Doc], 0)),
IF(B129=3,
        INDEX(Tabla13[Cta Iva 22], MATCH($A129, Tabla1[N Doc], 0)),
IF(B129=4,
        INDEX(Tabla1[Cuenta contable], MATCH($A129, Tabla1[N Doc], 0)),
IF(B129=5,
        INDEX(Tabla13[Cta Iva 10], MATCH($A129, Tabla1[N Doc], 0)),
IF(B129=6,
        INDEX(Tabla1[Cuenta contable], MATCH($A129, Tabla1[N Doc], 0)),
IF(B129=7,
        INDEX(Tabla1[Cuenta contable], MATCH($A129, Tabla1[N Doc], 0)),
IF(B129=8,
        IF(INDEX(Tabla1[Tipo IVA], MATCH($A129, Tabla1[N Doc], 0))="22%",
             INDEX(Tabla13[Cta Iva 22], MATCH($A129, Tabla1[N Doc], 0)),
             INDEX(Tabla13[Cta Iva 10], MATCH($A129, Tabla1[N Doc], 0))),
IF(B129=9,
        INDEX(Tabla1[Cuenta contable], MATCH($A129, Tabla1[N Doc], 0))
)))))))))))</f>
        <v/>
      </c>
      <c r="F129" t="str">
        <f>IF(OR($A129="",$A129=0),"",IF(B129=1,
        INDEX(Tabla1[Importe total], MATCH($A129, Tabla1[N Doc], 0)),
IF(B129=2,
        INDEX(Tabla1[Base imponible 22], MATCH($A129, Tabla1[N Doc], 0)),
IF(B129=3,
        INDEX(Tabla1[Iva 22], MATCH($A129, Tabla1[N Doc], 0)),
IF(B129=4,
        INDEX(Tabla1[Base imponible 10], MATCH($A129, Tabla1[N Doc], 0)),
IF(B129=5,
        INDEX(Tabla1[Iva 10], MATCH($A129, Tabla1[N Doc], 0)),
IF(B129=6,
        INDEX(Tabla1[Exento], MATCH($A129, Tabla1[N Doc], 0)),
IF(B129=7,
        INDEX(#REF!, MATCH($A129, Tabla1[N Doc], 0)),
IF(B129=8,
        INDEX(#REF!, MATCH($A129, Tabla1[N Doc], 0)),
IF(B129=9,
        INDEX(Tabla1[Descuentos], MATCH($A129, Tabla1[N Doc], 0)),
""))))))))))</f>
        <v/>
      </c>
      <c r="G129" t="str">
        <f>IF(OR($A129="",$A129=0),"",IF(OR(B129=2,B129=4,B129=6,B129=7),
    INDEX(Tabla13[Ind impuestos], MATCH($A129, Tabla13[N Doc], 0)),
""))</f>
        <v/>
      </c>
      <c r="J129" t="str">
        <f>IF(OR($A129="",$A129=0),"",IF(OR(B129=2,B129=4,B129=6,B129=7),
    INDEX(Tabla1[CECO], MATCH($A129, Tabla1[N Doc], 0)),
""))</f>
        <v/>
      </c>
      <c r="M129" t="str">
        <f>IF(C129=31,INDEX(Tabla1[Descripción], MATCH($A129, Tabla1[N Doc], 0)),"")</f>
        <v/>
      </c>
    </row>
    <row r="130" spans="1:13" x14ac:dyDescent="0.3">
      <c r="A130" t="str" cm="1">
        <f t="array" ref="A130">INDEX(Tabla1[N Doc], ROUNDUP((ROW()-1)/9, 0))</f>
        <v/>
      </c>
      <c r="B130" t="str">
        <f>IF(OR(A130="",A130=0),"",CHOOSE(
    COUNTIF($A$2:A130,A130),
    1,2,3,4,5,6,7,8,9
))</f>
        <v/>
      </c>
      <c r="C130" t="str">
        <f t="shared" si="1"/>
        <v/>
      </c>
      <c r="D130" s="7" t="str" cm="1">
        <f t="array" ref="D130">IF(OR($A130="",$A130=0),"",
IF(AND(INDEX(Formulario!$H$14:$H$100, $A130)="Si", C130&lt;&gt;31),
        VLOOKUP("cta puente",'Descripciones de gastos'!G:H, 2, FALSE),
IF(B130=1,
        INDEX(Tabla13[Titular], MATCH($A130, Tabla1[N Doc], 0)),
IF(B130=2,
        INDEX(Tabla1[Cuenta contable], MATCH($A130, Tabla1[N Doc], 0)),
IF(B130=3,
        INDEX(Tabla13[Cta Iva 22], MATCH($A130, Tabla1[N Doc], 0)),
IF(B130=4,
        INDEX(Tabla1[Cuenta contable], MATCH($A130, Tabla1[N Doc], 0)),
IF(B130=5,
        INDEX(Tabla13[Cta Iva 10], MATCH($A130, Tabla1[N Doc], 0)),
IF(B130=6,
        INDEX(Tabla1[Cuenta contable], MATCH($A130, Tabla1[N Doc], 0)),
IF(B130=7,
        INDEX(Tabla1[Cuenta contable], MATCH($A130, Tabla1[N Doc], 0)),
IF(B130=8,
        IF(INDEX(Tabla1[Tipo IVA], MATCH($A130, Tabla1[N Doc], 0))="22%",
             INDEX(Tabla13[Cta Iva 22], MATCH($A130, Tabla1[N Doc], 0)),
             INDEX(Tabla13[Cta Iva 10], MATCH($A130, Tabla1[N Doc], 0))),
IF(B130=9,
        INDEX(Tabla1[Cuenta contable], MATCH($A130, Tabla1[N Doc], 0))
)))))))))))</f>
        <v/>
      </c>
      <c r="F130" t="str">
        <f>IF(OR($A130="",$A130=0),"",IF(B130=1,
        INDEX(Tabla1[Importe total], MATCH($A130, Tabla1[N Doc], 0)),
IF(B130=2,
        INDEX(Tabla1[Base imponible 22], MATCH($A130, Tabla1[N Doc], 0)),
IF(B130=3,
        INDEX(Tabla1[Iva 22], MATCH($A130, Tabla1[N Doc], 0)),
IF(B130=4,
        INDEX(Tabla1[Base imponible 10], MATCH($A130, Tabla1[N Doc], 0)),
IF(B130=5,
        INDEX(Tabla1[Iva 10], MATCH($A130, Tabla1[N Doc], 0)),
IF(B130=6,
        INDEX(Tabla1[Exento], MATCH($A130, Tabla1[N Doc], 0)),
IF(B130=7,
        INDEX(#REF!, MATCH($A130, Tabla1[N Doc], 0)),
IF(B130=8,
        INDEX(#REF!, MATCH($A130, Tabla1[N Doc], 0)),
IF(B130=9,
        INDEX(Tabla1[Descuentos], MATCH($A130, Tabla1[N Doc], 0)),
""))))))))))</f>
        <v/>
      </c>
      <c r="G130" t="str">
        <f>IF(OR($A130="",$A130=0),"",IF(OR(B130=2,B130=4,B130=6,B130=7),
    INDEX(Tabla13[Ind impuestos], MATCH($A130, Tabla13[N Doc], 0)),
""))</f>
        <v/>
      </c>
      <c r="J130" t="str">
        <f>IF(OR($A130="",$A130=0),"",IF(OR(B130=2,B130=4,B130=6,B130=7),
    INDEX(Tabla1[CECO], MATCH($A130, Tabla1[N Doc], 0)),
""))</f>
        <v/>
      </c>
      <c r="M130" t="str">
        <f>IF(C130=31,INDEX(Tabla1[Descripción], MATCH($A130, Tabla1[N Doc], 0)),"")</f>
        <v/>
      </c>
    </row>
    <row r="131" spans="1:13" x14ac:dyDescent="0.3">
      <c r="A131" t="str" cm="1">
        <f t="array" ref="A131">INDEX(Tabla1[N Doc], ROUNDUP((ROW()-1)/9, 0))</f>
        <v/>
      </c>
      <c r="B131" t="str">
        <f>IF(OR(A131="",A131=0),"",CHOOSE(
    COUNTIF($A$2:A131,A131),
    1,2,3,4,5,6,7,8,9
))</f>
        <v/>
      </c>
      <c r="C131" t="str">
        <f t="shared" ref="C131:C194" si="2">IF(A131="","",IF(B131=1,31,IF(B131=9,50,40)))</f>
        <v/>
      </c>
      <c r="D131" s="7" t="str" cm="1">
        <f t="array" ref="D131">IF(OR($A131="",$A131=0),"",
IF(AND(INDEX(Formulario!$H$14:$H$100, $A131)="Si", C131&lt;&gt;31),
        VLOOKUP("cta puente",'Descripciones de gastos'!G:H, 2, FALSE),
IF(B131=1,
        INDEX(Tabla13[Titular], MATCH($A131, Tabla1[N Doc], 0)),
IF(B131=2,
        INDEX(Tabla1[Cuenta contable], MATCH($A131, Tabla1[N Doc], 0)),
IF(B131=3,
        INDEX(Tabla13[Cta Iva 22], MATCH($A131, Tabla1[N Doc], 0)),
IF(B131=4,
        INDEX(Tabla1[Cuenta contable], MATCH($A131, Tabla1[N Doc], 0)),
IF(B131=5,
        INDEX(Tabla13[Cta Iva 10], MATCH($A131, Tabla1[N Doc], 0)),
IF(B131=6,
        INDEX(Tabla1[Cuenta contable], MATCH($A131, Tabla1[N Doc], 0)),
IF(B131=7,
        INDEX(Tabla1[Cuenta contable], MATCH($A131, Tabla1[N Doc], 0)),
IF(B131=8,
        IF(INDEX(Tabla1[Tipo IVA], MATCH($A131, Tabla1[N Doc], 0))="22%",
             INDEX(Tabla13[Cta Iva 22], MATCH($A131, Tabla1[N Doc], 0)),
             INDEX(Tabla13[Cta Iva 10], MATCH($A131, Tabla1[N Doc], 0))),
IF(B131=9,
        INDEX(Tabla1[Cuenta contable], MATCH($A131, Tabla1[N Doc], 0))
)))))))))))</f>
        <v/>
      </c>
      <c r="F131" t="str">
        <f>IF(OR($A131="",$A131=0),"",IF(B131=1,
        INDEX(Tabla1[Importe total], MATCH($A131, Tabla1[N Doc], 0)),
IF(B131=2,
        INDEX(Tabla1[Base imponible 22], MATCH($A131, Tabla1[N Doc], 0)),
IF(B131=3,
        INDEX(Tabla1[Iva 22], MATCH($A131, Tabla1[N Doc], 0)),
IF(B131=4,
        INDEX(Tabla1[Base imponible 10], MATCH($A131, Tabla1[N Doc], 0)),
IF(B131=5,
        INDEX(Tabla1[Iva 10], MATCH($A131, Tabla1[N Doc], 0)),
IF(B131=6,
        INDEX(Tabla1[Exento], MATCH($A131, Tabla1[N Doc], 0)),
IF(B131=7,
        INDEX(#REF!, MATCH($A131, Tabla1[N Doc], 0)),
IF(B131=8,
        INDEX(#REF!, MATCH($A131, Tabla1[N Doc], 0)),
IF(B131=9,
        INDEX(Tabla1[Descuentos], MATCH($A131, Tabla1[N Doc], 0)),
""))))))))))</f>
        <v/>
      </c>
      <c r="G131" t="str">
        <f>IF(OR($A131="",$A131=0),"",IF(OR(B131=2,B131=4,B131=6,B131=7),
    INDEX(Tabla13[Ind impuestos], MATCH($A131, Tabla13[N Doc], 0)),
""))</f>
        <v/>
      </c>
      <c r="J131" t="str">
        <f>IF(OR($A131="",$A131=0),"",IF(OR(B131=2,B131=4,B131=6,B131=7),
    INDEX(Tabla1[CECO], MATCH($A131, Tabla1[N Doc], 0)),
""))</f>
        <v/>
      </c>
      <c r="M131" t="str">
        <f>IF(C131=31,INDEX(Tabla1[Descripción], MATCH($A131, Tabla1[N Doc], 0)),"")</f>
        <v/>
      </c>
    </row>
    <row r="132" spans="1:13" x14ac:dyDescent="0.3">
      <c r="A132" t="str" cm="1">
        <f t="array" ref="A132">INDEX(Tabla1[N Doc], ROUNDUP((ROW()-1)/9, 0))</f>
        <v/>
      </c>
      <c r="B132" t="str">
        <f>IF(OR(A132="",A132=0),"",CHOOSE(
    COUNTIF($A$2:A132,A132),
    1,2,3,4,5,6,7,8,9
))</f>
        <v/>
      </c>
      <c r="C132" t="str">
        <f t="shared" si="2"/>
        <v/>
      </c>
      <c r="D132" s="7" t="str" cm="1">
        <f t="array" ref="D132">IF(OR($A132="",$A132=0),"",
IF(AND(INDEX(Formulario!$H$14:$H$100, $A132)="Si", C132&lt;&gt;31),
        VLOOKUP("cta puente",'Descripciones de gastos'!G:H, 2, FALSE),
IF(B132=1,
        INDEX(Tabla13[Titular], MATCH($A132, Tabla1[N Doc], 0)),
IF(B132=2,
        INDEX(Tabla1[Cuenta contable], MATCH($A132, Tabla1[N Doc], 0)),
IF(B132=3,
        INDEX(Tabla13[Cta Iva 22], MATCH($A132, Tabla1[N Doc], 0)),
IF(B132=4,
        INDEX(Tabla1[Cuenta contable], MATCH($A132, Tabla1[N Doc], 0)),
IF(B132=5,
        INDEX(Tabla13[Cta Iva 10], MATCH($A132, Tabla1[N Doc], 0)),
IF(B132=6,
        INDEX(Tabla1[Cuenta contable], MATCH($A132, Tabla1[N Doc], 0)),
IF(B132=7,
        INDEX(Tabla1[Cuenta contable], MATCH($A132, Tabla1[N Doc], 0)),
IF(B132=8,
        IF(INDEX(Tabla1[Tipo IVA], MATCH($A132, Tabla1[N Doc], 0))="22%",
             INDEX(Tabla13[Cta Iva 22], MATCH($A132, Tabla1[N Doc], 0)),
             INDEX(Tabla13[Cta Iva 10], MATCH($A132, Tabla1[N Doc], 0))),
IF(B132=9,
        INDEX(Tabla1[Cuenta contable], MATCH($A132, Tabla1[N Doc], 0))
)))))))))))</f>
        <v/>
      </c>
      <c r="F132" t="str">
        <f>IF(OR($A132="",$A132=0),"",IF(B132=1,
        INDEX(Tabla1[Importe total], MATCH($A132, Tabla1[N Doc], 0)),
IF(B132=2,
        INDEX(Tabla1[Base imponible 22], MATCH($A132, Tabla1[N Doc], 0)),
IF(B132=3,
        INDEX(Tabla1[Iva 22], MATCH($A132, Tabla1[N Doc], 0)),
IF(B132=4,
        INDEX(Tabla1[Base imponible 10], MATCH($A132, Tabla1[N Doc], 0)),
IF(B132=5,
        INDEX(Tabla1[Iva 10], MATCH($A132, Tabla1[N Doc], 0)),
IF(B132=6,
        INDEX(Tabla1[Exento], MATCH($A132, Tabla1[N Doc], 0)),
IF(B132=7,
        INDEX(#REF!, MATCH($A132, Tabla1[N Doc], 0)),
IF(B132=8,
        INDEX(#REF!, MATCH($A132, Tabla1[N Doc], 0)),
IF(B132=9,
        INDEX(Tabla1[Descuentos], MATCH($A132, Tabla1[N Doc], 0)),
""))))))))))</f>
        <v/>
      </c>
      <c r="G132" t="str">
        <f>IF(OR($A132="",$A132=0),"",IF(OR(B132=2,B132=4,B132=6,B132=7),
    INDEX(Tabla13[Ind impuestos], MATCH($A132, Tabla13[N Doc], 0)),
""))</f>
        <v/>
      </c>
      <c r="J132" t="str">
        <f>IF(OR($A132="",$A132=0),"",IF(OR(B132=2,B132=4,B132=6,B132=7),
    INDEX(Tabla1[CECO], MATCH($A132, Tabla1[N Doc], 0)),
""))</f>
        <v/>
      </c>
      <c r="M132" t="str">
        <f>IF(C132=31,INDEX(Tabla1[Descripción], MATCH($A132, Tabla1[N Doc], 0)),"")</f>
        <v/>
      </c>
    </row>
    <row r="133" spans="1:13" x14ac:dyDescent="0.3">
      <c r="A133" t="str" cm="1">
        <f t="array" ref="A133">INDEX(Tabla1[N Doc], ROUNDUP((ROW()-1)/9, 0))</f>
        <v/>
      </c>
      <c r="B133" t="str">
        <f>IF(OR(A133="",A133=0),"",CHOOSE(
    COUNTIF($A$2:A133,A133),
    1,2,3,4,5,6,7,8,9
))</f>
        <v/>
      </c>
      <c r="C133" t="str">
        <f t="shared" si="2"/>
        <v/>
      </c>
      <c r="D133" s="7" t="str" cm="1">
        <f t="array" ref="D133">IF(OR($A133="",$A133=0),"",
IF(AND(INDEX(Formulario!$H$14:$H$100, $A133)="Si", C133&lt;&gt;31),
        VLOOKUP("cta puente",'Descripciones de gastos'!G:H, 2, FALSE),
IF(B133=1,
        INDEX(Tabla13[Titular], MATCH($A133, Tabla1[N Doc], 0)),
IF(B133=2,
        INDEX(Tabla1[Cuenta contable], MATCH($A133, Tabla1[N Doc], 0)),
IF(B133=3,
        INDEX(Tabla13[Cta Iva 22], MATCH($A133, Tabla1[N Doc], 0)),
IF(B133=4,
        INDEX(Tabla1[Cuenta contable], MATCH($A133, Tabla1[N Doc], 0)),
IF(B133=5,
        INDEX(Tabla13[Cta Iva 10], MATCH($A133, Tabla1[N Doc], 0)),
IF(B133=6,
        INDEX(Tabla1[Cuenta contable], MATCH($A133, Tabla1[N Doc], 0)),
IF(B133=7,
        INDEX(Tabla1[Cuenta contable], MATCH($A133, Tabla1[N Doc], 0)),
IF(B133=8,
        IF(INDEX(Tabla1[Tipo IVA], MATCH($A133, Tabla1[N Doc], 0))="22%",
             INDEX(Tabla13[Cta Iva 22], MATCH($A133, Tabla1[N Doc], 0)),
             INDEX(Tabla13[Cta Iva 10], MATCH($A133, Tabla1[N Doc], 0))),
IF(B133=9,
        INDEX(Tabla1[Cuenta contable], MATCH($A133, Tabla1[N Doc], 0))
)))))))))))</f>
        <v/>
      </c>
      <c r="F133" t="str">
        <f>IF(OR($A133="",$A133=0),"",IF(B133=1,
        INDEX(Tabla1[Importe total], MATCH($A133, Tabla1[N Doc], 0)),
IF(B133=2,
        INDEX(Tabla1[Base imponible 22], MATCH($A133, Tabla1[N Doc], 0)),
IF(B133=3,
        INDEX(Tabla1[Iva 22], MATCH($A133, Tabla1[N Doc], 0)),
IF(B133=4,
        INDEX(Tabla1[Base imponible 10], MATCH($A133, Tabla1[N Doc], 0)),
IF(B133=5,
        INDEX(Tabla1[Iva 10], MATCH($A133, Tabla1[N Doc], 0)),
IF(B133=6,
        INDEX(Tabla1[Exento], MATCH($A133, Tabla1[N Doc], 0)),
IF(B133=7,
        INDEX(#REF!, MATCH($A133, Tabla1[N Doc], 0)),
IF(B133=8,
        INDEX(#REF!, MATCH($A133, Tabla1[N Doc], 0)),
IF(B133=9,
        INDEX(Tabla1[Descuentos], MATCH($A133, Tabla1[N Doc], 0)),
""))))))))))</f>
        <v/>
      </c>
      <c r="G133" t="str">
        <f>IF(OR($A133="",$A133=0),"",IF(OR(B133=2,B133=4,B133=6,B133=7),
    INDEX(Tabla13[Ind impuestos], MATCH($A133, Tabla13[N Doc], 0)),
""))</f>
        <v/>
      </c>
      <c r="J133" t="str">
        <f>IF(OR($A133="",$A133=0),"",IF(OR(B133=2,B133=4,B133=6,B133=7),
    INDEX(Tabla1[CECO], MATCH($A133, Tabla1[N Doc], 0)),
""))</f>
        <v/>
      </c>
      <c r="M133" t="str">
        <f>IF(C133=31,INDEX(Tabla1[Descripción], MATCH($A133, Tabla1[N Doc], 0)),"")</f>
        <v/>
      </c>
    </row>
    <row r="134" spans="1:13" x14ac:dyDescent="0.3">
      <c r="A134" t="str" cm="1">
        <f t="array" ref="A134">INDEX(Tabla1[N Doc], ROUNDUP((ROW()-1)/9, 0))</f>
        <v/>
      </c>
      <c r="B134" t="str">
        <f>IF(OR(A134="",A134=0),"",CHOOSE(
    COUNTIF($A$2:A134,A134),
    1,2,3,4,5,6,7,8,9
))</f>
        <v/>
      </c>
      <c r="C134" t="str">
        <f t="shared" si="2"/>
        <v/>
      </c>
      <c r="D134" s="7" t="str" cm="1">
        <f t="array" ref="D134">IF(OR($A134="",$A134=0),"",
IF(AND(INDEX(Formulario!$H$14:$H$100, $A134)="Si", C134&lt;&gt;31),
        VLOOKUP("cta puente",'Descripciones de gastos'!G:H, 2, FALSE),
IF(B134=1,
        INDEX(Tabla13[Titular], MATCH($A134, Tabla1[N Doc], 0)),
IF(B134=2,
        INDEX(Tabla1[Cuenta contable], MATCH($A134, Tabla1[N Doc], 0)),
IF(B134=3,
        INDEX(Tabla13[Cta Iva 22], MATCH($A134, Tabla1[N Doc], 0)),
IF(B134=4,
        INDEX(Tabla1[Cuenta contable], MATCH($A134, Tabla1[N Doc], 0)),
IF(B134=5,
        INDEX(Tabla13[Cta Iva 10], MATCH($A134, Tabla1[N Doc], 0)),
IF(B134=6,
        INDEX(Tabla1[Cuenta contable], MATCH($A134, Tabla1[N Doc], 0)),
IF(B134=7,
        INDEX(Tabla1[Cuenta contable], MATCH($A134, Tabla1[N Doc], 0)),
IF(B134=8,
        IF(INDEX(Tabla1[Tipo IVA], MATCH($A134, Tabla1[N Doc], 0))="22%",
             INDEX(Tabla13[Cta Iva 22], MATCH($A134, Tabla1[N Doc], 0)),
             INDEX(Tabla13[Cta Iva 10], MATCH($A134, Tabla1[N Doc], 0))),
IF(B134=9,
        INDEX(Tabla1[Cuenta contable], MATCH($A134, Tabla1[N Doc], 0))
)))))))))))</f>
        <v/>
      </c>
      <c r="F134" t="str">
        <f>IF(OR($A134="",$A134=0),"",IF(B134=1,
        INDEX(Tabla1[Importe total], MATCH($A134, Tabla1[N Doc], 0)),
IF(B134=2,
        INDEX(Tabla1[Base imponible 22], MATCH($A134, Tabla1[N Doc], 0)),
IF(B134=3,
        INDEX(Tabla1[Iva 22], MATCH($A134, Tabla1[N Doc], 0)),
IF(B134=4,
        INDEX(Tabla1[Base imponible 10], MATCH($A134, Tabla1[N Doc], 0)),
IF(B134=5,
        INDEX(Tabla1[Iva 10], MATCH($A134, Tabla1[N Doc], 0)),
IF(B134=6,
        INDEX(Tabla1[Exento], MATCH($A134, Tabla1[N Doc], 0)),
IF(B134=7,
        INDEX(#REF!, MATCH($A134, Tabla1[N Doc], 0)),
IF(B134=8,
        INDEX(#REF!, MATCH($A134, Tabla1[N Doc], 0)),
IF(B134=9,
        INDEX(Tabla1[Descuentos], MATCH($A134, Tabla1[N Doc], 0)),
""))))))))))</f>
        <v/>
      </c>
      <c r="G134" t="str">
        <f>IF(OR($A134="",$A134=0),"",IF(OR(B134=2,B134=4,B134=6,B134=7),
    INDEX(Tabla13[Ind impuestos], MATCH($A134, Tabla13[N Doc], 0)),
""))</f>
        <v/>
      </c>
      <c r="J134" t="str">
        <f>IF(OR($A134="",$A134=0),"",IF(OR(B134=2,B134=4,B134=6,B134=7),
    INDEX(Tabla1[CECO], MATCH($A134, Tabla1[N Doc], 0)),
""))</f>
        <v/>
      </c>
      <c r="M134" t="str">
        <f>IF(C134=31,INDEX(Tabla1[Descripción], MATCH($A134, Tabla1[N Doc], 0)),"")</f>
        <v/>
      </c>
    </row>
    <row r="135" spans="1:13" x14ac:dyDescent="0.3">
      <c r="A135" t="str" cm="1">
        <f t="array" ref="A135">INDEX(Tabla1[N Doc], ROUNDUP((ROW()-1)/9, 0))</f>
        <v/>
      </c>
      <c r="B135" t="str">
        <f>IF(OR(A135="",A135=0),"",CHOOSE(
    COUNTIF($A$2:A135,A135),
    1,2,3,4,5,6,7,8,9
))</f>
        <v/>
      </c>
      <c r="C135" t="str">
        <f t="shared" si="2"/>
        <v/>
      </c>
      <c r="D135" s="7" t="str" cm="1">
        <f t="array" ref="D135">IF(OR($A135="",$A135=0),"",
IF(AND(INDEX(Formulario!$H$14:$H$100, $A135)="Si", C135&lt;&gt;31),
        VLOOKUP("cta puente",'Descripciones de gastos'!G:H, 2, FALSE),
IF(B135=1,
        INDEX(Tabla13[Titular], MATCH($A135, Tabla1[N Doc], 0)),
IF(B135=2,
        INDEX(Tabla1[Cuenta contable], MATCH($A135, Tabla1[N Doc], 0)),
IF(B135=3,
        INDEX(Tabla13[Cta Iva 22], MATCH($A135, Tabla1[N Doc], 0)),
IF(B135=4,
        INDEX(Tabla1[Cuenta contable], MATCH($A135, Tabla1[N Doc], 0)),
IF(B135=5,
        INDEX(Tabla13[Cta Iva 10], MATCH($A135, Tabla1[N Doc], 0)),
IF(B135=6,
        INDEX(Tabla1[Cuenta contable], MATCH($A135, Tabla1[N Doc], 0)),
IF(B135=7,
        INDEX(Tabla1[Cuenta contable], MATCH($A135, Tabla1[N Doc], 0)),
IF(B135=8,
        IF(INDEX(Tabla1[Tipo IVA], MATCH($A135, Tabla1[N Doc], 0))="22%",
             INDEX(Tabla13[Cta Iva 22], MATCH($A135, Tabla1[N Doc], 0)),
             INDEX(Tabla13[Cta Iva 10], MATCH($A135, Tabla1[N Doc], 0))),
IF(B135=9,
        INDEX(Tabla1[Cuenta contable], MATCH($A135, Tabla1[N Doc], 0))
)))))))))))</f>
        <v/>
      </c>
      <c r="F135" t="str">
        <f>IF(OR($A135="",$A135=0),"",IF(B135=1,
        INDEX(Tabla1[Importe total], MATCH($A135, Tabla1[N Doc], 0)),
IF(B135=2,
        INDEX(Tabla1[Base imponible 22], MATCH($A135, Tabla1[N Doc], 0)),
IF(B135=3,
        INDEX(Tabla1[Iva 22], MATCH($A135, Tabla1[N Doc], 0)),
IF(B135=4,
        INDEX(Tabla1[Base imponible 10], MATCH($A135, Tabla1[N Doc], 0)),
IF(B135=5,
        INDEX(Tabla1[Iva 10], MATCH($A135, Tabla1[N Doc], 0)),
IF(B135=6,
        INDEX(Tabla1[Exento], MATCH($A135, Tabla1[N Doc], 0)),
IF(B135=7,
        INDEX(#REF!, MATCH($A135, Tabla1[N Doc], 0)),
IF(B135=8,
        INDEX(#REF!, MATCH($A135, Tabla1[N Doc], 0)),
IF(B135=9,
        INDEX(Tabla1[Descuentos], MATCH($A135, Tabla1[N Doc], 0)),
""))))))))))</f>
        <v/>
      </c>
      <c r="G135" t="str">
        <f>IF(OR($A135="",$A135=0),"",IF(OR(B135=2,B135=4,B135=6,B135=7),
    INDEX(Tabla13[Ind impuestos], MATCH($A135, Tabla13[N Doc], 0)),
""))</f>
        <v/>
      </c>
      <c r="J135" t="str">
        <f>IF(OR($A135="",$A135=0),"",IF(OR(B135=2,B135=4,B135=6,B135=7),
    INDEX(Tabla1[CECO], MATCH($A135, Tabla1[N Doc], 0)),
""))</f>
        <v/>
      </c>
      <c r="M135" t="str">
        <f>IF(C135=31,INDEX(Tabla1[Descripción], MATCH($A135, Tabla1[N Doc], 0)),"")</f>
        <v/>
      </c>
    </row>
    <row r="136" spans="1:13" x14ac:dyDescent="0.3">
      <c r="A136" t="str" cm="1">
        <f t="array" ref="A136">INDEX(Tabla1[N Doc], ROUNDUP((ROW()-1)/9, 0))</f>
        <v/>
      </c>
      <c r="B136" t="str">
        <f>IF(OR(A136="",A136=0),"",CHOOSE(
    COUNTIF($A$2:A136,A136),
    1,2,3,4,5,6,7,8,9
))</f>
        <v/>
      </c>
      <c r="C136" t="str">
        <f t="shared" si="2"/>
        <v/>
      </c>
      <c r="D136" s="7" t="str" cm="1">
        <f t="array" ref="D136">IF(OR($A136="",$A136=0),"",
IF(AND(INDEX(Formulario!$H$14:$H$100, $A136)="Si", C136&lt;&gt;31),
        VLOOKUP("cta puente",'Descripciones de gastos'!G:H, 2, FALSE),
IF(B136=1,
        INDEX(Tabla13[Titular], MATCH($A136, Tabla1[N Doc], 0)),
IF(B136=2,
        INDEX(Tabla1[Cuenta contable], MATCH($A136, Tabla1[N Doc], 0)),
IF(B136=3,
        INDEX(Tabla13[Cta Iva 22], MATCH($A136, Tabla1[N Doc], 0)),
IF(B136=4,
        INDEX(Tabla1[Cuenta contable], MATCH($A136, Tabla1[N Doc], 0)),
IF(B136=5,
        INDEX(Tabla13[Cta Iva 10], MATCH($A136, Tabla1[N Doc], 0)),
IF(B136=6,
        INDEX(Tabla1[Cuenta contable], MATCH($A136, Tabla1[N Doc], 0)),
IF(B136=7,
        INDEX(Tabla1[Cuenta contable], MATCH($A136, Tabla1[N Doc], 0)),
IF(B136=8,
        IF(INDEX(Tabla1[Tipo IVA], MATCH($A136, Tabla1[N Doc], 0))="22%",
             INDEX(Tabla13[Cta Iva 22], MATCH($A136, Tabla1[N Doc], 0)),
             INDEX(Tabla13[Cta Iva 10], MATCH($A136, Tabla1[N Doc], 0))),
IF(B136=9,
        INDEX(Tabla1[Cuenta contable], MATCH($A136, Tabla1[N Doc], 0))
)))))))))))</f>
        <v/>
      </c>
      <c r="F136" t="str">
        <f>IF(OR($A136="",$A136=0),"",IF(B136=1,
        INDEX(Tabla1[Importe total], MATCH($A136, Tabla1[N Doc], 0)),
IF(B136=2,
        INDEX(Tabla1[Base imponible 22], MATCH($A136, Tabla1[N Doc], 0)),
IF(B136=3,
        INDEX(Tabla1[Iva 22], MATCH($A136, Tabla1[N Doc], 0)),
IF(B136=4,
        INDEX(Tabla1[Base imponible 10], MATCH($A136, Tabla1[N Doc], 0)),
IF(B136=5,
        INDEX(Tabla1[Iva 10], MATCH($A136, Tabla1[N Doc], 0)),
IF(B136=6,
        INDEX(Tabla1[Exento], MATCH($A136, Tabla1[N Doc], 0)),
IF(B136=7,
        INDEX(#REF!, MATCH($A136, Tabla1[N Doc], 0)),
IF(B136=8,
        INDEX(#REF!, MATCH($A136, Tabla1[N Doc], 0)),
IF(B136=9,
        INDEX(Tabla1[Descuentos], MATCH($A136, Tabla1[N Doc], 0)),
""))))))))))</f>
        <v/>
      </c>
      <c r="G136" t="str">
        <f>IF(OR($A136="",$A136=0),"",IF(OR(B136=2,B136=4,B136=6,B136=7),
    INDEX(Tabla13[Ind impuestos], MATCH($A136, Tabla13[N Doc], 0)),
""))</f>
        <v/>
      </c>
      <c r="J136" t="str">
        <f>IF(OR($A136="",$A136=0),"",IF(OR(B136=2,B136=4,B136=6,B136=7),
    INDEX(Tabla1[CECO], MATCH($A136, Tabla1[N Doc], 0)),
""))</f>
        <v/>
      </c>
      <c r="M136" t="str">
        <f>IF(C136=31,INDEX(Tabla1[Descripción], MATCH($A136, Tabla1[N Doc], 0)),"")</f>
        <v/>
      </c>
    </row>
    <row r="137" spans="1:13" x14ac:dyDescent="0.3">
      <c r="A137" t="str" cm="1">
        <f t="array" ref="A137">INDEX(Tabla1[N Doc], ROUNDUP((ROW()-1)/9, 0))</f>
        <v/>
      </c>
      <c r="B137" t="str">
        <f>IF(OR(A137="",A137=0),"",CHOOSE(
    COUNTIF($A$2:A137,A137),
    1,2,3,4,5,6,7,8,9
))</f>
        <v/>
      </c>
      <c r="C137" t="str">
        <f t="shared" si="2"/>
        <v/>
      </c>
      <c r="D137" s="7" t="str" cm="1">
        <f t="array" ref="D137">IF(OR($A137="",$A137=0),"",
IF(AND(INDEX(Formulario!$H$14:$H$100, $A137)="Si", C137&lt;&gt;31),
        VLOOKUP("cta puente",'Descripciones de gastos'!G:H, 2, FALSE),
IF(B137=1,
        INDEX(Tabla13[Titular], MATCH($A137, Tabla1[N Doc], 0)),
IF(B137=2,
        INDEX(Tabla1[Cuenta contable], MATCH($A137, Tabla1[N Doc], 0)),
IF(B137=3,
        INDEX(Tabla13[Cta Iva 22], MATCH($A137, Tabla1[N Doc], 0)),
IF(B137=4,
        INDEX(Tabla1[Cuenta contable], MATCH($A137, Tabla1[N Doc], 0)),
IF(B137=5,
        INDEX(Tabla13[Cta Iva 10], MATCH($A137, Tabla1[N Doc], 0)),
IF(B137=6,
        INDEX(Tabla1[Cuenta contable], MATCH($A137, Tabla1[N Doc], 0)),
IF(B137=7,
        INDEX(Tabla1[Cuenta contable], MATCH($A137, Tabla1[N Doc], 0)),
IF(B137=8,
        IF(INDEX(Tabla1[Tipo IVA], MATCH($A137, Tabla1[N Doc], 0))="22%",
             INDEX(Tabla13[Cta Iva 22], MATCH($A137, Tabla1[N Doc], 0)),
             INDEX(Tabla13[Cta Iva 10], MATCH($A137, Tabla1[N Doc], 0))),
IF(B137=9,
        INDEX(Tabla1[Cuenta contable], MATCH($A137, Tabla1[N Doc], 0))
)))))))))))</f>
        <v/>
      </c>
      <c r="F137" t="str">
        <f>IF(OR($A137="",$A137=0),"",IF(B137=1,
        INDEX(Tabla1[Importe total], MATCH($A137, Tabla1[N Doc], 0)),
IF(B137=2,
        INDEX(Tabla1[Base imponible 22], MATCH($A137, Tabla1[N Doc], 0)),
IF(B137=3,
        INDEX(Tabla1[Iva 22], MATCH($A137, Tabla1[N Doc], 0)),
IF(B137=4,
        INDEX(Tabla1[Base imponible 10], MATCH($A137, Tabla1[N Doc], 0)),
IF(B137=5,
        INDEX(Tabla1[Iva 10], MATCH($A137, Tabla1[N Doc], 0)),
IF(B137=6,
        INDEX(Tabla1[Exento], MATCH($A137, Tabla1[N Doc], 0)),
IF(B137=7,
        INDEX(#REF!, MATCH($A137, Tabla1[N Doc], 0)),
IF(B137=8,
        INDEX(#REF!, MATCH($A137, Tabla1[N Doc], 0)),
IF(B137=9,
        INDEX(Tabla1[Descuentos], MATCH($A137, Tabla1[N Doc], 0)),
""))))))))))</f>
        <v/>
      </c>
      <c r="G137" t="str">
        <f>IF(OR($A137="",$A137=0),"",IF(OR(B137=2,B137=4,B137=6,B137=7),
    INDEX(Tabla13[Ind impuestos], MATCH($A137, Tabla13[N Doc], 0)),
""))</f>
        <v/>
      </c>
      <c r="J137" t="str">
        <f>IF(OR($A137="",$A137=0),"",IF(OR(B137=2,B137=4,B137=6,B137=7),
    INDEX(Tabla1[CECO], MATCH($A137, Tabla1[N Doc], 0)),
""))</f>
        <v/>
      </c>
      <c r="M137" t="str">
        <f>IF(C137=31,INDEX(Tabla1[Descripción], MATCH($A137, Tabla1[N Doc], 0)),"")</f>
        <v/>
      </c>
    </row>
    <row r="138" spans="1:13" x14ac:dyDescent="0.3">
      <c r="A138" t="str" cm="1">
        <f t="array" ref="A138">INDEX(Tabla1[N Doc], ROUNDUP((ROW()-1)/9, 0))</f>
        <v/>
      </c>
      <c r="B138" t="str">
        <f>IF(OR(A138="",A138=0),"",CHOOSE(
    COUNTIF($A$2:A138,A138),
    1,2,3,4,5,6,7,8,9
))</f>
        <v/>
      </c>
      <c r="C138" t="str">
        <f t="shared" si="2"/>
        <v/>
      </c>
      <c r="D138" s="7" t="str" cm="1">
        <f t="array" ref="D138">IF(OR($A138="",$A138=0),"",
IF(AND(INDEX(Formulario!$H$14:$H$100, $A138)="Si", C138&lt;&gt;31),
        VLOOKUP("cta puente",'Descripciones de gastos'!G:H, 2, FALSE),
IF(B138=1,
        INDEX(Tabla13[Titular], MATCH($A138, Tabla1[N Doc], 0)),
IF(B138=2,
        INDEX(Tabla1[Cuenta contable], MATCH($A138, Tabla1[N Doc], 0)),
IF(B138=3,
        INDEX(Tabla13[Cta Iva 22], MATCH($A138, Tabla1[N Doc], 0)),
IF(B138=4,
        INDEX(Tabla1[Cuenta contable], MATCH($A138, Tabla1[N Doc], 0)),
IF(B138=5,
        INDEX(Tabla13[Cta Iva 10], MATCH($A138, Tabla1[N Doc], 0)),
IF(B138=6,
        INDEX(Tabla1[Cuenta contable], MATCH($A138, Tabla1[N Doc], 0)),
IF(B138=7,
        INDEX(Tabla1[Cuenta contable], MATCH($A138, Tabla1[N Doc], 0)),
IF(B138=8,
        IF(INDEX(Tabla1[Tipo IVA], MATCH($A138, Tabla1[N Doc], 0))="22%",
             INDEX(Tabla13[Cta Iva 22], MATCH($A138, Tabla1[N Doc], 0)),
             INDEX(Tabla13[Cta Iva 10], MATCH($A138, Tabla1[N Doc], 0))),
IF(B138=9,
        INDEX(Tabla1[Cuenta contable], MATCH($A138, Tabla1[N Doc], 0))
)))))))))))</f>
        <v/>
      </c>
      <c r="F138" t="str">
        <f>IF(OR($A138="",$A138=0),"",IF(B138=1,
        INDEX(Tabla1[Importe total], MATCH($A138, Tabla1[N Doc], 0)),
IF(B138=2,
        INDEX(Tabla1[Base imponible 22], MATCH($A138, Tabla1[N Doc], 0)),
IF(B138=3,
        INDEX(Tabla1[Iva 22], MATCH($A138, Tabla1[N Doc], 0)),
IF(B138=4,
        INDEX(Tabla1[Base imponible 10], MATCH($A138, Tabla1[N Doc], 0)),
IF(B138=5,
        INDEX(Tabla1[Iva 10], MATCH($A138, Tabla1[N Doc], 0)),
IF(B138=6,
        INDEX(Tabla1[Exento], MATCH($A138, Tabla1[N Doc], 0)),
IF(B138=7,
        INDEX(#REF!, MATCH($A138, Tabla1[N Doc], 0)),
IF(B138=8,
        INDEX(#REF!, MATCH($A138, Tabla1[N Doc], 0)),
IF(B138=9,
        INDEX(Tabla1[Descuentos], MATCH($A138, Tabla1[N Doc], 0)),
""))))))))))</f>
        <v/>
      </c>
      <c r="G138" t="str">
        <f>IF(OR($A138="",$A138=0),"",IF(OR(B138=2,B138=4,B138=6,B138=7),
    INDEX(Tabla13[Ind impuestos], MATCH($A138, Tabla13[N Doc], 0)),
""))</f>
        <v/>
      </c>
      <c r="J138" t="str">
        <f>IF(OR($A138="",$A138=0),"",IF(OR(B138=2,B138=4,B138=6,B138=7),
    INDEX(Tabla1[CECO], MATCH($A138, Tabla1[N Doc], 0)),
""))</f>
        <v/>
      </c>
      <c r="M138" t="str">
        <f>IF(C138=31,INDEX(Tabla1[Descripción], MATCH($A138, Tabla1[N Doc], 0)),"")</f>
        <v/>
      </c>
    </row>
    <row r="139" spans="1:13" x14ac:dyDescent="0.3">
      <c r="A139" t="str" cm="1">
        <f t="array" ref="A139">INDEX(Tabla1[N Doc], ROUNDUP((ROW()-1)/9, 0))</f>
        <v/>
      </c>
      <c r="B139" t="str">
        <f>IF(OR(A139="",A139=0),"",CHOOSE(
    COUNTIF($A$2:A139,A139),
    1,2,3,4,5,6,7,8,9
))</f>
        <v/>
      </c>
      <c r="C139" t="str">
        <f t="shared" si="2"/>
        <v/>
      </c>
      <c r="D139" s="7" t="str" cm="1">
        <f t="array" ref="D139">IF(OR($A139="",$A139=0),"",
IF(AND(INDEX(Formulario!$H$14:$H$100, $A139)="Si", C139&lt;&gt;31),
        VLOOKUP("cta puente",'Descripciones de gastos'!G:H, 2, FALSE),
IF(B139=1,
        INDEX(Tabla13[Titular], MATCH($A139, Tabla1[N Doc], 0)),
IF(B139=2,
        INDEX(Tabla1[Cuenta contable], MATCH($A139, Tabla1[N Doc], 0)),
IF(B139=3,
        INDEX(Tabla13[Cta Iva 22], MATCH($A139, Tabla1[N Doc], 0)),
IF(B139=4,
        INDEX(Tabla1[Cuenta contable], MATCH($A139, Tabla1[N Doc], 0)),
IF(B139=5,
        INDEX(Tabla13[Cta Iva 10], MATCH($A139, Tabla1[N Doc], 0)),
IF(B139=6,
        INDEX(Tabla1[Cuenta contable], MATCH($A139, Tabla1[N Doc], 0)),
IF(B139=7,
        INDEX(Tabla1[Cuenta contable], MATCH($A139, Tabla1[N Doc], 0)),
IF(B139=8,
        IF(INDEX(Tabla1[Tipo IVA], MATCH($A139, Tabla1[N Doc], 0))="22%",
             INDEX(Tabla13[Cta Iva 22], MATCH($A139, Tabla1[N Doc], 0)),
             INDEX(Tabla13[Cta Iva 10], MATCH($A139, Tabla1[N Doc], 0))),
IF(B139=9,
        INDEX(Tabla1[Cuenta contable], MATCH($A139, Tabla1[N Doc], 0))
)))))))))))</f>
        <v/>
      </c>
      <c r="F139" t="str">
        <f>IF(OR($A139="",$A139=0),"",IF(B139=1,
        INDEX(Tabla1[Importe total], MATCH($A139, Tabla1[N Doc], 0)),
IF(B139=2,
        INDEX(Tabla1[Base imponible 22], MATCH($A139, Tabla1[N Doc], 0)),
IF(B139=3,
        INDEX(Tabla1[Iva 22], MATCH($A139, Tabla1[N Doc], 0)),
IF(B139=4,
        INDEX(Tabla1[Base imponible 10], MATCH($A139, Tabla1[N Doc], 0)),
IF(B139=5,
        INDEX(Tabla1[Iva 10], MATCH($A139, Tabla1[N Doc], 0)),
IF(B139=6,
        INDEX(Tabla1[Exento], MATCH($A139, Tabla1[N Doc], 0)),
IF(B139=7,
        INDEX(#REF!, MATCH($A139, Tabla1[N Doc], 0)),
IF(B139=8,
        INDEX(#REF!, MATCH($A139, Tabla1[N Doc], 0)),
IF(B139=9,
        INDEX(Tabla1[Descuentos], MATCH($A139, Tabla1[N Doc], 0)),
""))))))))))</f>
        <v/>
      </c>
      <c r="G139" t="str">
        <f>IF(OR($A139="",$A139=0),"",IF(OR(B139=2,B139=4,B139=6,B139=7),
    INDEX(Tabla13[Ind impuestos], MATCH($A139, Tabla13[N Doc], 0)),
""))</f>
        <v/>
      </c>
      <c r="J139" t="str">
        <f>IF(OR($A139="",$A139=0),"",IF(OR(B139=2,B139=4,B139=6,B139=7),
    INDEX(Tabla1[CECO], MATCH($A139, Tabla1[N Doc], 0)),
""))</f>
        <v/>
      </c>
      <c r="M139" t="str">
        <f>IF(C139=31,INDEX(Tabla1[Descripción], MATCH($A139, Tabla1[N Doc], 0)),"")</f>
        <v/>
      </c>
    </row>
    <row r="140" spans="1:13" x14ac:dyDescent="0.3">
      <c r="A140" t="str" cm="1">
        <f t="array" ref="A140">INDEX(Tabla1[N Doc], ROUNDUP((ROW()-1)/9, 0))</f>
        <v/>
      </c>
      <c r="B140" t="str">
        <f>IF(OR(A140="",A140=0),"",CHOOSE(
    COUNTIF($A$2:A140,A140),
    1,2,3,4,5,6,7,8,9
))</f>
        <v/>
      </c>
      <c r="C140" t="str">
        <f t="shared" si="2"/>
        <v/>
      </c>
      <c r="D140" s="7" t="str" cm="1">
        <f t="array" ref="D140">IF(OR($A140="",$A140=0),"",
IF(AND(INDEX(Formulario!$H$14:$H$100, $A140)="Si", C140&lt;&gt;31),
        VLOOKUP("cta puente",'Descripciones de gastos'!G:H, 2, FALSE),
IF(B140=1,
        INDEX(Tabla13[Titular], MATCH($A140, Tabla1[N Doc], 0)),
IF(B140=2,
        INDEX(Tabla1[Cuenta contable], MATCH($A140, Tabla1[N Doc], 0)),
IF(B140=3,
        INDEX(Tabla13[Cta Iva 22], MATCH($A140, Tabla1[N Doc], 0)),
IF(B140=4,
        INDEX(Tabla1[Cuenta contable], MATCH($A140, Tabla1[N Doc], 0)),
IF(B140=5,
        INDEX(Tabla13[Cta Iva 10], MATCH($A140, Tabla1[N Doc], 0)),
IF(B140=6,
        INDEX(Tabla1[Cuenta contable], MATCH($A140, Tabla1[N Doc], 0)),
IF(B140=7,
        INDEX(Tabla1[Cuenta contable], MATCH($A140, Tabla1[N Doc], 0)),
IF(B140=8,
        IF(INDEX(Tabla1[Tipo IVA], MATCH($A140, Tabla1[N Doc], 0))="22%",
             INDEX(Tabla13[Cta Iva 22], MATCH($A140, Tabla1[N Doc], 0)),
             INDEX(Tabla13[Cta Iva 10], MATCH($A140, Tabla1[N Doc], 0))),
IF(B140=9,
        INDEX(Tabla1[Cuenta contable], MATCH($A140, Tabla1[N Doc], 0))
)))))))))))</f>
        <v/>
      </c>
      <c r="F140" t="str">
        <f>IF(OR($A140="",$A140=0),"",IF(B140=1,
        INDEX(Tabla1[Importe total], MATCH($A140, Tabla1[N Doc], 0)),
IF(B140=2,
        INDEX(Tabla1[Base imponible 22], MATCH($A140, Tabla1[N Doc], 0)),
IF(B140=3,
        INDEX(Tabla1[Iva 22], MATCH($A140, Tabla1[N Doc], 0)),
IF(B140=4,
        INDEX(Tabla1[Base imponible 10], MATCH($A140, Tabla1[N Doc], 0)),
IF(B140=5,
        INDEX(Tabla1[Iva 10], MATCH($A140, Tabla1[N Doc], 0)),
IF(B140=6,
        INDEX(Tabla1[Exento], MATCH($A140, Tabla1[N Doc], 0)),
IF(B140=7,
        INDEX(#REF!, MATCH($A140, Tabla1[N Doc], 0)),
IF(B140=8,
        INDEX(#REF!, MATCH($A140, Tabla1[N Doc], 0)),
IF(B140=9,
        INDEX(Tabla1[Descuentos], MATCH($A140, Tabla1[N Doc], 0)),
""))))))))))</f>
        <v/>
      </c>
      <c r="G140" t="str">
        <f>IF(OR($A140="",$A140=0),"",IF(OR(B140=2,B140=4,B140=6,B140=7),
    INDEX(Tabla13[Ind impuestos], MATCH($A140, Tabla13[N Doc], 0)),
""))</f>
        <v/>
      </c>
      <c r="J140" t="str">
        <f>IF(OR($A140="",$A140=0),"",IF(OR(B140=2,B140=4,B140=6,B140=7),
    INDEX(Tabla1[CECO], MATCH($A140, Tabla1[N Doc], 0)),
""))</f>
        <v/>
      </c>
      <c r="M140" t="str">
        <f>IF(C140=31,INDEX(Tabla1[Descripción], MATCH($A140, Tabla1[N Doc], 0)),"")</f>
        <v/>
      </c>
    </row>
    <row r="141" spans="1:13" x14ac:dyDescent="0.3">
      <c r="A141" t="str" cm="1">
        <f t="array" ref="A141">INDEX(Tabla1[N Doc], ROUNDUP((ROW()-1)/9, 0))</f>
        <v/>
      </c>
      <c r="B141" t="str">
        <f>IF(OR(A141="",A141=0),"",CHOOSE(
    COUNTIF($A$2:A141,A141),
    1,2,3,4,5,6,7,8,9
))</f>
        <v/>
      </c>
      <c r="C141" t="str">
        <f t="shared" si="2"/>
        <v/>
      </c>
      <c r="D141" s="7" t="str" cm="1">
        <f t="array" ref="D141">IF(OR($A141="",$A141=0),"",
IF(AND(INDEX(Formulario!$H$14:$H$100, $A141)="Si", C141&lt;&gt;31),
        VLOOKUP("cta puente",'Descripciones de gastos'!G:H, 2, FALSE),
IF(B141=1,
        INDEX(Tabla13[Titular], MATCH($A141, Tabla1[N Doc], 0)),
IF(B141=2,
        INDEX(Tabla1[Cuenta contable], MATCH($A141, Tabla1[N Doc], 0)),
IF(B141=3,
        INDEX(Tabla13[Cta Iva 22], MATCH($A141, Tabla1[N Doc], 0)),
IF(B141=4,
        INDEX(Tabla1[Cuenta contable], MATCH($A141, Tabla1[N Doc], 0)),
IF(B141=5,
        INDEX(Tabla13[Cta Iva 10], MATCH($A141, Tabla1[N Doc], 0)),
IF(B141=6,
        INDEX(Tabla1[Cuenta contable], MATCH($A141, Tabla1[N Doc], 0)),
IF(B141=7,
        INDEX(Tabla1[Cuenta contable], MATCH($A141, Tabla1[N Doc], 0)),
IF(B141=8,
        IF(INDEX(Tabla1[Tipo IVA], MATCH($A141, Tabla1[N Doc], 0))="22%",
             INDEX(Tabla13[Cta Iva 22], MATCH($A141, Tabla1[N Doc], 0)),
             INDEX(Tabla13[Cta Iva 10], MATCH($A141, Tabla1[N Doc], 0))),
IF(B141=9,
        INDEX(Tabla1[Cuenta contable], MATCH($A141, Tabla1[N Doc], 0))
)))))))))))</f>
        <v/>
      </c>
      <c r="F141" t="str">
        <f>IF(OR($A141="",$A141=0),"",IF(B141=1,
        INDEX(Tabla1[Importe total], MATCH($A141, Tabla1[N Doc], 0)),
IF(B141=2,
        INDEX(Tabla1[Base imponible 22], MATCH($A141, Tabla1[N Doc], 0)),
IF(B141=3,
        INDEX(Tabla1[Iva 22], MATCH($A141, Tabla1[N Doc], 0)),
IF(B141=4,
        INDEX(Tabla1[Base imponible 10], MATCH($A141, Tabla1[N Doc], 0)),
IF(B141=5,
        INDEX(Tabla1[Iva 10], MATCH($A141, Tabla1[N Doc], 0)),
IF(B141=6,
        INDEX(Tabla1[Exento], MATCH($A141, Tabla1[N Doc], 0)),
IF(B141=7,
        INDEX(#REF!, MATCH($A141, Tabla1[N Doc], 0)),
IF(B141=8,
        INDEX(#REF!, MATCH($A141, Tabla1[N Doc], 0)),
IF(B141=9,
        INDEX(Tabla1[Descuentos], MATCH($A141, Tabla1[N Doc], 0)),
""))))))))))</f>
        <v/>
      </c>
      <c r="G141" t="str">
        <f>IF(OR($A141="",$A141=0),"",IF(OR(B141=2,B141=4,B141=6,B141=7),
    INDEX(Tabla13[Ind impuestos], MATCH($A141, Tabla13[N Doc], 0)),
""))</f>
        <v/>
      </c>
      <c r="J141" t="str">
        <f>IF(OR($A141="",$A141=0),"",IF(OR(B141=2,B141=4,B141=6,B141=7),
    INDEX(Tabla1[CECO], MATCH($A141, Tabla1[N Doc], 0)),
""))</f>
        <v/>
      </c>
      <c r="M141" t="str">
        <f>IF(C141=31,INDEX(Tabla1[Descripción], MATCH($A141, Tabla1[N Doc], 0)),"")</f>
        <v/>
      </c>
    </row>
    <row r="142" spans="1:13" x14ac:dyDescent="0.3">
      <c r="A142" t="str" cm="1">
        <f t="array" ref="A142">INDEX(Tabla1[N Doc], ROUNDUP((ROW()-1)/9, 0))</f>
        <v/>
      </c>
      <c r="B142" t="str">
        <f>IF(OR(A142="",A142=0),"",CHOOSE(
    COUNTIF($A$2:A142,A142),
    1,2,3,4,5,6,7,8,9
))</f>
        <v/>
      </c>
      <c r="C142" t="str">
        <f t="shared" si="2"/>
        <v/>
      </c>
      <c r="D142" s="7" t="str" cm="1">
        <f t="array" ref="D142">IF(OR($A142="",$A142=0),"",
IF(AND(INDEX(Formulario!$H$14:$H$100, $A142)="Si", C142&lt;&gt;31),
        VLOOKUP("cta puente",'Descripciones de gastos'!G:H, 2, FALSE),
IF(B142=1,
        INDEX(Tabla13[Titular], MATCH($A142, Tabla1[N Doc], 0)),
IF(B142=2,
        INDEX(Tabla1[Cuenta contable], MATCH($A142, Tabla1[N Doc], 0)),
IF(B142=3,
        INDEX(Tabla13[Cta Iva 22], MATCH($A142, Tabla1[N Doc], 0)),
IF(B142=4,
        INDEX(Tabla1[Cuenta contable], MATCH($A142, Tabla1[N Doc], 0)),
IF(B142=5,
        INDEX(Tabla13[Cta Iva 10], MATCH($A142, Tabla1[N Doc], 0)),
IF(B142=6,
        INDEX(Tabla1[Cuenta contable], MATCH($A142, Tabla1[N Doc], 0)),
IF(B142=7,
        INDEX(Tabla1[Cuenta contable], MATCH($A142, Tabla1[N Doc], 0)),
IF(B142=8,
        IF(INDEX(Tabla1[Tipo IVA], MATCH($A142, Tabla1[N Doc], 0))="22%",
             INDEX(Tabla13[Cta Iva 22], MATCH($A142, Tabla1[N Doc], 0)),
             INDEX(Tabla13[Cta Iva 10], MATCH($A142, Tabla1[N Doc], 0))),
IF(B142=9,
        INDEX(Tabla1[Cuenta contable], MATCH($A142, Tabla1[N Doc], 0))
)))))))))))</f>
        <v/>
      </c>
      <c r="F142" t="str">
        <f>IF(OR($A142="",$A142=0),"",IF(B142=1,
        INDEX(Tabla1[Importe total], MATCH($A142, Tabla1[N Doc], 0)),
IF(B142=2,
        INDEX(Tabla1[Base imponible 22], MATCH($A142, Tabla1[N Doc], 0)),
IF(B142=3,
        INDEX(Tabla1[Iva 22], MATCH($A142, Tabla1[N Doc], 0)),
IF(B142=4,
        INDEX(Tabla1[Base imponible 10], MATCH($A142, Tabla1[N Doc], 0)),
IF(B142=5,
        INDEX(Tabla1[Iva 10], MATCH($A142, Tabla1[N Doc], 0)),
IF(B142=6,
        INDEX(Tabla1[Exento], MATCH($A142, Tabla1[N Doc], 0)),
IF(B142=7,
        INDEX(#REF!, MATCH($A142, Tabla1[N Doc], 0)),
IF(B142=8,
        INDEX(#REF!, MATCH($A142, Tabla1[N Doc], 0)),
IF(B142=9,
        INDEX(Tabla1[Descuentos], MATCH($A142, Tabla1[N Doc], 0)),
""))))))))))</f>
        <v/>
      </c>
      <c r="G142" t="str">
        <f>IF(OR($A142="",$A142=0),"",IF(OR(B142=2,B142=4,B142=6,B142=7),
    INDEX(Tabla13[Ind impuestos], MATCH($A142, Tabla13[N Doc], 0)),
""))</f>
        <v/>
      </c>
      <c r="J142" t="str">
        <f>IF(OR($A142="",$A142=0),"",IF(OR(B142=2,B142=4,B142=6,B142=7),
    INDEX(Tabla1[CECO], MATCH($A142, Tabla1[N Doc], 0)),
""))</f>
        <v/>
      </c>
      <c r="M142" t="str">
        <f>IF(C142=31,INDEX(Tabla1[Descripción], MATCH($A142, Tabla1[N Doc], 0)),"")</f>
        <v/>
      </c>
    </row>
    <row r="143" spans="1:13" x14ac:dyDescent="0.3">
      <c r="A143" t="str" cm="1">
        <f t="array" ref="A143">INDEX(Tabla1[N Doc], ROUNDUP((ROW()-1)/9, 0))</f>
        <v/>
      </c>
      <c r="B143" t="str">
        <f>IF(OR(A143="",A143=0),"",CHOOSE(
    COUNTIF($A$2:A143,A143),
    1,2,3,4,5,6,7,8,9
))</f>
        <v/>
      </c>
      <c r="C143" t="str">
        <f t="shared" si="2"/>
        <v/>
      </c>
      <c r="D143" s="7" t="str" cm="1">
        <f t="array" ref="D143">IF(OR($A143="",$A143=0),"",
IF(AND(INDEX(Formulario!$H$14:$H$100, $A143)="Si", C143&lt;&gt;31),
        VLOOKUP("cta puente",'Descripciones de gastos'!G:H, 2, FALSE),
IF(B143=1,
        INDEX(Tabla13[Titular], MATCH($A143, Tabla1[N Doc], 0)),
IF(B143=2,
        INDEX(Tabla1[Cuenta contable], MATCH($A143, Tabla1[N Doc], 0)),
IF(B143=3,
        INDEX(Tabla13[Cta Iva 22], MATCH($A143, Tabla1[N Doc], 0)),
IF(B143=4,
        INDEX(Tabla1[Cuenta contable], MATCH($A143, Tabla1[N Doc], 0)),
IF(B143=5,
        INDEX(Tabla13[Cta Iva 10], MATCH($A143, Tabla1[N Doc], 0)),
IF(B143=6,
        INDEX(Tabla1[Cuenta contable], MATCH($A143, Tabla1[N Doc], 0)),
IF(B143=7,
        INDEX(Tabla1[Cuenta contable], MATCH($A143, Tabla1[N Doc], 0)),
IF(B143=8,
        IF(INDEX(Tabla1[Tipo IVA], MATCH($A143, Tabla1[N Doc], 0))="22%",
             INDEX(Tabla13[Cta Iva 22], MATCH($A143, Tabla1[N Doc], 0)),
             INDEX(Tabla13[Cta Iva 10], MATCH($A143, Tabla1[N Doc], 0))),
IF(B143=9,
        INDEX(Tabla1[Cuenta contable], MATCH($A143, Tabla1[N Doc], 0))
)))))))))))</f>
        <v/>
      </c>
      <c r="F143" t="str">
        <f>IF(OR($A143="",$A143=0),"",IF(B143=1,
        INDEX(Tabla1[Importe total], MATCH($A143, Tabla1[N Doc], 0)),
IF(B143=2,
        INDEX(Tabla1[Base imponible 22], MATCH($A143, Tabla1[N Doc], 0)),
IF(B143=3,
        INDEX(Tabla1[Iva 22], MATCH($A143, Tabla1[N Doc], 0)),
IF(B143=4,
        INDEX(Tabla1[Base imponible 10], MATCH($A143, Tabla1[N Doc], 0)),
IF(B143=5,
        INDEX(Tabla1[Iva 10], MATCH($A143, Tabla1[N Doc], 0)),
IF(B143=6,
        INDEX(Tabla1[Exento], MATCH($A143, Tabla1[N Doc], 0)),
IF(B143=7,
        INDEX(#REF!, MATCH($A143, Tabla1[N Doc], 0)),
IF(B143=8,
        INDEX(#REF!, MATCH($A143, Tabla1[N Doc], 0)),
IF(B143=9,
        INDEX(Tabla1[Descuentos], MATCH($A143, Tabla1[N Doc], 0)),
""))))))))))</f>
        <v/>
      </c>
      <c r="G143" t="str">
        <f>IF(OR($A143="",$A143=0),"",IF(OR(B143=2,B143=4,B143=6,B143=7),
    INDEX(Tabla13[Ind impuestos], MATCH($A143, Tabla13[N Doc], 0)),
""))</f>
        <v/>
      </c>
      <c r="J143" t="str">
        <f>IF(OR($A143="",$A143=0),"",IF(OR(B143=2,B143=4,B143=6,B143=7),
    INDEX(Tabla1[CECO], MATCH($A143, Tabla1[N Doc], 0)),
""))</f>
        <v/>
      </c>
      <c r="M143" t="str">
        <f>IF(C143=31,INDEX(Tabla1[Descripción], MATCH($A143, Tabla1[N Doc], 0)),"")</f>
        <v/>
      </c>
    </row>
    <row r="144" spans="1:13" x14ac:dyDescent="0.3">
      <c r="A144" t="str" cm="1">
        <f t="array" ref="A144">INDEX(Tabla1[N Doc], ROUNDUP((ROW()-1)/9, 0))</f>
        <v/>
      </c>
      <c r="B144" t="str">
        <f>IF(OR(A144="",A144=0),"",CHOOSE(
    COUNTIF($A$2:A144,A144),
    1,2,3,4,5,6,7,8,9
))</f>
        <v/>
      </c>
      <c r="C144" t="str">
        <f t="shared" si="2"/>
        <v/>
      </c>
      <c r="D144" s="7" t="str" cm="1">
        <f t="array" ref="D144">IF(OR($A144="",$A144=0),"",
IF(AND(INDEX(Formulario!$H$14:$H$100, $A144)="Si", C144&lt;&gt;31),
        VLOOKUP("cta puente",'Descripciones de gastos'!G:H, 2, FALSE),
IF(B144=1,
        INDEX(Tabla13[Titular], MATCH($A144, Tabla1[N Doc], 0)),
IF(B144=2,
        INDEX(Tabla1[Cuenta contable], MATCH($A144, Tabla1[N Doc], 0)),
IF(B144=3,
        INDEX(Tabla13[Cta Iva 22], MATCH($A144, Tabla1[N Doc], 0)),
IF(B144=4,
        INDEX(Tabla1[Cuenta contable], MATCH($A144, Tabla1[N Doc], 0)),
IF(B144=5,
        INDEX(Tabla13[Cta Iva 10], MATCH($A144, Tabla1[N Doc], 0)),
IF(B144=6,
        INDEX(Tabla1[Cuenta contable], MATCH($A144, Tabla1[N Doc], 0)),
IF(B144=7,
        INDEX(Tabla1[Cuenta contable], MATCH($A144, Tabla1[N Doc], 0)),
IF(B144=8,
        IF(INDEX(Tabla1[Tipo IVA], MATCH($A144, Tabla1[N Doc], 0))="22%",
             INDEX(Tabla13[Cta Iva 22], MATCH($A144, Tabla1[N Doc], 0)),
             INDEX(Tabla13[Cta Iva 10], MATCH($A144, Tabla1[N Doc], 0))),
IF(B144=9,
        INDEX(Tabla1[Cuenta contable], MATCH($A144, Tabla1[N Doc], 0))
)))))))))))</f>
        <v/>
      </c>
      <c r="F144" t="str">
        <f>IF(OR($A144="",$A144=0),"",IF(B144=1,
        INDEX(Tabla1[Importe total], MATCH($A144, Tabla1[N Doc], 0)),
IF(B144=2,
        INDEX(Tabla1[Base imponible 22], MATCH($A144, Tabla1[N Doc], 0)),
IF(B144=3,
        INDEX(Tabla1[Iva 22], MATCH($A144, Tabla1[N Doc], 0)),
IF(B144=4,
        INDEX(Tabla1[Base imponible 10], MATCH($A144, Tabla1[N Doc], 0)),
IF(B144=5,
        INDEX(Tabla1[Iva 10], MATCH($A144, Tabla1[N Doc], 0)),
IF(B144=6,
        INDEX(Tabla1[Exento], MATCH($A144, Tabla1[N Doc], 0)),
IF(B144=7,
        INDEX(#REF!, MATCH($A144, Tabla1[N Doc], 0)),
IF(B144=8,
        INDEX(#REF!, MATCH($A144, Tabla1[N Doc], 0)),
IF(B144=9,
        INDEX(Tabla1[Descuentos], MATCH($A144, Tabla1[N Doc], 0)),
""))))))))))</f>
        <v/>
      </c>
      <c r="G144" t="str">
        <f>IF(OR($A144="",$A144=0),"",IF(OR(B144=2,B144=4,B144=6,B144=7),
    INDEX(Tabla13[Ind impuestos], MATCH($A144, Tabla13[N Doc], 0)),
""))</f>
        <v/>
      </c>
      <c r="J144" t="str">
        <f>IF(OR($A144="",$A144=0),"",IF(OR(B144=2,B144=4,B144=6,B144=7),
    INDEX(Tabla1[CECO], MATCH($A144, Tabla1[N Doc], 0)),
""))</f>
        <v/>
      </c>
      <c r="M144" t="str">
        <f>IF(C144=31,INDEX(Tabla1[Descripción], MATCH($A144, Tabla1[N Doc], 0)),"")</f>
        <v/>
      </c>
    </row>
    <row r="145" spans="1:13" x14ac:dyDescent="0.3">
      <c r="A145" t="str" cm="1">
        <f t="array" ref="A145">INDEX(Tabla1[N Doc], ROUNDUP((ROW()-1)/9, 0))</f>
        <v/>
      </c>
      <c r="B145" t="str">
        <f>IF(OR(A145="",A145=0),"",CHOOSE(
    COUNTIF($A$2:A145,A145),
    1,2,3,4,5,6,7,8,9
))</f>
        <v/>
      </c>
      <c r="C145" t="str">
        <f t="shared" si="2"/>
        <v/>
      </c>
      <c r="D145" s="7" t="str" cm="1">
        <f t="array" ref="D145">IF(OR($A145="",$A145=0),"",
IF(AND(INDEX(Formulario!$H$14:$H$100, $A145)="Si", C145&lt;&gt;31),
        VLOOKUP("cta puente",'Descripciones de gastos'!G:H, 2, FALSE),
IF(B145=1,
        INDEX(Tabla13[Titular], MATCH($A145, Tabla1[N Doc], 0)),
IF(B145=2,
        INDEX(Tabla1[Cuenta contable], MATCH($A145, Tabla1[N Doc], 0)),
IF(B145=3,
        INDEX(Tabla13[Cta Iva 22], MATCH($A145, Tabla1[N Doc], 0)),
IF(B145=4,
        INDEX(Tabla1[Cuenta contable], MATCH($A145, Tabla1[N Doc], 0)),
IF(B145=5,
        INDEX(Tabla13[Cta Iva 10], MATCH($A145, Tabla1[N Doc], 0)),
IF(B145=6,
        INDEX(Tabla1[Cuenta contable], MATCH($A145, Tabla1[N Doc], 0)),
IF(B145=7,
        INDEX(Tabla1[Cuenta contable], MATCH($A145, Tabla1[N Doc], 0)),
IF(B145=8,
        IF(INDEX(Tabla1[Tipo IVA], MATCH($A145, Tabla1[N Doc], 0))="22%",
             INDEX(Tabla13[Cta Iva 22], MATCH($A145, Tabla1[N Doc], 0)),
             INDEX(Tabla13[Cta Iva 10], MATCH($A145, Tabla1[N Doc], 0))),
IF(B145=9,
        INDEX(Tabla1[Cuenta contable], MATCH($A145, Tabla1[N Doc], 0))
)))))))))))</f>
        <v/>
      </c>
      <c r="F145" t="str">
        <f>IF(OR($A145="",$A145=0),"",IF(B145=1,
        INDEX(Tabla1[Importe total], MATCH($A145, Tabla1[N Doc], 0)),
IF(B145=2,
        INDEX(Tabla1[Base imponible 22], MATCH($A145, Tabla1[N Doc], 0)),
IF(B145=3,
        INDEX(Tabla1[Iva 22], MATCH($A145, Tabla1[N Doc], 0)),
IF(B145=4,
        INDEX(Tabla1[Base imponible 10], MATCH($A145, Tabla1[N Doc], 0)),
IF(B145=5,
        INDEX(Tabla1[Iva 10], MATCH($A145, Tabla1[N Doc], 0)),
IF(B145=6,
        INDEX(Tabla1[Exento], MATCH($A145, Tabla1[N Doc], 0)),
IF(B145=7,
        INDEX(#REF!, MATCH($A145, Tabla1[N Doc], 0)),
IF(B145=8,
        INDEX(#REF!, MATCH($A145, Tabla1[N Doc], 0)),
IF(B145=9,
        INDEX(Tabla1[Descuentos], MATCH($A145, Tabla1[N Doc], 0)),
""))))))))))</f>
        <v/>
      </c>
      <c r="G145" t="str">
        <f>IF(OR($A145="",$A145=0),"",IF(OR(B145=2,B145=4,B145=6,B145=7),
    INDEX(Tabla13[Ind impuestos], MATCH($A145, Tabla13[N Doc], 0)),
""))</f>
        <v/>
      </c>
      <c r="J145" t="str">
        <f>IF(OR($A145="",$A145=0),"",IF(OR(B145=2,B145=4,B145=6,B145=7),
    INDEX(Tabla1[CECO], MATCH($A145, Tabla1[N Doc], 0)),
""))</f>
        <v/>
      </c>
      <c r="M145" t="str">
        <f>IF(C145=31,INDEX(Tabla1[Descripción], MATCH($A145, Tabla1[N Doc], 0)),"")</f>
        <v/>
      </c>
    </row>
    <row r="146" spans="1:13" x14ac:dyDescent="0.3">
      <c r="A146" t="str" cm="1">
        <f t="array" ref="A146">INDEX(Tabla1[N Doc], ROUNDUP((ROW()-1)/9, 0))</f>
        <v/>
      </c>
      <c r="B146" t="str">
        <f>IF(OR(A146="",A146=0),"",CHOOSE(
    COUNTIF($A$2:A146,A146),
    1,2,3,4,5,6,7,8,9
))</f>
        <v/>
      </c>
      <c r="C146" t="str">
        <f t="shared" si="2"/>
        <v/>
      </c>
      <c r="D146" s="7" t="str" cm="1">
        <f t="array" ref="D146">IF(OR($A146="",$A146=0),"",
IF(AND(INDEX(Formulario!$H$14:$H$100, $A146)="Si", C146&lt;&gt;31),
        VLOOKUP("cta puente",'Descripciones de gastos'!G:H, 2, FALSE),
IF(B146=1,
        INDEX(Tabla13[Titular], MATCH($A146, Tabla1[N Doc], 0)),
IF(B146=2,
        INDEX(Tabla1[Cuenta contable], MATCH($A146, Tabla1[N Doc], 0)),
IF(B146=3,
        INDEX(Tabla13[Cta Iva 22], MATCH($A146, Tabla1[N Doc], 0)),
IF(B146=4,
        INDEX(Tabla1[Cuenta contable], MATCH($A146, Tabla1[N Doc], 0)),
IF(B146=5,
        INDEX(Tabla13[Cta Iva 10], MATCH($A146, Tabla1[N Doc], 0)),
IF(B146=6,
        INDEX(Tabla1[Cuenta contable], MATCH($A146, Tabla1[N Doc], 0)),
IF(B146=7,
        INDEX(Tabla1[Cuenta contable], MATCH($A146, Tabla1[N Doc], 0)),
IF(B146=8,
        IF(INDEX(Tabla1[Tipo IVA], MATCH($A146, Tabla1[N Doc], 0))="22%",
             INDEX(Tabla13[Cta Iva 22], MATCH($A146, Tabla1[N Doc], 0)),
             INDEX(Tabla13[Cta Iva 10], MATCH($A146, Tabla1[N Doc], 0))),
IF(B146=9,
        INDEX(Tabla1[Cuenta contable], MATCH($A146, Tabla1[N Doc], 0))
)))))))))))</f>
        <v/>
      </c>
      <c r="F146" t="str">
        <f>IF(OR($A146="",$A146=0),"",IF(B146=1,
        INDEX(Tabla1[Importe total], MATCH($A146, Tabla1[N Doc], 0)),
IF(B146=2,
        INDEX(Tabla1[Base imponible 22], MATCH($A146, Tabla1[N Doc], 0)),
IF(B146=3,
        INDEX(Tabla1[Iva 22], MATCH($A146, Tabla1[N Doc], 0)),
IF(B146=4,
        INDEX(Tabla1[Base imponible 10], MATCH($A146, Tabla1[N Doc], 0)),
IF(B146=5,
        INDEX(Tabla1[Iva 10], MATCH($A146, Tabla1[N Doc], 0)),
IF(B146=6,
        INDEX(Tabla1[Exento], MATCH($A146, Tabla1[N Doc], 0)),
IF(B146=7,
        INDEX(#REF!, MATCH($A146, Tabla1[N Doc], 0)),
IF(B146=8,
        INDEX(#REF!, MATCH($A146, Tabla1[N Doc], 0)),
IF(B146=9,
        INDEX(Tabla1[Descuentos], MATCH($A146, Tabla1[N Doc], 0)),
""))))))))))</f>
        <v/>
      </c>
      <c r="G146" t="str">
        <f>IF(OR($A146="",$A146=0),"",IF(OR(B146=2,B146=4,B146=6,B146=7),
    INDEX(Tabla13[Ind impuestos], MATCH($A146, Tabla13[N Doc], 0)),
""))</f>
        <v/>
      </c>
      <c r="J146" t="str">
        <f>IF(OR($A146="",$A146=0),"",IF(OR(B146=2,B146=4,B146=6,B146=7),
    INDEX(Tabla1[CECO], MATCH($A146, Tabla1[N Doc], 0)),
""))</f>
        <v/>
      </c>
      <c r="M146" t="str">
        <f>IF(C146=31,INDEX(Tabla1[Descripción], MATCH($A146, Tabla1[N Doc], 0)),"")</f>
        <v/>
      </c>
    </row>
    <row r="147" spans="1:13" x14ac:dyDescent="0.3">
      <c r="A147" t="str" cm="1">
        <f t="array" ref="A147">INDEX(Tabla1[N Doc], ROUNDUP((ROW()-1)/9, 0))</f>
        <v/>
      </c>
      <c r="B147" t="str">
        <f>IF(OR(A147="",A147=0),"",CHOOSE(
    COUNTIF($A$2:A147,A147),
    1,2,3,4,5,6,7,8,9
))</f>
        <v/>
      </c>
      <c r="C147" t="str">
        <f t="shared" si="2"/>
        <v/>
      </c>
      <c r="D147" s="7" t="str" cm="1">
        <f t="array" ref="D147">IF(OR($A147="",$A147=0),"",
IF(AND(INDEX(Formulario!$H$14:$H$100, $A147)="Si", C147&lt;&gt;31),
        VLOOKUP("cta puente",'Descripciones de gastos'!G:H, 2, FALSE),
IF(B147=1,
        INDEX(Tabla13[Titular], MATCH($A147, Tabla1[N Doc], 0)),
IF(B147=2,
        INDEX(Tabla1[Cuenta contable], MATCH($A147, Tabla1[N Doc], 0)),
IF(B147=3,
        INDEX(Tabla13[Cta Iva 22], MATCH($A147, Tabla1[N Doc], 0)),
IF(B147=4,
        INDEX(Tabla1[Cuenta contable], MATCH($A147, Tabla1[N Doc], 0)),
IF(B147=5,
        INDEX(Tabla13[Cta Iva 10], MATCH($A147, Tabla1[N Doc], 0)),
IF(B147=6,
        INDEX(Tabla1[Cuenta contable], MATCH($A147, Tabla1[N Doc], 0)),
IF(B147=7,
        INDEX(Tabla1[Cuenta contable], MATCH($A147, Tabla1[N Doc], 0)),
IF(B147=8,
        IF(INDEX(Tabla1[Tipo IVA], MATCH($A147, Tabla1[N Doc], 0))="22%",
             INDEX(Tabla13[Cta Iva 22], MATCH($A147, Tabla1[N Doc], 0)),
             INDEX(Tabla13[Cta Iva 10], MATCH($A147, Tabla1[N Doc], 0))),
IF(B147=9,
        INDEX(Tabla1[Cuenta contable], MATCH($A147, Tabla1[N Doc], 0))
)))))))))))</f>
        <v/>
      </c>
      <c r="F147" t="str">
        <f>IF(OR($A147="",$A147=0),"",IF(B147=1,
        INDEX(Tabla1[Importe total], MATCH($A147, Tabla1[N Doc], 0)),
IF(B147=2,
        INDEX(Tabla1[Base imponible 22], MATCH($A147, Tabla1[N Doc], 0)),
IF(B147=3,
        INDEX(Tabla1[Iva 22], MATCH($A147, Tabla1[N Doc], 0)),
IF(B147=4,
        INDEX(Tabla1[Base imponible 10], MATCH($A147, Tabla1[N Doc], 0)),
IF(B147=5,
        INDEX(Tabla1[Iva 10], MATCH($A147, Tabla1[N Doc], 0)),
IF(B147=6,
        INDEX(Tabla1[Exento], MATCH($A147, Tabla1[N Doc], 0)),
IF(B147=7,
        INDEX(#REF!, MATCH($A147, Tabla1[N Doc], 0)),
IF(B147=8,
        INDEX(#REF!, MATCH($A147, Tabla1[N Doc], 0)),
IF(B147=9,
        INDEX(Tabla1[Descuentos], MATCH($A147, Tabla1[N Doc], 0)),
""))))))))))</f>
        <v/>
      </c>
      <c r="G147" t="str">
        <f>IF(OR($A147="",$A147=0),"",IF(OR(B147=2,B147=4,B147=6,B147=7),
    INDEX(Tabla13[Ind impuestos], MATCH($A147, Tabla13[N Doc], 0)),
""))</f>
        <v/>
      </c>
      <c r="J147" t="str">
        <f>IF(OR($A147="",$A147=0),"",IF(OR(B147=2,B147=4,B147=6,B147=7),
    INDEX(Tabla1[CECO], MATCH($A147, Tabla1[N Doc], 0)),
""))</f>
        <v/>
      </c>
      <c r="M147" t="str">
        <f>IF(C147=31,INDEX(Tabla1[Descripción], MATCH($A147, Tabla1[N Doc], 0)),"")</f>
        <v/>
      </c>
    </row>
    <row r="148" spans="1:13" x14ac:dyDescent="0.3">
      <c r="A148" t="str" cm="1">
        <f t="array" ref="A148">INDEX(Tabla1[N Doc], ROUNDUP((ROW()-1)/9, 0))</f>
        <v/>
      </c>
      <c r="B148" t="str">
        <f>IF(OR(A148="",A148=0),"",CHOOSE(
    COUNTIF($A$2:A148,A148),
    1,2,3,4,5,6,7,8,9
))</f>
        <v/>
      </c>
      <c r="C148" t="str">
        <f t="shared" si="2"/>
        <v/>
      </c>
      <c r="D148" s="7" t="str" cm="1">
        <f t="array" ref="D148">IF(OR($A148="",$A148=0),"",
IF(AND(INDEX(Formulario!$H$14:$H$100, $A148)="Si", C148&lt;&gt;31),
        VLOOKUP("cta puente",'Descripciones de gastos'!G:H, 2, FALSE),
IF(B148=1,
        INDEX(Tabla13[Titular], MATCH($A148, Tabla1[N Doc], 0)),
IF(B148=2,
        INDEX(Tabla1[Cuenta contable], MATCH($A148, Tabla1[N Doc], 0)),
IF(B148=3,
        INDEX(Tabla13[Cta Iva 22], MATCH($A148, Tabla1[N Doc], 0)),
IF(B148=4,
        INDEX(Tabla1[Cuenta contable], MATCH($A148, Tabla1[N Doc], 0)),
IF(B148=5,
        INDEX(Tabla13[Cta Iva 10], MATCH($A148, Tabla1[N Doc], 0)),
IF(B148=6,
        INDEX(Tabla1[Cuenta contable], MATCH($A148, Tabla1[N Doc], 0)),
IF(B148=7,
        INDEX(Tabla1[Cuenta contable], MATCH($A148, Tabla1[N Doc], 0)),
IF(B148=8,
        IF(INDEX(Tabla1[Tipo IVA], MATCH($A148, Tabla1[N Doc], 0))="22%",
             INDEX(Tabla13[Cta Iva 22], MATCH($A148, Tabla1[N Doc], 0)),
             INDEX(Tabla13[Cta Iva 10], MATCH($A148, Tabla1[N Doc], 0))),
IF(B148=9,
        INDEX(Tabla1[Cuenta contable], MATCH($A148, Tabla1[N Doc], 0))
)))))))))))</f>
        <v/>
      </c>
      <c r="F148" t="str">
        <f>IF(OR($A148="",$A148=0),"",IF(B148=1,
        INDEX(Tabla1[Importe total], MATCH($A148, Tabla1[N Doc], 0)),
IF(B148=2,
        INDEX(Tabla1[Base imponible 22], MATCH($A148, Tabla1[N Doc], 0)),
IF(B148=3,
        INDEX(Tabla1[Iva 22], MATCH($A148, Tabla1[N Doc], 0)),
IF(B148=4,
        INDEX(Tabla1[Base imponible 10], MATCH($A148, Tabla1[N Doc], 0)),
IF(B148=5,
        INDEX(Tabla1[Iva 10], MATCH($A148, Tabla1[N Doc], 0)),
IF(B148=6,
        INDEX(Tabla1[Exento], MATCH($A148, Tabla1[N Doc], 0)),
IF(B148=7,
        INDEX(#REF!, MATCH($A148, Tabla1[N Doc], 0)),
IF(B148=8,
        INDEX(#REF!, MATCH($A148, Tabla1[N Doc], 0)),
IF(B148=9,
        INDEX(Tabla1[Descuentos], MATCH($A148, Tabla1[N Doc], 0)),
""))))))))))</f>
        <v/>
      </c>
      <c r="G148" t="str">
        <f>IF(OR($A148="",$A148=0),"",IF(OR(B148=2,B148=4,B148=6,B148=7),
    INDEX(Tabla13[Ind impuestos], MATCH($A148, Tabla13[N Doc], 0)),
""))</f>
        <v/>
      </c>
      <c r="J148" t="str">
        <f>IF(OR($A148="",$A148=0),"",IF(OR(B148=2,B148=4,B148=6,B148=7),
    INDEX(Tabla1[CECO], MATCH($A148, Tabla1[N Doc], 0)),
""))</f>
        <v/>
      </c>
      <c r="M148" t="str">
        <f>IF(C148=31,INDEX(Tabla1[Descripción], MATCH($A148, Tabla1[N Doc], 0)),"")</f>
        <v/>
      </c>
    </row>
    <row r="149" spans="1:13" x14ac:dyDescent="0.3">
      <c r="A149" t="str" cm="1">
        <f t="array" ref="A149">INDEX(Tabla1[N Doc], ROUNDUP((ROW()-1)/9, 0))</f>
        <v/>
      </c>
      <c r="B149" t="str">
        <f>IF(OR(A149="",A149=0),"",CHOOSE(
    COUNTIF($A$2:A149,A149),
    1,2,3,4,5,6,7,8,9
))</f>
        <v/>
      </c>
      <c r="C149" t="str">
        <f t="shared" si="2"/>
        <v/>
      </c>
      <c r="D149" s="7" t="str" cm="1">
        <f t="array" ref="D149">IF(OR($A149="",$A149=0),"",
IF(AND(INDEX(Formulario!$H$14:$H$100, $A149)="Si", C149&lt;&gt;31),
        VLOOKUP("cta puente",'Descripciones de gastos'!G:H, 2, FALSE),
IF(B149=1,
        INDEX(Tabla13[Titular], MATCH($A149, Tabla1[N Doc], 0)),
IF(B149=2,
        INDEX(Tabla1[Cuenta contable], MATCH($A149, Tabla1[N Doc], 0)),
IF(B149=3,
        INDEX(Tabla13[Cta Iva 22], MATCH($A149, Tabla1[N Doc], 0)),
IF(B149=4,
        INDEX(Tabla1[Cuenta contable], MATCH($A149, Tabla1[N Doc], 0)),
IF(B149=5,
        INDEX(Tabla13[Cta Iva 10], MATCH($A149, Tabla1[N Doc], 0)),
IF(B149=6,
        INDEX(Tabla1[Cuenta contable], MATCH($A149, Tabla1[N Doc], 0)),
IF(B149=7,
        INDEX(Tabla1[Cuenta contable], MATCH($A149, Tabla1[N Doc], 0)),
IF(B149=8,
        IF(INDEX(Tabla1[Tipo IVA], MATCH($A149, Tabla1[N Doc], 0))="22%",
             INDEX(Tabla13[Cta Iva 22], MATCH($A149, Tabla1[N Doc], 0)),
             INDEX(Tabla13[Cta Iva 10], MATCH($A149, Tabla1[N Doc], 0))),
IF(B149=9,
        INDEX(Tabla1[Cuenta contable], MATCH($A149, Tabla1[N Doc], 0))
)))))))))))</f>
        <v/>
      </c>
      <c r="F149" t="str">
        <f>IF(OR($A149="",$A149=0),"",IF(B149=1,
        INDEX(Tabla1[Importe total], MATCH($A149, Tabla1[N Doc], 0)),
IF(B149=2,
        INDEX(Tabla1[Base imponible 22], MATCH($A149, Tabla1[N Doc], 0)),
IF(B149=3,
        INDEX(Tabla1[Iva 22], MATCH($A149, Tabla1[N Doc], 0)),
IF(B149=4,
        INDEX(Tabla1[Base imponible 10], MATCH($A149, Tabla1[N Doc], 0)),
IF(B149=5,
        INDEX(Tabla1[Iva 10], MATCH($A149, Tabla1[N Doc], 0)),
IF(B149=6,
        INDEX(Tabla1[Exento], MATCH($A149, Tabla1[N Doc], 0)),
IF(B149=7,
        INDEX(#REF!, MATCH($A149, Tabla1[N Doc], 0)),
IF(B149=8,
        INDEX(#REF!, MATCH($A149, Tabla1[N Doc], 0)),
IF(B149=9,
        INDEX(Tabla1[Descuentos], MATCH($A149, Tabla1[N Doc], 0)),
""))))))))))</f>
        <v/>
      </c>
      <c r="G149" t="str">
        <f>IF(OR($A149="",$A149=0),"",IF(OR(B149=2,B149=4,B149=6,B149=7),
    INDEX(Tabla13[Ind impuestos], MATCH($A149, Tabla13[N Doc], 0)),
""))</f>
        <v/>
      </c>
      <c r="J149" t="str">
        <f>IF(OR($A149="",$A149=0),"",IF(OR(B149=2,B149=4,B149=6,B149=7),
    INDEX(Tabla1[CECO], MATCH($A149, Tabla1[N Doc], 0)),
""))</f>
        <v/>
      </c>
      <c r="M149" t="str">
        <f>IF(C149=31,INDEX(Tabla1[Descripción], MATCH($A149, Tabla1[N Doc], 0)),"")</f>
        <v/>
      </c>
    </row>
    <row r="150" spans="1:13" x14ac:dyDescent="0.3">
      <c r="A150" t="str" cm="1">
        <f t="array" ref="A150">INDEX(Tabla1[N Doc], ROUNDUP((ROW()-1)/9, 0))</f>
        <v/>
      </c>
      <c r="B150" t="str">
        <f>IF(OR(A150="",A150=0),"",CHOOSE(
    COUNTIF($A$2:A150,A150),
    1,2,3,4,5,6,7,8,9
))</f>
        <v/>
      </c>
      <c r="C150" t="str">
        <f t="shared" si="2"/>
        <v/>
      </c>
      <c r="D150" s="7" t="str" cm="1">
        <f t="array" ref="D150">IF(OR($A150="",$A150=0),"",
IF(AND(INDEX(Formulario!$H$14:$H$100, $A150)="Si", C150&lt;&gt;31),
        VLOOKUP("cta puente",'Descripciones de gastos'!G:H, 2, FALSE),
IF(B150=1,
        INDEX(Tabla13[Titular], MATCH($A150, Tabla1[N Doc], 0)),
IF(B150=2,
        INDEX(Tabla1[Cuenta contable], MATCH($A150, Tabla1[N Doc], 0)),
IF(B150=3,
        INDEX(Tabla13[Cta Iva 22], MATCH($A150, Tabla1[N Doc], 0)),
IF(B150=4,
        INDEX(Tabla1[Cuenta contable], MATCH($A150, Tabla1[N Doc], 0)),
IF(B150=5,
        INDEX(Tabla13[Cta Iva 10], MATCH($A150, Tabla1[N Doc], 0)),
IF(B150=6,
        INDEX(Tabla1[Cuenta contable], MATCH($A150, Tabla1[N Doc], 0)),
IF(B150=7,
        INDEX(Tabla1[Cuenta contable], MATCH($A150, Tabla1[N Doc], 0)),
IF(B150=8,
        IF(INDEX(Tabla1[Tipo IVA], MATCH($A150, Tabla1[N Doc], 0))="22%",
             INDEX(Tabla13[Cta Iva 22], MATCH($A150, Tabla1[N Doc], 0)),
             INDEX(Tabla13[Cta Iva 10], MATCH($A150, Tabla1[N Doc], 0))),
IF(B150=9,
        INDEX(Tabla1[Cuenta contable], MATCH($A150, Tabla1[N Doc], 0))
)))))))))))</f>
        <v/>
      </c>
      <c r="F150" t="str">
        <f>IF(OR($A150="",$A150=0),"",IF(B150=1,
        INDEX(Tabla1[Importe total], MATCH($A150, Tabla1[N Doc], 0)),
IF(B150=2,
        INDEX(Tabla1[Base imponible 22], MATCH($A150, Tabla1[N Doc], 0)),
IF(B150=3,
        INDEX(Tabla1[Iva 22], MATCH($A150, Tabla1[N Doc], 0)),
IF(B150=4,
        INDEX(Tabla1[Base imponible 10], MATCH($A150, Tabla1[N Doc], 0)),
IF(B150=5,
        INDEX(Tabla1[Iva 10], MATCH($A150, Tabla1[N Doc], 0)),
IF(B150=6,
        INDEX(Tabla1[Exento], MATCH($A150, Tabla1[N Doc], 0)),
IF(B150=7,
        INDEX(#REF!, MATCH($A150, Tabla1[N Doc], 0)),
IF(B150=8,
        INDEX(#REF!, MATCH($A150, Tabla1[N Doc], 0)),
IF(B150=9,
        INDEX(Tabla1[Descuentos], MATCH($A150, Tabla1[N Doc], 0)),
""))))))))))</f>
        <v/>
      </c>
      <c r="G150" t="str">
        <f>IF(OR($A150="",$A150=0),"",IF(OR(B150=2,B150=4,B150=6,B150=7),
    INDEX(Tabla13[Ind impuestos], MATCH($A150, Tabla13[N Doc], 0)),
""))</f>
        <v/>
      </c>
      <c r="J150" t="str">
        <f>IF(OR($A150="",$A150=0),"",IF(OR(B150=2,B150=4,B150=6,B150=7),
    INDEX(Tabla1[CECO], MATCH($A150, Tabla1[N Doc], 0)),
""))</f>
        <v/>
      </c>
      <c r="M150" t="str">
        <f>IF(C150=31,INDEX(Tabla1[Descripción], MATCH($A150, Tabla1[N Doc], 0)),"")</f>
        <v/>
      </c>
    </row>
    <row r="151" spans="1:13" x14ac:dyDescent="0.3">
      <c r="A151" t="str" cm="1">
        <f t="array" ref="A151">INDEX(Tabla1[N Doc], ROUNDUP((ROW()-1)/9, 0))</f>
        <v/>
      </c>
      <c r="B151" t="str">
        <f>IF(OR(A151="",A151=0),"",CHOOSE(
    COUNTIF($A$2:A151,A151),
    1,2,3,4,5,6,7,8,9
))</f>
        <v/>
      </c>
      <c r="C151" t="str">
        <f t="shared" si="2"/>
        <v/>
      </c>
      <c r="D151" s="7" t="str" cm="1">
        <f t="array" ref="D151">IF(OR($A151="",$A151=0),"",
IF(AND(INDEX(Formulario!$H$14:$H$100, $A151)="Si", C151&lt;&gt;31),
        VLOOKUP("cta puente",'Descripciones de gastos'!G:H, 2, FALSE),
IF(B151=1,
        INDEX(Tabla13[Titular], MATCH($A151, Tabla1[N Doc], 0)),
IF(B151=2,
        INDEX(Tabla1[Cuenta contable], MATCH($A151, Tabla1[N Doc], 0)),
IF(B151=3,
        INDEX(Tabla13[Cta Iva 22], MATCH($A151, Tabla1[N Doc], 0)),
IF(B151=4,
        INDEX(Tabla1[Cuenta contable], MATCH($A151, Tabla1[N Doc], 0)),
IF(B151=5,
        INDEX(Tabla13[Cta Iva 10], MATCH($A151, Tabla1[N Doc], 0)),
IF(B151=6,
        INDEX(Tabla1[Cuenta contable], MATCH($A151, Tabla1[N Doc], 0)),
IF(B151=7,
        INDEX(Tabla1[Cuenta contable], MATCH($A151, Tabla1[N Doc], 0)),
IF(B151=8,
        IF(INDEX(Tabla1[Tipo IVA], MATCH($A151, Tabla1[N Doc], 0))="22%",
             INDEX(Tabla13[Cta Iva 22], MATCH($A151, Tabla1[N Doc], 0)),
             INDEX(Tabla13[Cta Iva 10], MATCH($A151, Tabla1[N Doc], 0))),
IF(B151=9,
        INDEX(Tabla1[Cuenta contable], MATCH($A151, Tabla1[N Doc], 0))
)))))))))))</f>
        <v/>
      </c>
      <c r="F151" t="str">
        <f>IF(OR($A151="",$A151=0),"",IF(B151=1,
        INDEX(Tabla1[Importe total], MATCH($A151, Tabla1[N Doc], 0)),
IF(B151=2,
        INDEX(Tabla1[Base imponible 22], MATCH($A151, Tabla1[N Doc], 0)),
IF(B151=3,
        INDEX(Tabla1[Iva 22], MATCH($A151, Tabla1[N Doc], 0)),
IF(B151=4,
        INDEX(Tabla1[Base imponible 10], MATCH($A151, Tabla1[N Doc], 0)),
IF(B151=5,
        INDEX(Tabla1[Iva 10], MATCH($A151, Tabla1[N Doc], 0)),
IF(B151=6,
        INDEX(Tabla1[Exento], MATCH($A151, Tabla1[N Doc], 0)),
IF(B151=7,
        INDEX(#REF!, MATCH($A151, Tabla1[N Doc], 0)),
IF(B151=8,
        INDEX(#REF!, MATCH($A151, Tabla1[N Doc], 0)),
IF(B151=9,
        INDEX(Tabla1[Descuentos], MATCH($A151, Tabla1[N Doc], 0)),
""))))))))))</f>
        <v/>
      </c>
      <c r="G151" t="str">
        <f>IF(OR($A151="",$A151=0),"",IF(OR(B151=2,B151=4,B151=6,B151=7),
    INDEX(Tabla13[Ind impuestos], MATCH($A151, Tabla13[N Doc], 0)),
""))</f>
        <v/>
      </c>
      <c r="J151" t="str">
        <f>IF(OR($A151="",$A151=0),"",IF(OR(B151=2,B151=4,B151=6,B151=7),
    INDEX(Tabla1[CECO], MATCH($A151, Tabla1[N Doc], 0)),
""))</f>
        <v/>
      </c>
      <c r="M151" t="str">
        <f>IF(C151=31,INDEX(Tabla1[Descripción], MATCH($A151, Tabla1[N Doc], 0)),"")</f>
        <v/>
      </c>
    </row>
    <row r="152" spans="1:13" x14ac:dyDescent="0.3">
      <c r="A152" t="str" cm="1">
        <f t="array" ref="A152">INDEX(Tabla1[N Doc], ROUNDUP((ROW()-1)/9, 0))</f>
        <v/>
      </c>
      <c r="B152" t="str">
        <f>IF(OR(A152="",A152=0),"",CHOOSE(
    COUNTIF($A$2:A152,A152),
    1,2,3,4,5,6,7,8,9
))</f>
        <v/>
      </c>
      <c r="C152" t="str">
        <f t="shared" si="2"/>
        <v/>
      </c>
      <c r="D152" s="7" t="str" cm="1">
        <f t="array" ref="D152">IF(OR($A152="",$A152=0),"",
IF(AND(INDEX(Formulario!$H$14:$H$100, $A152)="Si", C152&lt;&gt;31),
        VLOOKUP("cta puente",'Descripciones de gastos'!G:H, 2, FALSE),
IF(B152=1,
        INDEX(Tabla13[Titular], MATCH($A152, Tabla1[N Doc], 0)),
IF(B152=2,
        INDEX(Tabla1[Cuenta contable], MATCH($A152, Tabla1[N Doc], 0)),
IF(B152=3,
        INDEX(Tabla13[Cta Iva 22], MATCH($A152, Tabla1[N Doc], 0)),
IF(B152=4,
        INDEX(Tabla1[Cuenta contable], MATCH($A152, Tabla1[N Doc], 0)),
IF(B152=5,
        INDEX(Tabla13[Cta Iva 10], MATCH($A152, Tabla1[N Doc], 0)),
IF(B152=6,
        INDEX(Tabla1[Cuenta contable], MATCH($A152, Tabla1[N Doc], 0)),
IF(B152=7,
        INDEX(Tabla1[Cuenta contable], MATCH($A152, Tabla1[N Doc], 0)),
IF(B152=8,
        IF(INDEX(Tabla1[Tipo IVA], MATCH($A152, Tabla1[N Doc], 0))="22%",
             INDEX(Tabla13[Cta Iva 22], MATCH($A152, Tabla1[N Doc], 0)),
             INDEX(Tabla13[Cta Iva 10], MATCH($A152, Tabla1[N Doc], 0))),
IF(B152=9,
        INDEX(Tabla1[Cuenta contable], MATCH($A152, Tabla1[N Doc], 0))
)))))))))))</f>
        <v/>
      </c>
      <c r="F152" t="str">
        <f>IF(OR($A152="",$A152=0),"",IF(B152=1,
        INDEX(Tabla1[Importe total], MATCH($A152, Tabla1[N Doc], 0)),
IF(B152=2,
        INDEX(Tabla1[Base imponible 22], MATCH($A152, Tabla1[N Doc], 0)),
IF(B152=3,
        INDEX(Tabla1[Iva 22], MATCH($A152, Tabla1[N Doc], 0)),
IF(B152=4,
        INDEX(Tabla1[Base imponible 10], MATCH($A152, Tabla1[N Doc], 0)),
IF(B152=5,
        INDEX(Tabla1[Iva 10], MATCH($A152, Tabla1[N Doc], 0)),
IF(B152=6,
        INDEX(Tabla1[Exento], MATCH($A152, Tabla1[N Doc], 0)),
IF(B152=7,
        INDEX(#REF!, MATCH($A152, Tabla1[N Doc], 0)),
IF(B152=8,
        INDEX(#REF!, MATCH($A152, Tabla1[N Doc], 0)),
IF(B152=9,
        INDEX(Tabla1[Descuentos], MATCH($A152, Tabla1[N Doc], 0)),
""))))))))))</f>
        <v/>
      </c>
      <c r="G152" t="str">
        <f>IF(OR($A152="",$A152=0),"",IF(OR(B152=2,B152=4,B152=6,B152=7),
    INDEX(Tabla13[Ind impuestos], MATCH($A152, Tabla13[N Doc], 0)),
""))</f>
        <v/>
      </c>
      <c r="J152" t="str">
        <f>IF(OR($A152="",$A152=0),"",IF(OR(B152=2,B152=4,B152=6,B152=7),
    INDEX(Tabla1[CECO], MATCH($A152, Tabla1[N Doc], 0)),
""))</f>
        <v/>
      </c>
      <c r="M152" t="str">
        <f>IF(C152=31,INDEX(Tabla1[Descripción], MATCH($A152, Tabla1[N Doc], 0)),"")</f>
        <v/>
      </c>
    </row>
    <row r="153" spans="1:13" x14ac:dyDescent="0.3">
      <c r="A153" t="str" cm="1">
        <f t="array" ref="A153">INDEX(Tabla1[N Doc], ROUNDUP((ROW()-1)/9, 0))</f>
        <v/>
      </c>
      <c r="B153" t="str">
        <f>IF(OR(A153="",A153=0),"",CHOOSE(
    COUNTIF($A$2:A153,A153),
    1,2,3,4,5,6,7,8,9
))</f>
        <v/>
      </c>
      <c r="C153" t="str">
        <f t="shared" si="2"/>
        <v/>
      </c>
      <c r="D153" s="7" t="str" cm="1">
        <f t="array" ref="D153">IF(OR($A153="",$A153=0),"",
IF(AND(INDEX(Formulario!$H$14:$H$100, $A153)="Si", C153&lt;&gt;31),
        VLOOKUP("cta puente",'Descripciones de gastos'!G:H, 2, FALSE),
IF(B153=1,
        INDEX(Tabla13[Titular], MATCH($A153, Tabla1[N Doc], 0)),
IF(B153=2,
        INDEX(Tabla1[Cuenta contable], MATCH($A153, Tabla1[N Doc], 0)),
IF(B153=3,
        INDEX(Tabla13[Cta Iva 22], MATCH($A153, Tabla1[N Doc], 0)),
IF(B153=4,
        INDEX(Tabla1[Cuenta contable], MATCH($A153, Tabla1[N Doc], 0)),
IF(B153=5,
        INDEX(Tabla13[Cta Iva 10], MATCH($A153, Tabla1[N Doc], 0)),
IF(B153=6,
        INDEX(Tabla1[Cuenta contable], MATCH($A153, Tabla1[N Doc], 0)),
IF(B153=7,
        INDEX(Tabla1[Cuenta contable], MATCH($A153, Tabla1[N Doc], 0)),
IF(B153=8,
        IF(INDEX(Tabla1[Tipo IVA], MATCH($A153, Tabla1[N Doc], 0))="22%",
             INDEX(Tabla13[Cta Iva 22], MATCH($A153, Tabla1[N Doc], 0)),
             INDEX(Tabla13[Cta Iva 10], MATCH($A153, Tabla1[N Doc], 0))),
IF(B153=9,
        INDEX(Tabla1[Cuenta contable], MATCH($A153, Tabla1[N Doc], 0))
)))))))))))</f>
        <v/>
      </c>
      <c r="F153" t="str">
        <f>IF(OR($A153="",$A153=0),"",IF(B153=1,
        INDEX(Tabla1[Importe total], MATCH($A153, Tabla1[N Doc], 0)),
IF(B153=2,
        INDEX(Tabla1[Base imponible 22], MATCH($A153, Tabla1[N Doc], 0)),
IF(B153=3,
        INDEX(Tabla1[Iva 22], MATCH($A153, Tabla1[N Doc], 0)),
IF(B153=4,
        INDEX(Tabla1[Base imponible 10], MATCH($A153, Tabla1[N Doc], 0)),
IF(B153=5,
        INDEX(Tabla1[Iva 10], MATCH($A153, Tabla1[N Doc], 0)),
IF(B153=6,
        INDEX(Tabla1[Exento], MATCH($A153, Tabla1[N Doc], 0)),
IF(B153=7,
        INDEX(#REF!, MATCH($A153, Tabla1[N Doc], 0)),
IF(B153=8,
        INDEX(#REF!, MATCH($A153, Tabla1[N Doc], 0)),
IF(B153=9,
        INDEX(Tabla1[Descuentos], MATCH($A153, Tabla1[N Doc], 0)),
""))))))))))</f>
        <v/>
      </c>
      <c r="G153" t="str">
        <f>IF(OR($A153="",$A153=0),"",IF(OR(B153=2,B153=4,B153=6,B153=7),
    INDEX(Tabla13[Ind impuestos], MATCH($A153, Tabla13[N Doc], 0)),
""))</f>
        <v/>
      </c>
      <c r="J153" t="str">
        <f>IF(OR($A153="",$A153=0),"",IF(OR(B153=2,B153=4,B153=6,B153=7),
    INDEX(Tabla1[CECO], MATCH($A153, Tabla1[N Doc], 0)),
""))</f>
        <v/>
      </c>
      <c r="M153" t="str">
        <f>IF(C153=31,INDEX(Tabla1[Descripción], MATCH($A153, Tabla1[N Doc], 0)),"")</f>
        <v/>
      </c>
    </row>
    <row r="154" spans="1:13" x14ac:dyDescent="0.3">
      <c r="A154" t="str" cm="1">
        <f t="array" ref="A154">INDEX(Tabla1[N Doc], ROUNDUP((ROW()-1)/9, 0))</f>
        <v/>
      </c>
      <c r="B154" t="str">
        <f>IF(OR(A154="",A154=0),"",CHOOSE(
    COUNTIF($A$2:A154,A154),
    1,2,3,4,5,6,7,8,9
))</f>
        <v/>
      </c>
      <c r="C154" t="str">
        <f t="shared" si="2"/>
        <v/>
      </c>
      <c r="D154" s="7" t="str" cm="1">
        <f t="array" ref="D154">IF(OR($A154="",$A154=0),"",
IF(AND(INDEX(Formulario!$H$14:$H$100, $A154)="Si", C154&lt;&gt;31),
        VLOOKUP("cta puente",'Descripciones de gastos'!G:H, 2, FALSE),
IF(B154=1,
        INDEX(Tabla13[Titular], MATCH($A154, Tabla1[N Doc], 0)),
IF(B154=2,
        INDEX(Tabla1[Cuenta contable], MATCH($A154, Tabla1[N Doc], 0)),
IF(B154=3,
        INDEX(Tabla13[Cta Iva 22], MATCH($A154, Tabla1[N Doc], 0)),
IF(B154=4,
        INDEX(Tabla1[Cuenta contable], MATCH($A154, Tabla1[N Doc], 0)),
IF(B154=5,
        INDEX(Tabla13[Cta Iva 10], MATCH($A154, Tabla1[N Doc], 0)),
IF(B154=6,
        INDEX(Tabla1[Cuenta contable], MATCH($A154, Tabla1[N Doc], 0)),
IF(B154=7,
        INDEX(Tabla1[Cuenta contable], MATCH($A154, Tabla1[N Doc], 0)),
IF(B154=8,
        IF(INDEX(Tabla1[Tipo IVA], MATCH($A154, Tabla1[N Doc], 0))="22%",
             INDEX(Tabla13[Cta Iva 22], MATCH($A154, Tabla1[N Doc], 0)),
             INDEX(Tabla13[Cta Iva 10], MATCH($A154, Tabla1[N Doc], 0))),
IF(B154=9,
        INDEX(Tabla1[Cuenta contable], MATCH($A154, Tabla1[N Doc], 0))
)))))))))))</f>
        <v/>
      </c>
      <c r="F154" t="str">
        <f>IF(OR($A154="",$A154=0),"",IF(B154=1,
        INDEX(Tabla1[Importe total], MATCH($A154, Tabla1[N Doc], 0)),
IF(B154=2,
        INDEX(Tabla1[Base imponible 22], MATCH($A154, Tabla1[N Doc], 0)),
IF(B154=3,
        INDEX(Tabla1[Iva 22], MATCH($A154, Tabla1[N Doc], 0)),
IF(B154=4,
        INDEX(Tabla1[Base imponible 10], MATCH($A154, Tabla1[N Doc], 0)),
IF(B154=5,
        INDEX(Tabla1[Iva 10], MATCH($A154, Tabla1[N Doc], 0)),
IF(B154=6,
        INDEX(Tabla1[Exento], MATCH($A154, Tabla1[N Doc], 0)),
IF(B154=7,
        INDEX(#REF!, MATCH($A154, Tabla1[N Doc], 0)),
IF(B154=8,
        INDEX(#REF!, MATCH($A154, Tabla1[N Doc], 0)),
IF(B154=9,
        INDEX(Tabla1[Descuentos], MATCH($A154, Tabla1[N Doc], 0)),
""))))))))))</f>
        <v/>
      </c>
      <c r="G154" t="str">
        <f>IF(OR($A154="",$A154=0),"",IF(OR(B154=2,B154=4,B154=6,B154=7),
    INDEX(Tabla13[Ind impuestos], MATCH($A154, Tabla13[N Doc], 0)),
""))</f>
        <v/>
      </c>
      <c r="J154" t="str">
        <f>IF(OR($A154="",$A154=0),"",IF(OR(B154=2,B154=4,B154=6,B154=7),
    INDEX(Tabla1[CECO], MATCH($A154, Tabla1[N Doc], 0)),
""))</f>
        <v/>
      </c>
      <c r="M154" t="str">
        <f>IF(C154=31,INDEX(Tabla1[Descripción], MATCH($A154, Tabla1[N Doc], 0)),"")</f>
        <v/>
      </c>
    </row>
    <row r="155" spans="1:13" x14ac:dyDescent="0.3">
      <c r="A155" t="str" cm="1">
        <f t="array" ref="A155">INDEX(Tabla1[N Doc], ROUNDUP((ROW()-1)/9, 0))</f>
        <v/>
      </c>
      <c r="B155" t="str">
        <f>IF(OR(A155="",A155=0),"",CHOOSE(
    COUNTIF($A$2:A155,A155),
    1,2,3,4,5,6,7,8,9
))</f>
        <v/>
      </c>
      <c r="C155" t="str">
        <f t="shared" si="2"/>
        <v/>
      </c>
      <c r="D155" s="7" t="str" cm="1">
        <f t="array" ref="D155">IF(OR($A155="",$A155=0),"",
IF(AND(INDEX(Formulario!$H$14:$H$100, $A155)="Si", C155&lt;&gt;31),
        VLOOKUP("cta puente",'Descripciones de gastos'!G:H, 2, FALSE),
IF(B155=1,
        INDEX(Tabla13[Titular], MATCH($A155, Tabla1[N Doc], 0)),
IF(B155=2,
        INDEX(Tabla1[Cuenta contable], MATCH($A155, Tabla1[N Doc], 0)),
IF(B155=3,
        INDEX(Tabla13[Cta Iva 22], MATCH($A155, Tabla1[N Doc], 0)),
IF(B155=4,
        INDEX(Tabla1[Cuenta contable], MATCH($A155, Tabla1[N Doc], 0)),
IF(B155=5,
        INDEX(Tabla13[Cta Iva 10], MATCH($A155, Tabla1[N Doc], 0)),
IF(B155=6,
        INDEX(Tabla1[Cuenta contable], MATCH($A155, Tabla1[N Doc], 0)),
IF(B155=7,
        INDEX(Tabla1[Cuenta contable], MATCH($A155, Tabla1[N Doc], 0)),
IF(B155=8,
        IF(INDEX(Tabla1[Tipo IVA], MATCH($A155, Tabla1[N Doc], 0))="22%",
             INDEX(Tabla13[Cta Iva 22], MATCH($A155, Tabla1[N Doc], 0)),
             INDEX(Tabla13[Cta Iva 10], MATCH($A155, Tabla1[N Doc], 0))),
IF(B155=9,
        INDEX(Tabla1[Cuenta contable], MATCH($A155, Tabla1[N Doc], 0))
)))))))))))</f>
        <v/>
      </c>
      <c r="F155" t="str">
        <f>IF(OR($A155="",$A155=0),"",IF(B155=1,
        INDEX(Tabla1[Importe total], MATCH($A155, Tabla1[N Doc], 0)),
IF(B155=2,
        INDEX(Tabla1[Base imponible 22], MATCH($A155, Tabla1[N Doc], 0)),
IF(B155=3,
        INDEX(Tabla1[Iva 22], MATCH($A155, Tabla1[N Doc], 0)),
IF(B155=4,
        INDEX(Tabla1[Base imponible 10], MATCH($A155, Tabla1[N Doc], 0)),
IF(B155=5,
        INDEX(Tabla1[Iva 10], MATCH($A155, Tabla1[N Doc], 0)),
IF(B155=6,
        INDEX(Tabla1[Exento], MATCH($A155, Tabla1[N Doc], 0)),
IF(B155=7,
        INDEX(#REF!, MATCH($A155, Tabla1[N Doc], 0)),
IF(B155=8,
        INDEX(#REF!, MATCH($A155, Tabla1[N Doc], 0)),
IF(B155=9,
        INDEX(Tabla1[Descuentos], MATCH($A155, Tabla1[N Doc], 0)),
""))))))))))</f>
        <v/>
      </c>
      <c r="G155" t="str">
        <f>IF(OR($A155="",$A155=0),"",IF(OR(B155=2,B155=4,B155=6,B155=7),
    INDEX(Tabla13[Ind impuestos], MATCH($A155, Tabla13[N Doc], 0)),
""))</f>
        <v/>
      </c>
      <c r="J155" t="str">
        <f>IF(OR($A155="",$A155=0),"",IF(OR(B155=2,B155=4,B155=6,B155=7),
    INDEX(Tabla1[CECO], MATCH($A155, Tabla1[N Doc], 0)),
""))</f>
        <v/>
      </c>
      <c r="M155" t="str">
        <f>IF(C155=31,INDEX(Tabla1[Descripción], MATCH($A155, Tabla1[N Doc], 0)),"")</f>
        <v/>
      </c>
    </row>
    <row r="156" spans="1:13" x14ac:dyDescent="0.3">
      <c r="A156" t="str" cm="1">
        <f t="array" ref="A156">INDEX(Tabla1[N Doc], ROUNDUP((ROW()-1)/9, 0))</f>
        <v/>
      </c>
      <c r="B156" t="str">
        <f>IF(OR(A156="",A156=0),"",CHOOSE(
    COUNTIF($A$2:A156,A156),
    1,2,3,4,5,6,7,8,9
))</f>
        <v/>
      </c>
      <c r="C156" t="str">
        <f t="shared" si="2"/>
        <v/>
      </c>
      <c r="D156" s="7" t="str" cm="1">
        <f t="array" ref="D156">IF(OR($A156="",$A156=0),"",
IF(AND(INDEX(Formulario!$H$14:$H$100, $A156)="Si", C156&lt;&gt;31),
        VLOOKUP("cta puente",'Descripciones de gastos'!G:H, 2, FALSE),
IF(B156=1,
        INDEX(Tabla13[Titular], MATCH($A156, Tabla1[N Doc], 0)),
IF(B156=2,
        INDEX(Tabla1[Cuenta contable], MATCH($A156, Tabla1[N Doc], 0)),
IF(B156=3,
        INDEX(Tabla13[Cta Iva 22], MATCH($A156, Tabla1[N Doc], 0)),
IF(B156=4,
        INDEX(Tabla1[Cuenta contable], MATCH($A156, Tabla1[N Doc], 0)),
IF(B156=5,
        INDEX(Tabla13[Cta Iva 10], MATCH($A156, Tabla1[N Doc], 0)),
IF(B156=6,
        INDEX(Tabla1[Cuenta contable], MATCH($A156, Tabla1[N Doc], 0)),
IF(B156=7,
        INDEX(Tabla1[Cuenta contable], MATCH($A156, Tabla1[N Doc], 0)),
IF(B156=8,
        IF(INDEX(Tabla1[Tipo IVA], MATCH($A156, Tabla1[N Doc], 0))="22%",
             INDEX(Tabla13[Cta Iva 22], MATCH($A156, Tabla1[N Doc], 0)),
             INDEX(Tabla13[Cta Iva 10], MATCH($A156, Tabla1[N Doc], 0))),
IF(B156=9,
        INDEX(Tabla1[Cuenta contable], MATCH($A156, Tabla1[N Doc], 0))
)))))))))))</f>
        <v/>
      </c>
      <c r="F156" t="str">
        <f>IF(OR($A156="",$A156=0),"",IF(B156=1,
        INDEX(Tabla1[Importe total], MATCH($A156, Tabla1[N Doc], 0)),
IF(B156=2,
        INDEX(Tabla1[Base imponible 22], MATCH($A156, Tabla1[N Doc], 0)),
IF(B156=3,
        INDEX(Tabla1[Iva 22], MATCH($A156, Tabla1[N Doc], 0)),
IF(B156=4,
        INDEX(Tabla1[Base imponible 10], MATCH($A156, Tabla1[N Doc], 0)),
IF(B156=5,
        INDEX(Tabla1[Iva 10], MATCH($A156, Tabla1[N Doc], 0)),
IF(B156=6,
        INDEX(Tabla1[Exento], MATCH($A156, Tabla1[N Doc], 0)),
IF(B156=7,
        INDEX(#REF!, MATCH($A156, Tabla1[N Doc], 0)),
IF(B156=8,
        INDEX(#REF!, MATCH($A156, Tabla1[N Doc], 0)),
IF(B156=9,
        INDEX(Tabla1[Descuentos], MATCH($A156, Tabla1[N Doc], 0)),
""))))))))))</f>
        <v/>
      </c>
      <c r="G156" t="str">
        <f>IF(OR($A156="",$A156=0),"",IF(OR(B156=2,B156=4,B156=6,B156=7),
    INDEX(Tabla13[Ind impuestos], MATCH($A156, Tabla13[N Doc], 0)),
""))</f>
        <v/>
      </c>
      <c r="J156" t="str">
        <f>IF(OR($A156="",$A156=0),"",IF(OR(B156=2,B156=4,B156=6,B156=7),
    INDEX(Tabla1[CECO], MATCH($A156, Tabla1[N Doc], 0)),
""))</f>
        <v/>
      </c>
      <c r="M156" t="str">
        <f>IF(C156=31,INDEX(Tabla1[Descripción], MATCH($A156, Tabla1[N Doc], 0)),"")</f>
        <v/>
      </c>
    </row>
    <row r="157" spans="1:13" x14ac:dyDescent="0.3">
      <c r="A157" t="str" cm="1">
        <f t="array" ref="A157">INDEX(Tabla1[N Doc], ROUNDUP((ROW()-1)/9, 0))</f>
        <v/>
      </c>
      <c r="B157" t="str">
        <f>IF(OR(A157="",A157=0),"",CHOOSE(
    COUNTIF($A$2:A157,A157),
    1,2,3,4,5,6,7,8,9
))</f>
        <v/>
      </c>
      <c r="C157" t="str">
        <f t="shared" si="2"/>
        <v/>
      </c>
      <c r="D157" s="7" t="str" cm="1">
        <f t="array" ref="D157">IF(OR($A157="",$A157=0),"",
IF(AND(INDEX(Formulario!$H$14:$H$100, $A157)="Si", C157&lt;&gt;31),
        VLOOKUP("cta puente",'Descripciones de gastos'!G:H, 2, FALSE),
IF(B157=1,
        INDEX(Tabla13[Titular], MATCH($A157, Tabla1[N Doc], 0)),
IF(B157=2,
        INDEX(Tabla1[Cuenta contable], MATCH($A157, Tabla1[N Doc], 0)),
IF(B157=3,
        INDEX(Tabla13[Cta Iva 22], MATCH($A157, Tabla1[N Doc], 0)),
IF(B157=4,
        INDEX(Tabla1[Cuenta contable], MATCH($A157, Tabla1[N Doc], 0)),
IF(B157=5,
        INDEX(Tabla13[Cta Iva 10], MATCH($A157, Tabla1[N Doc], 0)),
IF(B157=6,
        INDEX(Tabla1[Cuenta contable], MATCH($A157, Tabla1[N Doc], 0)),
IF(B157=7,
        INDEX(Tabla1[Cuenta contable], MATCH($A157, Tabla1[N Doc], 0)),
IF(B157=8,
        IF(INDEX(Tabla1[Tipo IVA], MATCH($A157, Tabla1[N Doc], 0))="22%",
             INDEX(Tabla13[Cta Iva 22], MATCH($A157, Tabla1[N Doc], 0)),
             INDEX(Tabla13[Cta Iva 10], MATCH($A157, Tabla1[N Doc], 0))),
IF(B157=9,
        INDEX(Tabla1[Cuenta contable], MATCH($A157, Tabla1[N Doc], 0))
)))))))))))</f>
        <v/>
      </c>
      <c r="F157" t="str">
        <f>IF(OR($A157="",$A157=0),"",IF(B157=1,
        INDEX(Tabla1[Importe total], MATCH($A157, Tabla1[N Doc], 0)),
IF(B157=2,
        INDEX(Tabla1[Base imponible 22], MATCH($A157, Tabla1[N Doc], 0)),
IF(B157=3,
        INDEX(Tabla1[Iva 22], MATCH($A157, Tabla1[N Doc], 0)),
IF(B157=4,
        INDEX(Tabla1[Base imponible 10], MATCH($A157, Tabla1[N Doc], 0)),
IF(B157=5,
        INDEX(Tabla1[Iva 10], MATCH($A157, Tabla1[N Doc], 0)),
IF(B157=6,
        INDEX(Tabla1[Exento], MATCH($A157, Tabla1[N Doc], 0)),
IF(B157=7,
        INDEX(#REF!, MATCH($A157, Tabla1[N Doc], 0)),
IF(B157=8,
        INDEX(#REF!, MATCH($A157, Tabla1[N Doc], 0)),
IF(B157=9,
        INDEX(Tabla1[Descuentos], MATCH($A157, Tabla1[N Doc], 0)),
""))))))))))</f>
        <v/>
      </c>
      <c r="G157" t="str">
        <f>IF(OR($A157="",$A157=0),"",IF(OR(B157=2,B157=4,B157=6,B157=7),
    INDEX(Tabla13[Ind impuestos], MATCH($A157, Tabla13[N Doc], 0)),
""))</f>
        <v/>
      </c>
      <c r="J157" t="str">
        <f>IF(OR($A157="",$A157=0),"",IF(OR(B157=2,B157=4,B157=6,B157=7),
    INDEX(Tabla1[CECO], MATCH($A157, Tabla1[N Doc], 0)),
""))</f>
        <v/>
      </c>
      <c r="M157" t="str">
        <f>IF(C157=31,INDEX(Tabla1[Descripción], MATCH($A157, Tabla1[N Doc], 0)),"")</f>
        <v/>
      </c>
    </row>
    <row r="158" spans="1:13" x14ac:dyDescent="0.3">
      <c r="A158" t="str" cm="1">
        <f t="array" ref="A158">INDEX(Tabla1[N Doc], ROUNDUP((ROW()-1)/9, 0))</f>
        <v/>
      </c>
      <c r="B158" t="str">
        <f>IF(OR(A158="",A158=0),"",CHOOSE(
    COUNTIF($A$2:A158,A158),
    1,2,3,4,5,6,7,8,9
))</f>
        <v/>
      </c>
      <c r="C158" t="str">
        <f t="shared" si="2"/>
        <v/>
      </c>
      <c r="D158" s="7" t="str" cm="1">
        <f t="array" ref="D158">IF(OR($A158="",$A158=0),"",
IF(AND(INDEX(Formulario!$H$14:$H$100, $A158)="Si", C158&lt;&gt;31),
        VLOOKUP("cta puente",'Descripciones de gastos'!G:H, 2, FALSE),
IF(B158=1,
        INDEX(Tabla13[Titular], MATCH($A158, Tabla1[N Doc], 0)),
IF(B158=2,
        INDEX(Tabla1[Cuenta contable], MATCH($A158, Tabla1[N Doc], 0)),
IF(B158=3,
        INDEX(Tabla13[Cta Iva 22], MATCH($A158, Tabla1[N Doc], 0)),
IF(B158=4,
        INDEX(Tabla1[Cuenta contable], MATCH($A158, Tabla1[N Doc], 0)),
IF(B158=5,
        INDEX(Tabla13[Cta Iva 10], MATCH($A158, Tabla1[N Doc], 0)),
IF(B158=6,
        INDEX(Tabla1[Cuenta contable], MATCH($A158, Tabla1[N Doc], 0)),
IF(B158=7,
        INDEX(Tabla1[Cuenta contable], MATCH($A158, Tabla1[N Doc], 0)),
IF(B158=8,
        IF(INDEX(Tabla1[Tipo IVA], MATCH($A158, Tabla1[N Doc], 0))="22%",
             INDEX(Tabla13[Cta Iva 22], MATCH($A158, Tabla1[N Doc], 0)),
             INDEX(Tabla13[Cta Iva 10], MATCH($A158, Tabla1[N Doc], 0))),
IF(B158=9,
        INDEX(Tabla1[Cuenta contable], MATCH($A158, Tabla1[N Doc], 0))
)))))))))))</f>
        <v/>
      </c>
      <c r="F158" t="str">
        <f>IF(OR($A158="",$A158=0),"",IF(B158=1,
        INDEX(Tabla1[Importe total], MATCH($A158, Tabla1[N Doc], 0)),
IF(B158=2,
        INDEX(Tabla1[Base imponible 22], MATCH($A158, Tabla1[N Doc], 0)),
IF(B158=3,
        INDEX(Tabla1[Iva 22], MATCH($A158, Tabla1[N Doc], 0)),
IF(B158=4,
        INDEX(Tabla1[Base imponible 10], MATCH($A158, Tabla1[N Doc], 0)),
IF(B158=5,
        INDEX(Tabla1[Iva 10], MATCH($A158, Tabla1[N Doc], 0)),
IF(B158=6,
        INDEX(Tabla1[Exento], MATCH($A158, Tabla1[N Doc], 0)),
IF(B158=7,
        INDEX(#REF!, MATCH($A158, Tabla1[N Doc], 0)),
IF(B158=8,
        INDEX(#REF!, MATCH($A158, Tabla1[N Doc], 0)),
IF(B158=9,
        INDEX(Tabla1[Descuentos], MATCH($A158, Tabla1[N Doc], 0)),
""))))))))))</f>
        <v/>
      </c>
      <c r="G158" t="str">
        <f>IF(OR($A158="",$A158=0),"",IF(OR(B158=2,B158=4,B158=6,B158=7),
    INDEX(Tabla13[Ind impuestos], MATCH($A158, Tabla13[N Doc], 0)),
""))</f>
        <v/>
      </c>
      <c r="J158" t="str">
        <f>IF(OR($A158="",$A158=0),"",IF(OR(B158=2,B158=4,B158=6,B158=7),
    INDEX(Tabla1[CECO], MATCH($A158, Tabla1[N Doc], 0)),
""))</f>
        <v/>
      </c>
      <c r="M158" t="str">
        <f>IF(C158=31,INDEX(Tabla1[Descripción], MATCH($A158, Tabla1[N Doc], 0)),"")</f>
        <v/>
      </c>
    </row>
    <row r="159" spans="1:13" x14ac:dyDescent="0.3">
      <c r="A159" t="str" cm="1">
        <f t="array" ref="A159">INDEX(Tabla1[N Doc], ROUNDUP((ROW()-1)/9, 0))</f>
        <v/>
      </c>
      <c r="B159" t="str">
        <f>IF(OR(A159="",A159=0),"",CHOOSE(
    COUNTIF($A$2:A159,A159),
    1,2,3,4,5,6,7,8,9
))</f>
        <v/>
      </c>
      <c r="C159" t="str">
        <f t="shared" si="2"/>
        <v/>
      </c>
      <c r="D159" s="7" t="str" cm="1">
        <f t="array" ref="D159">IF(OR($A159="",$A159=0),"",
IF(AND(INDEX(Formulario!$H$14:$H$100, $A159)="Si", C159&lt;&gt;31),
        VLOOKUP("cta puente",'Descripciones de gastos'!G:H, 2, FALSE),
IF(B159=1,
        INDEX(Tabla13[Titular], MATCH($A159, Tabla1[N Doc], 0)),
IF(B159=2,
        INDEX(Tabla1[Cuenta contable], MATCH($A159, Tabla1[N Doc], 0)),
IF(B159=3,
        INDEX(Tabla13[Cta Iva 22], MATCH($A159, Tabla1[N Doc], 0)),
IF(B159=4,
        INDEX(Tabla1[Cuenta contable], MATCH($A159, Tabla1[N Doc], 0)),
IF(B159=5,
        INDEX(Tabla13[Cta Iva 10], MATCH($A159, Tabla1[N Doc], 0)),
IF(B159=6,
        INDEX(Tabla1[Cuenta contable], MATCH($A159, Tabla1[N Doc], 0)),
IF(B159=7,
        INDEX(Tabla1[Cuenta contable], MATCH($A159, Tabla1[N Doc], 0)),
IF(B159=8,
        IF(INDEX(Tabla1[Tipo IVA], MATCH($A159, Tabla1[N Doc], 0))="22%",
             INDEX(Tabla13[Cta Iva 22], MATCH($A159, Tabla1[N Doc], 0)),
             INDEX(Tabla13[Cta Iva 10], MATCH($A159, Tabla1[N Doc], 0))),
IF(B159=9,
        INDEX(Tabla1[Cuenta contable], MATCH($A159, Tabla1[N Doc], 0))
)))))))))))</f>
        <v/>
      </c>
      <c r="F159" t="str">
        <f>IF(OR($A159="",$A159=0),"",IF(B159=1,
        INDEX(Tabla1[Importe total], MATCH($A159, Tabla1[N Doc], 0)),
IF(B159=2,
        INDEX(Tabla1[Base imponible 22], MATCH($A159, Tabla1[N Doc], 0)),
IF(B159=3,
        INDEX(Tabla1[Iva 22], MATCH($A159, Tabla1[N Doc], 0)),
IF(B159=4,
        INDEX(Tabla1[Base imponible 10], MATCH($A159, Tabla1[N Doc], 0)),
IF(B159=5,
        INDEX(Tabla1[Iva 10], MATCH($A159, Tabla1[N Doc], 0)),
IF(B159=6,
        INDEX(Tabla1[Exento], MATCH($A159, Tabla1[N Doc], 0)),
IF(B159=7,
        INDEX(#REF!, MATCH($A159, Tabla1[N Doc], 0)),
IF(B159=8,
        INDEX(#REF!, MATCH($A159, Tabla1[N Doc], 0)),
IF(B159=9,
        INDEX(Tabla1[Descuentos], MATCH($A159, Tabla1[N Doc], 0)),
""))))))))))</f>
        <v/>
      </c>
      <c r="G159" t="str">
        <f>IF(OR($A159="",$A159=0),"",IF(OR(B159=2,B159=4,B159=6,B159=7),
    INDEX(Tabla13[Ind impuestos], MATCH($A159, Tabla13[N Doc], 0)),
""))</f>
        <v/>
      </c>
      <c r="J159" t="str">
        <f>IF(OR($A159="",$A159=0),"",IF(OR(B159=2,B159=4,B159=6,B159=7),
    INDEX(Tabla1[CECO], MATCH($A159, Tabla1[N Doc], 0)),
""))</f>
        <v/>
      </c>
      <c r="M159" t="str">
        <f>IF(C159=31,INDEX(Tabla1[Descripción], MATCH($A159, Tabla1[N Doc], 0)),"")</f>
        <v/>
      </c>
    </row>
    <row r="160" spans="1:13" x14ac:dyDescent="0.3">
      <c r="A160" t="str" cm="1">
        <f t="array" ref="A160">INDEX(Tabla1[N Doc], ROUNDUP((ROW()-1)/9, 0))</f>
        <v/>
      </c>
      <c r="B160" t="str">
        <f>IF(OR(A160="",A160=0),"",CHOOSE(
    COUNTIF($A$2:A160,A160),
    1,2,3,4,5,6,7,8,9
))</f>
        <v/>
      </c>
      <c r="C160" t="str">
        <f t="shared" si="2"/>
        <v/>
      </c>
      <c r="D160" s="7" t="str" cm="1">
        <f t="array" ref="D160">IF(OR($A160="",$A160=0),"",
IF(AND(INDEX(Formulario!$H$14:$H$100, $A160)="Si", C160&lt;&gt;31),
        VLOOKUP("cta puente",'Descripciones de gastos'!G:H, 2, FALSE),
IF(B160=1,
        INDEX(Tabla13[Titular], MATCH($A160, Tabla1[N Doc], 0)),
IF(B160=2,
        INDEX(Tabla1[Cuenta contable], MATCH($A160, Tabla1[N Doc], 0)),
IF(B160=3,
        INDEX(Tabla13[Cta Iva 22], MATCH($A160, Tabla1[N Doc], 0)),
IF(B160=4,
        INDEX(Tabla1[Cuenta contable], MATCH($A160, Tabla1[N Doc], 0)),
IF(B160=5,
        INDEX(Tabla13[Cta Iva 10], MATCH($A160, Tabla1[N Doc], 0)),
IF(B160=6,
        INDEX(Tabla1[Cuenta contable], MATCH($A160, Tabla1[N Doc], 0)),
IF(B160=7,
        INDEX(Tabla1[Cuenta contable], MATCH($A160, Tabla1[N Doc], 0)),
IF(B160=8,
        IF(INDEX(Tabla1[Tipo IVA], MATCH($A160, Tabla1[N Doc], 0))="22%",
             INDEX(Tabla13[Cta Iva 22], MATCH($A160, Tabla1[N Doc], 0)),
             INDEX(Tabla13[Cta Iva 10], MATCH($A160, Tabla1[N Doc], 0))),
IF(B160=9,
        INDEX(Tabla1[Cuenta contable], MATCH($A160, Tabla1[N Doc], 0))
)))))))))))</f>
        <v/>
      </c>
      <c r="F160" t="str">
        <f>IF(OR($A160="",$A160=0),"",IF(B160=1,
        INDEX(Tabla1[Importe total], MATCH($A160, Tabla1[N Doc], 0)),
IF(B160=2,
        INDEX(Tabla1[Base imponible 22], MATCH($A160, Tabla1[N Doc], 0)),
IF(B160=3,
        INDEX(Tabla1[Iva 22], MATCH($A160, Tabla1[N Doc], 0)),
IF(B160=4,
        INDEX(Tabla1[Base imponible 10], MATCH($A160, Tabla1[N Doc], 0)),
IF(B160=5,
        INDEX(Tabla1[Iva 10], MATCH($A160, Tabla1[N Doc], 0)),
IF(B160=6,
        INDEX(Tabla1[Exento], MATCH($A160, Tabla1[N Doc], 0)),
IF(B160=7,
        INDEX(#REF!, MATCH($A160, Tabla1[N Doc], 0)),
IF(B160=8,
        INDEX(#REF!, MATCH($A160, Tabla1[N Doc], 0)),
IF(B160=9,
        INDEX(Tabla1[Descuentos], MATCH($A160, Tabla1[N Doc], 0)),
""))))))))))</f>
        <v/>
      </c>
      <c r="G160" t="str">
        <f>IF(OR($A160="",$A160=0),"",IF(OR(B160=2,B160=4,B160=6,B160=7),
    INDEX(Tabla13[Ind impuestos], MATCH($A160, Tabla13[N Doc], 0)),
""))</f>
        <v/>
      </c>
      <c r="J160" t="str">
        <f>IF(OR($A160="",$A160=0),"",IF(OR(B160=2,B160=4,B160=6,B160=7),
    INDEX(Tabla1[CECO], MATCH($A160, Tabla1[N Doc], 0)),
""))</f>
        <v/>
      </c>
      <c r="M160" t="str">
        <f>IF(C160=31,INDEX(Tabla1[Descripción], MATCH($A160, Tabla1[N Doc], 0)),"")</f>
        <v/>
      </c>
    </row>
    <row r="161" spans="1:13" x14ac:dyDescent="0.3">
      <c r="A161" t="str" cm="1">
        <f t="array" ref="A161">INDEX(Tabla1[N Doc], ROUNDUP((ROW()-1)/9, 0))</f>
        <v/>
      </c>
      <c r="B161" t="str">
        <f>IF(OR(A161="",A161=0),"",CHOOSE(
    COUNTIF($A$2:A161,A161),
    1,2,3,4,5,6,7,8,9
))</f>
        <v/>
      </c>
      <c r="C161" t="str">
        <f t="shared" si="2"/>
        <v/>
      </c>
      <c r="D161" s="7" t="str" cm="1">
        <f t="array" ref="D161">IF(OR($A161="",$A161=0),"",
IF(AND(INDEX(Formulario!$H$14:$H$100, $A161)="Si", C161&lt;&gt;31),
        VLOOKUP("cta puente",'Descripciones de gastos'!G:H, 2, FALSE),
IF(B161=1,
        INDEX(Tabla13[Titular], MATCH($A161, Tabla1[N Doc], 0)),
IF(B161=2,
        INDEX(Tabla1[Cuenta contable], MATCH($A161, Tabla1[N Doc], 0)),
IF(B161=3,
        INDEX(Tabla13[Cta Iva 22], MATCH($A161, Tabla1[N Doc], 0)),
IF(B161=4,
        INDEX(Tabla1[Cuenta contable], MATCH($A161, Tabla1[N Doc], 0)),
IF(B161=5,
        INDEX(Tabla13[Cta Iva 10], MATCH($A161, Tabla1[N Doc], 0)),
IF(B161=6,
        INDEX(Tabla1[Cuenta contable], MATCH($A161, Tabla1[N Doc], 0)),
IF(B161=7,
        INDEX(Tabla1[Cuenta contable], MATCH($A161, Tabla1[N Doc], 0)),
IF(B161=8,
        IF(INDEX(Tabla1[Tipo IVA], MATCH($A161, Tabla1[N Doc], 0))="22%",
             INDEX(Tabla13[Cta Iva 22], MATCH($A161, Tabla1[N Doc], 0)),
             INDEX(Tabla13[Cta Iva 10], MATCH($A161, Tabla1[N Doc], 0))),
IF(B161=9,
        INDEX(Tabla1[Cuenta contable], MATCH($A161, Tabla1[N Doc], 0))
)))))))))))</f>
        <v/>
      </c>
      <c r="F161" t="str">
        <f>IF(OR($A161="",$A161=0),"",IF(B161=1,
        INDEX(Tabla1[Importe total], MATCH($A161, Tabla1[N Doc], 0)),
IF(B161=2,
        INDEX(Tabla1[Base imponible 22], MATCH($A161, Tabla1[N Doc], 0)),
IF(B161=3,
        INDEX(Tabla1[Iva 22], MATCH($A161, Tabla1[N Doc], 0)),
IF(B161=4,
        INDEX(Tabla1[Base imponible 10], MATCH($A161, Tabla1[N Doc], 0)),
IF(B161=5,
        INDEX(Tabla1[Iva 10], MATCH($A161, Tabla1[N Doc], 0)),
IF(B161=6,
        INDEX(Tabla1[Exento], MATCH($A161, Tabla1[N Doc], 0)),
IF(B161=7,
        INDEX(#REF!, MATCH($A161, Tabla1[N Doc], 0)),
IF(B161=8,
        INDEX(#REF!, MATCH($A161, Tabla1[N Doc], 0)),
IF(B161=9,
        INDEX(Tabla1[Descuentos], MATCH($A161, Tabla1[N Doc], 0)),
""))))))))))</f>
        <v/>
      </c>
      <c r="G161" t="str">
        <f>IF(OR($A161="",$A161=0),"",IF(OR(B161=2,B161=4,B161=6,B161=7),
    INDEX(Tabla13[Ind impuestos], MATCH($A161, Tabla13[N Doc], 0)),
""))</f>
        <v/>
      </c>
      <c r="J161" t="str">
        <f>IF(OR($A161="",$A161=0),"",IF(OR(B161=2,B161=4,B161=6,B161=7),
    INDEX(Tabla1[CECO], MATCH($A161, Tabla1[N Doc], 0)),
""))</f>
        <v/>
      </c>
      <c r="M161" t="str">
        <f>IF(C161=31,INDEX(Tabla1[Descripción], MATCH($A161, Tabla1[N Doc], 0)),"")</f>
        <v/>
      </c>
    </row>
    <row r="162" spans="1:13" x14ac:dyDescent="0.3">
      <c r="A162" t="str" cm="1">
        <f t="array" ref="A162">INDEX(Tabla1[N Doc], ROUNDUP((ROW()-1)/9, 0))</f>
        <v/>
      </c>
      <c r="B162" t="str">
        <f>IF(OR(A162="",A162=0),"",CHOOSE(
    COUNTIF($A$2:A162,A162),
    1,2,3,4,5,6,7,8,9
))</f>
        <v/>
      </c>
      <c r="C162" t="str">
        <f t="shared" si="2"/>
        <v/>
      </c>
      <c r="D162" s="7" t="str" cm="1">
        <f t="array" ref="D162">IF(OR($A162="",$A162=0),"",
IF(AND(INDEX(Formulario!$H$14:$H$100, $A162)="Si", C162&lt;&gt;31),
        VLOOKUP("cta puente",'Descripciones de gastos'!G:H, 2, FALSE),
IF(B162=1,
        INDEX(Tabla13[Titular], MATCH($A162, Tabla1[N Doc], 0)),
IF(B162=2,
        INDEX(Tabla1[Cuenta contable], MATCH($A162, Tabla1[N Doc], 0)),
IF(B162=3,
        INDEX(Tabla13[Cta Iva 22], MATCH($A162, Tabla1[N Doc], 0)),
IF(B162=4,
        INDEX(Tabla1[Cuenta contable], MATCH($A162, Tabla1[N Doc], 0)),
IF(B162=5,
        INDEX(Tabla13[Cta Iva 10], MATCH($A162, Tabla1[N Doc], 0)),
IF(B162=6,
        INDEX(Tabla1[Cuenta contable], MATCH($A162, Tabla1[N Doc], 0)),
IF(B162=7,
        INDEX(Tabla1[Cuenta contable], MATCH($A162, Tabla1[N Doc], 0)),
IF(B162=8,
        IF(INDEX(Tabla1[Tipo IVA], MATCH($A162, Tabla1[N Doc], 0))="22%",
             INDEX(Tabla13[Cta Iva 22], MATCH($A162, Tabla1[N Doc], 0)),
             INDEX(Tabla13[Cta Iva 10], MATCH($A162, Tabla1[N Doc], 0))),
IF(B162=9,
        INDEX(Tabla1[Cuenta contable], MATCH($A162, Tabla1[N Doc], 0))
)))))))))))</f>
        <v/>
      </c>
      <c r="F162" t="str">
        <f>IF(OR($A162="",$A162=0),"",IF(B162=1,
        INDEX(Tabla1[Importe total], MATCH($A162, Tabla1[N Doc], 0)),
IF(B162=2,
        INDEX(Tabla1[Base imponible 22], MATCH($A162, Tabla1[N Doc], 0)),
IF(B162=3,
        INDEX(Tabla1[Iva 22], MATCH($A162, Tabla1[N Doc], 0)),
IF(B162=4,
        INDEX(Tabla1[Base imponible 10], MATCH($A162, Tabla1[N Doc], 0)),
IF(B162=5,
        INDEX(Tabla1[Iva 10], MATCH($A162, Tabla1[N Doc], 0)),
IF(B162=6,
        INDEX(Tabla1[Exento], MATCH($A162, Tabla1[N Doc], 0)),
IF(B162=7,
        INDEX(#REF!, MATCH($A162, Tabla1[N Doc], 0)),
IF(B162=8,
        INDEX(#REF!, MATCH($A162, Tabla1[N Doc], 0)),
IF(B162=9,
        INDEX(Tabla1[Descuentos], MATCH($A162, Tabla1[N Doc], 0)),
""))))))))))</f>
        <v/>
      </c>
      <c r="G162" t="str">
        <f>IF(OR($A162="",$A162=0),"",IF(OR(B162=2,B162=4,B162=6,B162=7),
    INDEX(Tabla13[Ind impuestos], MATCH($A162, Tabla13[N Doc], 0)),
""))</f>
        <v/>
      </c>
      <c r="J162" t="str">
        <f>IF(OR($A162="",$A162=0),"",IF(OR(B162=2,B162=4,B162=6,B162=7),
    INDEX(Tabla1[CECO], MATCH($A162, Tabla1[N Doc], 0)),
""))</f>
        <v/>
      </c>
      <c r="M162" t="str">
        <f>IF(C162=31,INDEX(Tabla1[Descripción], MATCH($A162, Tabla1[N Doc], 0)),"")</f>
        <v/>
      </c>
    </row>
    <row r="163" spans="1:13" x14ac:dyDescent="0.3">
      <c r="A163" t="str" cm="1">
        <f t="array" ref="A163">INDEX(Tabla1[N Doc], ROUNDUP((ROW()-1)/9, 0))</f>
        <v/>
      </c>
      <c r="B163" t="str">
        <f>IF(OR(A163="",A163=0),"",CHOOSE(
    COUNTIF($A$2:A163,A163),
    1,2,3,4,5,6,7,8,9
))</f>
        <v/>
      </c>
      <c r="C163" t="str">
        <f t="shared" si="2"/>
        <v/>
      </c>
      <c r="D163" s="7" t="str" cm="1">
        <f t="array" ref="D163">IF(OR($A163="",$A163=0),"",
IF(AND(INDEX(Formulario!$H$14:$H$100, $A163)="Si", C163&lt;&gt;31),
        VLOOKUP("cta puente",'Descripciones de gastos'!G:H, 2, FALSE),
IF(B163=1,
        INDEX(Tabla13[Titular], MATCH($A163, Tabla1[N Doc], 0)),
IF(B163=2,
        INDEX(Tabla1[Cuenta contable], MATCH($A163, Tabla1[N Doc], 0)),
IF(B163=3,
        INDEX(Tabla13[Cta Iva 22], MATCH($A163, Tabla1[N Doc], 0)),
IF(B163=4,
        INDEX(Tabla1[Cuenta contable], MATCH($A163, Tabla1[N Doc], 0)),
IF(B163=5,
        INDEX(Tabla13[Cta Iva 10], MATCH($A163, Tabla1[N Doc], 0)),
IF(B163=6,
        INDEX(Tabla1[Cuenta contable], MATCH($A163, Tabla1[N Doc], 0)),
IF(B163=7,
        INDEX(Tabla1[Cuenta contable], MATCH($A163, Tabla1[N Doc], 0)),
IF(B163=8,
        IF(INDEX(Tabla1[Tipo IVA], MATCH($A163, Tabla1[N Doc], 0))="22%",
             INDEX(Tabla13[Cta Iva 22], MATCH($A163, Tabla1[N Doc], 0)),
             INDEX(Tabla13[Cta Iva 10], MATCH($A163, Tabla1[N Doc], 0))),
IF(B163=9,
        INDEX(Tabla1[Cuenta contable], MATCH($A163, Tabla1[N Doc], 0))
)))))))))))</f>
        <v/>
      </c>
      <c r="F163" t="str">
        <f>IF(OR($A163="",$A163=0),"",IF(B163=1,
        INDEX(Tabla1[Importe total], MATCH($A163, Tabla1[N Doc], 0)),
IF(B163=2,
        INDEX(Tabla1[Base imponible 22], MATCH($A163, Tabla1[N Doc], 0)),
IF(B163=3,
        INDEX(Tabla1[Iva 22], MATCH($A163, Tabla1[N Doc], 0)),
IF(B163=4,
        INDEX(Tabla1[Base imponible 10], MATCH($A163, Tabla1[N Doc], 0)),
IF(B163=5,
        INDEX(Tabla1[Iva 10], MATCH($A163, Tabla1[N Doc], 0)),
IF(B163=6,
        INDEX(Tabla1[Exento], MATCH($A163, Tabla1[N Doc], 0)),
IF(B163=7,
        INDEX(#REF!, MATCH($A163, Tabla1[N Doc], 0)),
IF(B163=8,
        INDEX(#REF!, MATCH($A163, Tabla1[N Doc], 0)),
IF(B163=9,
        INDEX(Tabla1[Descuentos], MATCH($A163, Tabla1[N Doc], 0)),
""))))))))))</f>
        <v/>
      </c>
      <c r="G163" t="str">
        <f>IF(OR($A163="",$A163=0),"",IF(OR(B163=2,B163=4,B163=6,B163=7),
    INDEX(Tabla13[Ind impuestos], MATCH($A163, Tabla13[N Doc], 0)),
""))</f>
        <v/>
      </c>
      <c r="J163" t="str">
        <f>IF(OR($A163="",$A163=0),"",IF(OR(B163=2,B163=4,B163=6,B163=7),
    INDEX(Tabla1[CECO], MATCH($A163, Tabla1[N Doc], 0)),
""))</f>
        <v/>
      </c>
      <c r="M163" t="str">
        <f>IF(C163=31,INDEX(Tabla1[Descripción], MATCH($A163, Tabla1[N Doc], 0)),"")</f>
        <v/>
      </c>
    </row>
    <row r="164" spans="1:13" x14ac:dyDescent="0.3">
      <c r="A164" t="str" cm="1">
        <f t="array" ref="A164">INDEX(Tabla1[N Doc], ROUNDUP((ROW()-1)/9, 0))</f>
        <v/>
      </c>
      <c r="B164" t="str">
        <f>IF(OR(A164="",A164=0),"",CHOOSE(
    COUNTIF($A$2:A164,A164),
    1,2,3,4,5,6,7,8,9
))</f>
        <v/>
      </c>
      <c r="C164" t="str">
        <f t="shared" si="2"/>
        <v/>
      </c>
      <c r="D164" s="7" t="str" cm="1">
        <f t="array" ref="D164">IF(OR($A164="",$A164=0),"",
IF(AND(INDEX(Formulario!$H$14:$H$100, $A164)="Si", C164&lt;&gt;31),
        VLOOKUP("cta puente",'Descripciones de gastos'!G:H, 2, FALSE),
IF(B164=1,
        INDEX(Tabla13[Titular], MATCH($A164, Tabla1[N Doc], 0)),
IF(B164=2,
        INDEX(Tabla1[Cuenta contable], MATCH($A164, Tabla1[N Doc], 0)),
IF(B164=3,
        INDEX(Tabla13[Cta Iva 22], MATCH($A164, Tabla1[N Doc], 0)),
IF(B164=4,
        INDEX(Tabla1[Cuenta contable], MATCH($A164, Tabla1[N Doc], 0)),
IF(B164=5,
        INDEX(Tabla13[Cta Iva 10], MATCH($A164, Tabla1[N Doc], 0)),
IF(B164=6,
        INDEX(Tabla1[Cuenta contable], MATCH($A164, Tabla1[N Doc], 0)),
IF(B164=7,
        INDEX(Tabla1[Cuenta contable], MATCH($A164, Tabla1[N Doc], 0)),
IF(B164=8,
        IF(INDEX(Tabla1[Tipo IVA], MATCH($A164, Tabla1[N Doc], 0))="22%",
             INDEX(Tabla13[Cta Iva 22], MATCH($A164, Tabla1[N Doc], 0)),
             INDEX(Tabla13[Cta Iva 10], MATCH($A164, Tabla1[N Doc], 0))),
IF(B164=9,
        INDEX(Tabla1[Cuenta contable], MATCH($A164, Tabla1[N Doc], 0))
)))))))))))</f>
        <v/>
      </c>
      <c r="F164" t="str">
        <f>IF(OR($A164="",$A164=0),"",IF(B164=1,
        INDEX(Tabla1[Importe total], MATCH($A164, Tabla1[N Doc], 0)),
IF(B164=2,
        INDEX(Tabla1[Base imponible 22], MATCH($A164, Tabla1[N Doc], 0)),
IF(B164=3,
        INDEX(Tabla1[Iva 22], MATCH($A164, Tabla1[N Doc], 0)),
IF(B164=4,
        INDEX(Tabla1[Base imponible 10], MATCH($A164, Tabla1[N Doc], 0)),
IF(B164=5,
        INDEX(Tabla1[Iva 10], MATCH($A164, Tabla1[N Doc], 0)),
IF(B164=6,
        INDEX(Tabla1[Exento], MATCH($A164, Tabla1[N Doc], 0)),
IF(B164=7,
        INDEX(#REF!, MATCH($A164, Tabla1[N Doc], 0)),
IF(B164=8,
        INDEX(#REF!, MATCH($A164, Tabla1[N Doc], 0)),
IF(B164=9,
        INDEX(Tabla1[Descuentos], MATCH($A164, Tabla1[N Doc], 0)),
""))))))))))</f>
        <v/>
      </c>
      <c r="G164" t="str">
        <f>IF(OR($A164="",$A164=0),"",IF(OR(B164=2,B164=4,B164=6,B164=7),
    INDEX(Tabla13[Ind impuestos], MATCH($A164, Tabla13[N Doc], 0)),
""))</f>
        <v/>
      </c>
      <c r="J164" t="str">
        <f>IF(OR($A164="",$A164=0),"",IF(OR(B164=2,B164=4,B164=6,B164=7),
    INDEX(Tabla1[CECO], MATCH($A164, Tabla1[N Doc], 0)),
""))</f>
        <v/>
      </c>
      <c r="M164" t="str">
        <f>IF(C164=31,INDEX(Tabla1[Descripción], MATCH($A164, Tabla1[N Doc], 0)),"")</f>
        <v/>
      </c>
    </row>
    <row r="165" spans="1:13" x14ac:dyDescent="0.3">
      <c r="A165" t="str" cm="1">
        <f t="array" ref="A165">INDEX(Tabla1[N Doc], ROUNDUP((ROW()-1)/9, 0))</f>
        <v/>
      </c>
      <c r="B165" t="str">
        <f>IF(OR(A165="",A165=0),"",CHOOSE(
    COUNTIF($A$2:A165,A165),
    1,2,3,4,5,6,7,8,9
))</f>
        <v/>
      </c>
      <c r="C165" t="str">
        <f t="shared" si="2"/>
        <v/>
      </c>
      <c r="D165" s="7" t="str" cm="1">
        <f t="array" ref="D165">IF(OR($A165="",$A165=0),"",
IF(AND(INDEX(Formulario!$H$14:$H$100, $A165)="Si", C165&lt;&gt;31),
        VLOOKUP("cta puente",'Descripciones de gastos'!G:H, 2, FALSE),
IF(B165=1,
        INDEX(Tabla13[Titular], MATCH($A165, Tabla1[N Doc], 0)),
IF(B165=2,
        INDEX(Tabla1[Cuenta contable], MATCH($A165, Tabla1[N Doc], 0)),
IF(B165=3,
        INDEX(Tabla13[Cta Iva 22], MATCH($A165, Tabla1[N Doc], 0)),
IF(B165=4,
        INDEX(Tabla1[Cuenta contable], MATCH($A165, Tabla1[N Doc], 0)),
IF(B165=5,
        INDEX(Tabla13[Cta Iva 10], MATCH($A165, Tabla1[N Doc], 0)),
IF(B165=6,
        INDEX(Tabla1[Cuenta contable], MATCH($A165, Tabla1[N Doc], 0)),
IF(B165=7,
        INDEX(Tabla1[Cuenta contable], MATCH($A165, Tabla1[N Doc], 0)),
IF(B165=8,
        IF(INDEX(Tabla1[Tipo IVA], MATCH($A165, Tabla1[N Doc], 0))="22%",
             INDEX(Tabla13[Cta Iva 22], MATCH($A165, Tabla1[N Doc], 0)),
             INDEX(Tabla13[Cta Iva 10], MATCH($A165, Tabla1[N Doc], 0))),
IF(B165=9,
        INDEX(Tabla1[Cuenta contable], MATCH($A165, Tabla1[N Doc], 0))
)))))))))))</f>
        <v/>
      </c>
      <c r="F165" t="str">
        <f>IF(OR($A165="",$A165=0),"",IF(B165=1,
        INDEX(Tabla1[Importe total], MATCH($A165, Tabla1[N Doc], 0)),
IF(B165=2,
        INDEX(Tabla1[Base imponible 22], MATCH($A165, Tabla1[N Doc], 0)),
IF(B165=3,
        INDEX(Tabla1[Iva 22], MATCH($A165, Tabla1[N Doc], 0)),
IF(B165=4,
        INDEX(Tabla1[Base imponible 10], MATCH($A165, Tabla1[N Doc], 0)),
IF(B165=5,
        INDEX(Tabla1[Iva 10], MATCH($A165, Tabla1[N Doc], 0)),
IF(B165=6,
        INDEX(Tabla1[Exento], MATCH($A165, Tabla1[N Doc], 0)),
IF(B165=7,
        INDEX(#REF!, MATCH($A165, Tabla1[N Doc], 0)),
IF(B165=8,
        INDEX(#REF!, MATCH($A165, Tabla1[N Doc], 0)),
IF(B165=9,
        INDEX(Tabla1[Descuentos], MATCH($A165, Tabla1[N Doc], 0)),
""))))))))))</f>
        <v/>
      </c>
      <c r="G165" t="str">
        <f>IF(OR($A165="",$A165=0),"",IF(OR(B165=2,B165=4,B165=6,B165=7),
    INDEX(Tabla13[Ind impuestos], MATCH($A165, Tabla13[N Doc], 0)),
""))</f>
        <v/>
      </c>
      <c r="J165" t="str">
        <f>IF(OR($A165="",$A165=0),"",IF(OR(B165=2,B165=4,B165=6,B165=7),
    INDEX(Tabla1[CECO], MATCH($A165, Tabla1[N Doc], 0)),
""))</f>
        <v/>
      </c>
      <c r="M165" t="str">
        <f>IF(C165=31,INDEX(Tabla1[Descripción], MATCH($A165, Tabla1[N Doc], 0)),"")</f>
        <v/>
      </c>
    </row>
    <row r="166" spans="1:13" x14ac:dyDescent="0.3">
      <c r="A166" t="str" cm="1">
        <f t="array" ref="A166">INDEX(Tabla1[N Doc], ROUNDUP((ROW()-1)/9, 0))</f>
        <v/>
      </c>
      <c r="B166" t="str">
        <f>IF(OR(A166="",A166=0),"",CHOOSE(
    COUNTIF($A$2:A166,A166),
    1,2,3,4,5,6,7,8,9
))</f>
        <v/>
      </c>
      <c r="C166" t="str">
        <f t="shared" si="2"/>
        <v/>
      </c>
      <c r="D166" s="7" t="str" cm="1">
        <f t="array" ref="D166">IF(OR($A166="",$A166=0),"",
IF(AND(INDEX(Formulario!$H$14:$H$100, $A166)="Si", C166&lt;&gt;31),
        VLOOKUP("cta puente",'Descripciones de gastos'!G:H, 2, FALSE),
IF(B166=1,
        INDEX(Tabla13[Titular], MATCH($A166, Tabla1[N Doc], 0)),
IF(B166=2,
        INDEX(Tabla1[Cuenta contable], MATCH($A166, Tabla1[N Doc], 0)),
IF(B166=3,
        INDEX(Tabla13[Cta Iva 22], MATCH($A166, Tabla1[N Doc], 0)),
IF(B166=4,
        INDEX(Tabla1[Cuenta contable], MATCH($A166, Tabla1[N Doc], 0)),
IF(B166=5,
        INDEX(Tabla13[Cta Iva 10], MATCH($A166, Tabla1[N Doc], 0)),
IF(B166=6,
        INDEX(Tabla1[Cuenta contable], MATCH($A166, Tabla1[N Doc], 0)),
IF(B166=7,
        INDEX(Tabla1[Cuenta contable], MATCH($A166, Tabla1[N Doc], 0)),
IF(B166=8,
        IF(INDEX(Tabla1[Tipo IVA], MATCH($A166, Tabla1[N Doc], 0))="22%",
             INDEX(Tabla13[Cta Iva 22], MATCH($A166, Tabla1[N Doc], 0)),
             INDEX(Tabla13[Cta Iva 10], MATCH($A166, Tabla1[N Doc], 0))),
IF(B166=9,
        INDEX(Tabla1[Cuenta contable], MATCH($A166, Tabla1[N Doc], 0))
)))))))))))</f>
        <v/>
      </c>
      <c r="F166" t="str">
        <f>IF(OR($A166="",$A166=0),"",IF(B166=1,
        INDEX(Tabla1[Importe total], MATCH($A166, Tabla1[N Doc], 0)),
IF(B166=2,
        INDEX(Tabla1[Base imponible 22], MATCH($A166, Tabla1[N Doc], 0)),
IF(B166=3,
        INDEX(Tabla1[Iva 22], MATCH($A166, Tabla1[N Doc], 0)),
IF(B166=4,
        INDEX(Tabla1[Base imponible 10], MATCH($A166, Tabla1[N Doc], 0)),
IF(B166=5,
        INDEX(Tabla1[Iva 10], MATCH($A166, Tabla1[N Doc], 0)),
IF(B166=6,
        INDEX(Tabla1[Exento], MATCH($A166, Tabla1[N Doc], 0)),
IF(B166=7,
        INDEX(#REF!, MATCH($A166, Tabla1[N Doc], 0)),
IF(B166=8,
        INDEX(#REF!, MATCH($A166, Tabla1[N Doc], 0)),
IF(B166=9,
        INDEX(Tabla1[Descuentos], MATCH($A166, Tabla1[N Doc], 0)),
""))))))))))</f>
        <v/>
      </c>
      <c r="G166" t="str">
        <f>IF(OR($A166="",$A166=0),"",IF(OR(B166=2,B166=4,B166=6,B166=7),
    INDEX(Tabla13[Ind impuestos], MATCH($A166, Tabla13[N Doc], 0)),
""))</f>
        <v/>
      </c>
      <c r="J166" t="str">
        <f>IF(OR($A166="",$A166=0),"",IF(OR(B166=2,B166=4,B166=6,B166=7),
    INDEX(Tabla1[CECO], MATCH($A166, Tabla1[N Doc], 0)),
""))</f>
        <v/>
      </c>
      <c r="M166" t="str">
        <f>IF(C166=31,INDEX(Tabla1[Descripción], MATCH($A166, Tabla1[N Doc], 0)),"")</f>
        <v/>
      </c>
    </row>
    <row r="167" spans="1:13" x14ac:dyDescent="0.3">
      <c r="A167" t="str" cm="1">
        <f t="array" ref="A167">INDEX(Tabla1[N Doc], ROUNDUP((ROW()-1)/9, 0))</f>
        <v/>
      </c>
      <c r="B167" t="str">
        <f>IF(OR(A167="",A167=0),"",CHOOSE(
    COUNTIF($A$2:A167,A167),
    1,2,3,4,5,6,7,8,9
))</f>
        <v/>
      </c>
      <c r="C167" t="str">
        <f t="shared" si="2"/>
        <v/>
      </c>
      <c r="D167" s="7" t="str" cm="1">
        <f t="array" ref="D167">IF(OR($A167="",$A167=0),"",
IF(AND(INDEX(Formulario!$H$14:$H$100, $A167)="Si", C167&lt;&gt;31),
        VLOOKUP("cta puente",'Descripciones de gastos'!G:H, 2, FALSE),
IF(B167=1,
        INDEX(Tabla13[Titular], MATCH($A167, Tabla1[N Doc], 0)),
IF(B167=2,
        INDEX(Tabla1[Cuenta contable], MATCH($A167, Tabla1[N Doc], 0)),
IF(B167=3,
        INDEX(Tabla13[Cta Iva 22], MATCH($A167, Tabla1[N Doc], 0)),
IF(B167=4,
        INDEX(Tabla1[Cuenta contable], MATCH($A167, Tabla1[N Doc], 0)),
IF(B167=5,
        INDEX(Tabla13[Cta Iva 10], MATCH($A167, Tabla1[N Doc], 0)),
IF(B167=6,
        INDEX(Tabla1[Cuenta contable], MATCH($A167, Tabla1[N Doc], 0)),
IF(B167=7,
        INDEX(Tabla1[Cuenta contable], MATCH($A167, Tabla1[N Doc], 0)),
IF(B167=8,
        IF(INDEX(Tabla1[Tipo IVA], MATCH($A167, Tabla1[N Doc], 0))="22%",
             INDEX(Tabla13[Cta Iva 22], MATCH($A167, Tabla1[N Doc], 0)),
             INDEX(Tabla13[Cta Iva 10], MATCH($A167, Tabla1[N Doc], 0))),
IF(B167=9,
        INDEX(Tabla1[Cuenta contable], MATCH($A167, Tabla1[N Doc], 0))
)))))))))))</f>
        <v/>
      </c>
      <c r="F167" t="str">
        <f>IF(OR($A167="",$A167=0),"",IF(B167=1,
        INDEX(Tabla1[Importe total], MATCH($A167, Tabla1[N Doc], 0)),
IF(B167=2,
        INDEX(Tabla1[Base imponible 22], MATCH($A167, Tabla1[N Doc], 0)),
IF(B167=3,
        INDEX(Tabla1[Iva 22], MATCH($A167, Tabla1[N Doc], 0)),
IF(B167=4,
        INDEX(Tabla1[Base imponible 10], MATCH($A167, Tabla1[N Doc], 0)),
IF(B167=5,
        INDEX(Tabla1[Iva 10], MATCH($A167, Tabla1[N Doc], 0)),
IF(B167=6,
        INDEX(Tabla1[Exento], MATCH($A167, Tabla1[N Doc], 0)),
IF(B167=7,
        INDEX(#REF!, MATCH($A167, Tabla1[N Doc], 0)),
IF(B167=8,
        INDEX(#REF!, MATCH($A167, Tabla1[N Doc], 0)),
IF(B167=9,
        INDEX(Tabla1[Descuentos], MATCH($A167, Tabla1[N Doc], 0)),
""))))))))))</f>
        <v/>
      </c>
      <c r="G167" t="str">
        <f>IF(OR($A167="",$A167=0),"",IF(OR(B167=2,B167=4,B167=6,B167=7),
    INDEX(Tabla13[Ind impuestos], MATCH($A167, Tabla13[N Doc], 0)),
""))</f>
        <v/>
      </c>
      <c r="J167" t="str">
        <f>IF(OR($A167="",$A167=0),"",IF(OR(B167=2,B167=4,B167=6,B167=7),
    INDEX(Tabla1[CECO], MATCH($A167, Tabla1[N Doc], 0)),
""))</f>
        <v/>
      </c>
      <c r="M167" t="str">
        <f>IF(C167=31,INDEX(Tabla1[Descripción], MATCH($A167, Tabla1[N Doc], 0)),"")</f>
        <v/>
      </c>
    </row>
    <row r="168" spans="1:13" x14ac:dyDescent="0.3">
      <c r="A168" t="str" cm="1">
        <f t="array" ref="A168">INDEX(Tabla1[N Doc], ROUNDUP((ROW()-1)/9, 0))</f>
        <v/>
      </c>
      <c r="B168" t="str">
        <f>IF(OR(A168="",A168=0),"",CHOOSE(
    COUNTIF($A$2:A168,A168),
    1,2,3,4,5,6,7,8,9
))</f>
        <v/>
      </c>
      <c r="C168" t="str">
        <f t="shared" si="2"/>
        <v/>
      </c>
      <c r="D168" s="7" t="str" cm="1">
        <f t="array" ref="D168">IF(OR($A168="",$A168=0),"",
IF(AND(INDEX(Formulario!$H$14:$H$100, $A168)="Si", C168&lt;&gt;31),
        VLOOKUP("cta puente",'Descripciones de gastos'!G:H, 2, FALSE),
IF(B168=1,
        INDEX(Tabla13[Titular], MATCH($A168, Tabla1[N Doc], 0)),
IF(B168=2,
        INDEX(Tabla1[Cuenta contable], MATCH($A168, Tabla1[N Doc], 0)),
IF(B168=3,
        INDEX(Tabla13[Cta Iva 22], MATCH($A168, Tabla1[N Doc], 0)),
IF(B168=4,
        INDEX(Tabla1[Cuenta contable], MATCH($A168, Tabla1[N Doc], 0)),
IF(B168=5,
        INDEX(Tabla13[Cta Iva 10], MATCH($A168, Tabla1[N Doc], 0)),
IF(B168=6,
        INDEX(Tabla1[Cuenta contable], MATCH($A168, Tabla1[N Doc], 0)),
IF(B168=7,
        INDEX(Tabla1[Cuenta contable], MATCH($A168, Tabla1[N Doc], 0)),
IF(B168=8,
        IF(INDEX(Tabla1[Tipo IVA], MATCH($A168, Tabla1[N Doc], 0))="22%",
             INDEX(Tabla13[Cta Iva 22], MATCH($A168, Tabla1[N Doc], 0)),
             INDEX(Tabla13[Cta Iva 10], MATCH($A168, Tabla1[N Doc], 0))),
IF(B168=9,
        INDEX(Tabla1[Cuenta contable], MATCH($A168, Tabla1[N Doc], 0))
)))))))))))</f>
        <v/>
      </c>
      <c r="F168" t="str">
        <f>IF(OR($A168="",$A168=0),"",IF(B168=1,
        INDEX(Tabla1[Importe total], MATCH($A168, Tabla1[N Doc], 0)),
IF(B168=2,
        INDEX(Tabla1[Base imponible 22], MATCH($A168, Tabla1[N Doc], 0)),
IF(B168=3,
        INDEX(Tabla1[Iva 22], MATCH($A168, Tabla1[N Doc], 0)),
IF(B168=4,
        INDEX(Tabla1[Base imponible 10], MATCH($A168, Tabla1[N Doc], 0)),
IF(B168=5,
        INDEX(Tabla1[Iva 10], MATCH($A168, Tabla1[N Doc], 0)),
IF(B168=6,
        INDEX(Tabla1[Exento], MATCH($A168, Tabla1[N Doc], 0)),
IF(B168=7,
        INDEX(#REF!, MATCH($A168, Tabla1[N Doc], 0)),
IF(B168=8,
        INDEX(#REF!, MATCH($A168, Tabla1[N Doc], 0)),
IF(B168=9,
        INDEX(Tabla1[Descuentos], MATCH($A168, Tabla1[N Doc], 0)),
""))))))))))</f>
        <v/>
      </c>
      <c r="G168" t="str">
        <f>IF(OR($A168="",$A168=0),"",IF(OR(B168=2,B168=4,B168=6,B168=7),
    INDEX(Tabla13[Ind impuestos], MATCH($A168, Tabla13[N Doc], 0)),
""))</f>
        <v/>
      </c>
      <c r="J168" t="str">
        <f>IF(OR($A168="",$A168=0),"",IF(OR(B168=2,B168=4,B168=6,B168=7),
    INDEX(Tabla1[CECO], MATCH($A168, Tabla1[N Doc], 0)),
""))</f>
        <v/>
      </c>
      <c r="M168" t="str">
        <f>IF(C168=31,INDEX(Tabla1[Descripción], MATCH($A168, Tabla1[N Doc], 0)),"")</f>
        <v/>
      </c>
    </row>
    <row r="169" spans="1:13" x14ac:dyDescent="0.3">
      <c r="A169" t="str" cm="1">
        <f t="array" ref="A169">INDEX(Tabla1[N Doc], ROUNDUP((ROW()-1)/9, 0))</f>
        <v/>
      </c>
      <c r="B169" t="str">
        <f>IF(OR(A169="",A169=0),"",CHOOSE(
    COUNTIF($A$2:A169,A169),
    1,2,3,4,5,6,7,8,9
))</f>
        <v/>
      </c>
      <c r="C169" t="str">
        <f t="shared" si="2"/>
        <v/>
      </c>
      <c r="D169" s="7" t="str" cm="1">
        <f t="array" ref="D169">IF(OR($A169="",$A169=0),"",
IF(AND(INDEX(Formulario!$H$14:$H$100, $A169)="Si", C169&lt;&gt;31),
        VLOOKUP("cta puente",'Descripciones de gastos'!G:H, 2, FALSE),
IF(B169=1,
        INDEX(Tabla13[Titular], MATCH($A169, Tabla1[N Doc], 0)),
IF(B169=2,
        INDEX(Tabla1[Cuenta contable], MATCH($A169, Tabla1[N Doc], 0)),
IF(B169=3,
        INDEX(Tabla13[Cta Iva 22], MATCH($A169, Tabla1[N Doc], 0)),
IF(B169=4,
        INDEX(Tabla1[Cuenta contable], MATCH($A169, Tabla1[N Doc], 0)),
IF(B169=5,
        INDEX(Tabla13[Cta Iva 10], MATCH($A169, Tabla1[N Doc], 0)),
IF(B169=6,
        INDEX(Tabla1[Cuenta contable], MATCH($A169, Tabla1[N Doc], 0)),
IF(B169=7,
        INDEX(Tabla1[Cuenta contable], MATCH($A169, Tabla1[N Doc], 0)),
IF(B169=8,
        IF(INDEX(Tabla1[Tipo IVA], MATCH($A169, Tabla1[N Doc], 0))="22%",
             INDEX(Tabla13[Cta Iva 22], MATCH($A169, Tabla1[N Doc], 0)),
             INDEX(Tabla13[Cta Iva 10], MATCH($A169, Tabla1[N Doc], 0))),
IF(B169=9,
        INDEX(Tabla1[Cuenta contable], MATCH($A169, Tabla1[N Doc], 0))
)))))))))))</f>
        <v/>
      </c>
      <c r="F169" t="str">
        <f>IF(OR($A169="",$A169=0),"",IF(B169=1,
        INDEX(Tabla1[Importe total], MATCH($A169, Tabla1[N Doc], 0)),
IF(B169=2,
        INDEX(Tabla1[Base imponible 22], MATCH($A169, Tabla1[N Doc], 0)),
IF(B169=3,
        INDEX(Tabla1[Iva 22], MATCH($A169, Tabla1[N Doc], 0)),
IF(B169=4,
        INDEX(Tabla1[Base imponible 10], MATCH($A169, Tabla1[N Doc], 0)),
IF(B169=5,
        INDEX(Tabla1[Iva 10], MATCH($A169, Tabla1[N Doc], 0)),
IF(B169=6,
        INDEX(Tabla1[Exento], MATCH($A169, Tabla1[N Doc], 0)),
IF(B169=7,
        INDEX(#REF!, MATCH($A169, Tabla1[N Doc], 0)),
IF(B169=8,
        INDEX(#REF!, MATCH($A169, Tabla1[N Doc], 0)),
IF(B169=9,
        INDEX(Tabla1[Descuentos], MATCH($A169, Tabla1[N Doc], 0)),
""))))))))))</f>
        <v/>
      </c>
      <c r="G169" t="str">
        <f>IF(OR($A169="",$A169=0),"",IF(OR(B169=2,B169=4,B169=6,B169=7),
    INDEX(Tabla13[Ind impuestos], MATCH($A169, Tabla13[N Doc], 0)),
""))</f>
        <v/>
      </c>
      <c r="J169" t="str">
        <f>IF(OR($A169="",$A169=0),"",IF(OR(B169=2,B169=4,B169=6,B169=7),
    INDEX(Tabla1[CECO], MATCH($A169, Tabla1[N Doc], 0)),
""))</f>
        <v/>
      </c>
      <c r="M169" t="str">
        <f>IF(C169=31,INDEX(Tabla1[Descripción], MATCH($A169, Tabla1[N Doc], 0)),"")</f>
        <v/>
      </c>
    </row>
    <row r="170" spans="1:13" x14ac:dyDescent="0.3">
      <c r="A170" t="str" cm="1">
        <f t="array" ref="A170">INDEX(Tabla1[N Doc], ROUNDUP((ROW()-1)/9, 0))</f>
        <v/>
      </c>
      <c r="B170" t="str">
        <f>IF(OR(A170="",A170=0),"",CHOOSE(
    COUNTIF($A$2:A170,A170),
    1,2,3,4,5,6,7,8,9
))</f>
        <v/>
      </c>
      <c r="C170" t="str">
        <f t="shared" si="2"/>
        <v/>
      </c>
      <c r="D170" s="7" t="str" cm="1">
        <f t="array" ref="D170">IF(OR($A170="",$A170=0),"",
IF(AND(INDEX(Formulario!$H$14:$H$100, $A170)="Si", C170&lt;&gt;31),
        VLOOKUP("cta puente",'Descripciones de gastos'!G:H, 2, FALSE),
IF(B170=1,
        INDEX(Tabla13[Titular], MATCH($A170, Tabla1[N Doc], 0)),
IF(B170=2,
        INDEX(Tabla1[Cuenta contable], MATCH($A170, Tabla1[N Doc], 0)),
IF(B170=3,
        INDEX(Tabla13[Cta Iva 22], MATCH($A170, Tabla1[N Doc], 0)),
IF(B170=4,
        INDEX(Tabla1[Cuenta contable], MATCH($A170, Tabla1[N Doc], 0)),
IF(B170=5,
        INDEX(Tabla13[Cta Iva 10], MATCH($A170, Tabla1[N Doc], 0)),
IF(B170=6,
        INDEX(Tabla1[Cuenta contable], MATCH($A170, Tabla1[N Doc], 0)),
IF(B170=7,
        INDEX(Tabla1[Cuenta contable], MATCH($A170, Tabla1[N Doc], 0)),
IF(B170=8,
        IF(INDEX(Tabla1[Tipo IVA], MATCH($A170, Tabla1[N Doc], 0))="22%",
             INDEX(Tabla13[Cta Iva 22], MATCH($A170, Tabla1[N Doc], 0)),
             INDEX(Tabla13[Cta Iva 10], MATCH($A170, Tabla1[N Doc], 0))),
IF(B170=9,
        INDEX(Tabla1[Cuenta contable], MATCH($A170, Tabla1[N Doc], 0))
)))))))))))</f>
        <v/>
      </c>
      <c r="F170" t="str">
        <f>IF(OR($A170="",$A170=0),"",IF(B170=1,
        INDEX(Tabla1[Importe total], MATCH($A170, Tabla1[N Doc], 0)),
IF(B170=2,
        INDEX(Tabla1[Base imponible 22], MATCH($A170, Tabla1[N Doc], 0)),
IF(B170=3,
        INDEX(Tabla1[Iva 22], MATCH($A170, Tabla1[N Doc], 0)),
IF(B170=4,
        INDEX(Tabla1[Base imponible 10], MATCH($A170, Tabla1[N Doc], 0)),
IF(B170=5,
        INDEX(Tabla1[Iva 10], MATCH($A170, Tabla1[N Doc], 0)),
IF(B170=6,
        INDEX(Tabla1[Exento], MATCH($A170, Tabla1[N Doc], 0)),
IF(B170=7,
        INDEX(#REF!, MATCH($A170, Tabla1[N Doc], 0)),
IF(B170=8,
        INDEX(#REF!, MATCH($A170, Tabla1[N Doc], 0)),
IF(B170=9,
        INDEX(Tabla1[Descuentos], MATCH($A170, Tabla1[N Doc], 0)),
""))))))))))</f>
        <v/>
      </c>
      <c r="G170" t="str">
        <f>IF(OR($A170="",$A170=0),"",IF(OR(B170=2,B170=4,B170=6,B170=7),
    INDEX(Tabla13[Ind impuestos], MATCH($A170, Tabla13[N Doc], 0)),
""))</f>
        <v/>
      </c>
      <c r="J170" t="str">
        <f>IF(OR($A170="",$A170=0),"",IF(OR(B170=2,B170=4,B170=6,B170=7),
    INDEX(Tabla1[CECO], MATCH($A170, Tabla1[N Doc], 0)),
""))</f>
        <v/>
      </c>
      <c r="M170" t="str">
        <f>IF(C170=31,INDEX(Tabla1[Descripción], MATCH($A170, Tabla1[N Doc], 0)),"")</f>
        <v/>
      </c>
    </row>
    <row r="171" spans="1:13" x14ac:dyDescent="0.3">
      <c r="A171" t="str" cm="1">
        <f t="array" ref="A171">INDEX(Tabla1[N Doc], ROUNDUP((ROW()-1)/9, 0))</f>
        <v/>
      </c>
      <c r="B171" t="str">
        <f>IF(OR(A171="",A171=0),"",CHOOSE(
    COUNTIF($A$2:A171,A171),
    1,2,3,4,5,6,7,8,9
))</f>
        <v/>
      </c>
      <c r="C171" t="str">
        <f t="shared" si="2"/>
        <v/>
      </c>
      <c r="D171" s="7" t="str" cm="1">
        <f t="array" ref="D171">IF(OR($A171="",$A171=0),"",
IF(AND(INDEX(Formulario!$H$14:$H$100, $A171)="Si", C171&lt;&gt;31),
        VLOOKUP("cta puente",'Descripciones de gastos'!G:H, 2, FALSE),
IF(B171=1,
        INDEX(Tabla13[Titular], MATCH($A171, Tabla1[N Doc], 0)),
IF(B171=2,
        INDEX(Tabla1[Cuenta contable], MATCH($A171, Tabla1[N Doc], 0)),
IF(B171=3,
        INDEX(Tabla13[Cta Iva 22], MATCH($A171, Tabla1[N Doc], 0)),
IF(B171=4,
        INDEX(Tabla1[Cuenta contable], MATCH($A171, Tabla1[N Doc], 0)),
IF(B171=5,
        INDEX(Tabla13[Cta Iva 10], MATCH($A171, Tabla1[N Doc], 0)),
IF(B171=6,
        INDEX(Tabla1[Cuenta contable], MATCH($A171, Tabla1[N Doc], 0)),
IF(B171=7,
        INDEX(Tabla1[Cuenta contable], MATCH($A171, Tabla1[N Doc], 0)),
IF(B171=8,
        IF(INDEX(Tabla1[Tipo IVA], MATCH($A171, Tabla1[N Doc], 0))="22%",
             INDEX(Tabla13[Cta Iva 22], MATCH($A171, Tabla1[N Doc], 0)),
             INDEX(Tabla13[Cta Iva 10], MATCH($A171, Tabla1[N Doc], 0))),
IF(B171=9,
        INDEX(Tabla1[Cuenta contable], MATCH($A171, Tabla1[N Doc], 0))
)))))))))))</f>
        <v/>
      </c>
      <c r="F171" t="str">
        <f>IF(OR($A171="",$A171=0),"",IF(B171=1,
        INDEX(Tabla1[Importe total], MATCH($A171, Tabla1[N Doc], 0)),
IF(B171=2,
        INDEX(Tabla1[Base imponible 22], MATCH($A171, Tabla1[N Doc], 0)),
IF(B171=3,
        INDEX(Tabla1[Iva 22], MATCH($A171, Tabla1[N Doc], 0)),
IF(B171=4,
        INDEX(Tabla1[Base imponible 10], MATCH($A171, Tabla1[N Doc], 0)),
IF(B171=5,
        INDEX(Tabla1[Iva 10], MATCH($A171, Tabla1[N Doc], 0)),
IF(B171=6,
        INDEX(Tabla1[Exento], MATCH($A171, Tabla1[N Doc], 0)),
IF(B171=7,
        INDEX(#REF!, MATCH($A171, Tabla1[N Doc], 0)),
IF(B171=8,
        INDEX(#REF!, MATCH($A171, Tabla1[N Doc], 0)),
IF(B171=9,
        INDEX(Tabla1[Descuentos], MATCH($A171, Tabla1[N Doc], 0)),
""))))))))))</f>
        <v/>
      </c>
      <c r="G171" t="str">
        <f>IF(OR($A171="",$A171=0),"",IF(OR(B171=2,B171=4,B171=6,B171=7),
    INDEX(Tabla13[Ind impuestos], MATCH($A171, Tabla13[N Doc], 0)),
""))</f>
        <v/>
      </c>
      <c r="J171" t="str">
        <f>IF(OR($A171="",$A171=0),"",IF(OR(B171=2,B171=4,B171=6,B171=7),
    INDEX(Tabla1[CECO], MATCH($A171, Tabla1[N Doc], 0)),
""))</f>
        <v/>
      </c>
      <c r="M171" t="str">
        <f>IF(C171=31,INDEX(Tabla1[Descripción], MATCH($A171, Tabla1[N Doc], 0)),"")</f>
        <v/>
      </c>
    </row>
    <row r="172" spans="1:13" x14ac:dyDescent="0.3">
      <c r="A172" t="str" cm="1">
        <f t="array" ref="A172">INDEX(Tabla1[N Doc], ROUNDUP((ROW()-1)/9, 0))</f>
        <v/>
      </c>
      <c r="B172" t="str">
        <f>IF(OR(A172="",A172=0),"",CHOOSE(
    COUNTIF($A$2:A172,A172),
    1,2,3,4,5,6,7,8,9
))</f>
        <v/>
      </c>
      <c r="C172" t="str">
        <f t="shared" si="2"/>
        <v/>
      </c>
      <c r="D172" s="7" t="str" cm="1">
        <f t="array" ref="D172">IF(OR($A172="",$A172=0),"",
IF(AND(INDEX(Formulario!$H$14:$H$100, $A172)="Si", C172&lt;&gt;31),
        VLOOKUP("cta puente",'Descripciones de gastos'!G:H, 2, FALSE),
IF(B172=1,
        INDEX(Tabla13[Titular], MATCH($A172, Tabla1[N Doc], 0)),
IF(B172=2,
        INDEX(Tabla1[Cuenta contable], MATCH($A172, Tabla1[N Doc], 0)),
IF(B172=3,
        INDEX(Tabla13[Cta Iva 22], MATCH($A172, Tabla1[N Doc], 0)),
IF(B172=4,
        INDEX(Tabla1[Cuenta contable], MATCH($A172, Tabla1[N Doc], 0)),
IF(B172=5,
        INDEX(Tabla13[Cta Iva 10], MATCH($A172, Tabla1[N Doc], 0)),
IF(B172=6,
        INDEX(Tabla1[Cuenta contable], MATCH($A172, Tabla1[N Doc], 0)),
IF(B172=7,
        INDEX(Tabla1[Cuenta contable], MATCH($A172, Tabla1[N Doc], 0)),
IF(B172=8,
        IF(INDEX(Tabla1[Tipo IVA], MATCH($A172, Tabla1[N Doc], 0))="22%",
             INDEX(Tabla13[Cta Iva 22], MATCH($A172, Tabla1[N Doc], 0)),
             INDEX(Tabla13[Cta Iva 10], MATCH($A172, Tabla1[N Doc], 0))),
IF(B172=9,
        INDEX(Tabla1[Cuenta contable], MATCH($A172, Tabla1[N Doc], 0))
)))))))))))</f>
        <v/>
      </c>
      <c r="F172" t="str">
        <f>IF(OR($A172="",$A172=0),"",IF(B172=1,
        INDEX(Tabla1[Importe total], MATCH($A172, Tabla1[N Doc], 0)),
IF(B172=2,
        INDEX(Tabla1[Base imponible 22], MATCH($A172, Tabla1[N Doc], 0)),
IF(B172=3,
        INDEX(Tabla1[Iva 22], MATCH($A172, Tabla1[N Doc], 0)),
IF(B172=4,
        INDEX(Tabla1[Base imponible 10], MATCH($A172, Tabla1[N Doc], 0)),
IF(B172=5,
        INDEX(Tabla1[Iva 10], MATCH($A172, Tabla1[N Doc], 0)),
IF(B172=6,
        INDEX(Tabla1[Exento], MATCH($A172, Tabla1[N Doc], 0)),
IF(B172=7,
        INDEX(#REF!, MATCH($A172, Tabla1[N Doc], 0)),
IF(B172=8,
        INDEX(#REF!, MATCH($A172, Tabla1[N Doc], 0)),
IF(B172=9,
        INDEX(Tabla1[Descuentos], MATCH($A172, Tabla1[N Doc], 0)),
""))))))))))</f>
        <v/>
      </c>
      <c r="G172" t="str">
        <f>IF(OR($A172="",$A172=0),"",IF(OR(B172=2,B172=4,B172=6,B172=7),
    INDEX(Tabla13[Ind impuestos], MATCH($A172, Tabla13[N Doc], 0)),
""))</f>
        <v/>
      </c>
      <c r="J172" t="str">
        <f>IF(OR($A172="",$A172=0),"",IF(OR(B172=2,B172=4,B172=6,B172=7),
    INDEX(Tabla1[CECO], MATCH($A172, Tabla1[N Doc], 0)),
""))</f>
        <v/>
      </c>
      <c r="M172" t="str">
        <f>IF(C172=31,INDEX(Tabla1[Descripción], MATCH($A172, Tabla1[N Doc], 0)),"")</f>
        <v/>
      </c>
    </row>
    <row r="173" spans="1:13" x14ac:dyDescent="0.3">
      <c r="A173" t="str" cm="1">
        <f t="array" ref="A173">INDEX(Tabla1[N Doc], ROUNDUP((ROW()-1)/9, 0))</f>
        <v/>
      </c>
      <c r="B173" t="str">
        <f>IF(OR(A173="",A173=0),"",CHOOSE(
    COUNTIF($A$2:A173,A173),
    1,2,3,4,5,6,7,8,9
))</f>
        <v/>
      </c>
      <c r="C173" t="str">
        <f t="shared" si="2"/>
        <v/>
      </c>
      <c r="D173" s="7" t="str" cm="1">
        <f t="array" ref="D173">IF(OR($A173="",$A173=0),"",
IF(AND(INDEX(Formulario!$H$14:$H$100, $A173)="Si", C173&lt;&gt;31),
        VLOOKUP("cta puente",'Descripciones de gastos'!G:H, 2, FALSE),
IF(B173=1,
        INDEX(Tabla13[Titular], MATCH($A173, Tabla1[N Doc], 0)),
IF(B173=2,
        INDEX(Tabla1[Cuenta contable], MATCH($A173, Tabla1[N Doc], 0)),
IF(B173=3,
        INDEX(Tabla13[Cta Iva 22], MATCH($A173, Tabla1[N Doc], 0)),
IF(B173=4,
        INDEX(Tabla1[Cuenta contable], MATCH($A173, Tabla1[N Doc], 0)),
IF(B173=5,
        INDEX(Tabla13[Cta Iva 10], MATCH($A173, Tabla1[N Doc], 0)),
IF(B173=6,
        INDEX(Tabla1[Cuenta contable], MATCH($A173, Tabla1[N Doc], 0)),
IF(B173=7,
        INDEX(Tabla1[Cuenta contable], MATCH($A173, Tabla1[N Doc], 0)),
IF(B173=8,
        IF(INDEX(Tabla1[Tipo IVA], MATCH($A173, Tabla1[N Doc], 0))="22%",
             INDEX(Tabla13[Cta Iva 22], MATCH($A173, Tabla1[N Doc], 0)),
             INDEX(Tabla13[Cta Iva 10], MATCH($A173, Tabla1[N Doc], 0))),
IF(B173=9,
        INDEX(Tabla1[Cuenta contable], MATCH($A173, Tabla1[N Doc], 0))
)))))))))))</f>
        <v/>
      </c>
      <c r="F173" t="str">
        <f>IF(OR($A173="",$A173=0),"",IF(B173=1,
        INDEX(Tabla1[Importe total], MATCH($A173, Tabla1[N Doc], 0)),
IF(B173=2,
        INDEX(Tabla1[Base imponible 22], MATCH($A173, Tabla1[N Doc], 0)),
IF(B173=3,
        INDEX(Tabla1[Iva 22], MATCH($A173, Tabla1[N Doc], 0)),
IF(B173=4,
        INDEX(Tabla1[Base imponible 10], MATCH($A173, Tabla1[N Doc], 0)),
IF(B173=5,
        INDEX(Tabla1[Iva 10], MATCH($A173, Tabla1[N Doc], 0)),
IF(B173=6,
        INDEX(Tabla1[Exento], MATCH($A173, Tabla1[N Doc], 0)),
IF(B173=7,
        INDEX(#REF!, MATCH($A173, Tabla1[N Doc], 0)),
IF(B173=8,
        INDEX(#REF!, MATCH($A173, Tabla1[N Doc], 0)),
IF(B173=9,
        INDEX(Tabla1[Descuentos], MATCH($A173, Tabla1[N Doc], 0)),
""))))))))))</f>
        <v/>
      </c>
      <c r="G173" t="str">
        <f>IF(OR($A173="",$A173=0),"",IF(OR(B173=2,B173=4,B173=6,B173=7),
    INDEX(Tabla13[Ind impuestos], MATCH($A173, Tabla13[N Doc], 0)),
""))</f>
        <v/>
      </c>
      <c r="J173" t="str">
        <f>IF(OR($A173="",$A173=0),"",IF(OR(B173=2,B173=4,B173=6,B173=7),
    INDEX(Tabla1[CECO], MATCH($A173, Tabla1[N Doc], 0)),
""))</f>
        <v/>
      </c>
      <c r="M173" t="str">
        <f>IF(C173=31,INDEX(Tabla1[Descripción], MATCH($A173, Tabla1[N Doc], 0)),"")</f>
        <v/>
      </c>
    </row>
    <row r="174" spans="1:13" x14ac:dyDescent="0.3">
      <c r="A174" t="str" cm="1">
        <f t="array" ref="A174">INDEX(Tabla1[N Doc], ROUNDUP((ROW()-1)/9, 0))</f>
        <v/>
      </c>
      <c r="B174" t="str">
        <f>IF(OR(A174="",A174=0),"",CHOOSE(
    COUNTIF($A$2:A174,A174),
    1,2,3,4,5,6,7,8,9
))</f>
        <v/>
      </c>
      <c r="C174" t="str">
        <f t="shared" si="2"/>
        <v/>
      </c>
      <c r="D174" s="7" t="str" cm="1">
        <f t="array" ref="D174">IF(OR($A174="",$A174=0),"",
IF(AND(INDEX(Formulario!$H$14:$H$100, $A174)="Si", C174&lt;&gt;31),
        VLOOKUP("cta puente",'Descripciones de gastos'!G:H, 2, FALSE),
IF(B174=1,
        INDEX(Tabla13[Titular], MATCH($A174, Tabla1[N Doc], 0)),
IF(B174=2,
        INDEX(Tabla1[Cuenta contable], MATCH($A174, Tabla1[N Doc], 0)),
IF(B174=3,
        INDEX(Tabla13[Cta Iva 22], MATCH($A174, Tabla1[N Doc], 0)),
IF(B174=4,
        INDEX(Tabla1[Cuenta contable], MATCH($A174, Tabla1[N Doc], 0)),
IF(B174=5,
        INDEX(Tabla13[Cta Iva 10], MATCH($A174, Tabla1[N Doc], 0)),
IF(B174=6,
        INDEX(Tabla1[Cuenta contable], MATCH($A174, Tabla1[N Doc], 0)),
IF(B174=7,
        INDEX(Tabla1[Cuenta contable], MATCH($A174, Tabla1[N Doc], 0)),
IF(B174=8,
        IF(INDEX(Tabla1[Tipo IVA], MATCH($A174, Tabla1[N Doc], 0))="22%",
             INDEX(Tabla13[Cta Iva 22], MATCH($A174, Tabla1[N Doc], 0)),
             INDEX(Tabla13[Cta Iva 10], MATCH($A174, Tabla1[N Doc], 0))),
IF(B174=9,
        INDEX(Tabla1[Cuenta contable], MATCH($A174, Tabla1[N Doc], 0))
)))))))))))</f>
        <v/>
      </c>
      <c r="F174" t="str">
        <f>IF(OR($A174="",$A174=0),"",IF(B174=1,
        INDEX(Tabla1[Importe total], MATCH($A174, Tabla1[N Doc], 0)),
IF(B174=2,
        INDEX(Tabla1[Base imponible 22], MATCH($A174, Tabla1[N Doc], 0)),
IF(B174=3,
        INDEX(Tabla1[Iva 22], MATCH($A174, Tabla1[N Doc], 0)),
IF(B174=4,
        INDEX(Tabla1[Base imponible 10], MATCH($A174, Tabla1[N Doc], 0)),
IF(B174=5,
        INDEX(Tabla1[Iva 10], MATCH($A174, Tabla1[N Doc], 0)),
IF(B174=6,
        INDEX(Tabla1[Exento], MATCH($A174, Tabla1[N Doc], 0)),
IF(B174=7,
        INDEX(#REF!, MATCH($A174, Tabla1[N Doc], 0)),
IF(B174=8,
        INDEX(#REF!, MATCH($A174, Tabla1[N Doc], 0)),
IF(B174=9,
        INDEX(Tabla1[Descuentos], MATCH($A174, Tabla1[N Doc], 0)),
""))))))))))</f>
        <v/>
      </c>
      <c r="G174" t="str">
        <f>IF(OR($A174="",$A174=0),"",IF(OR(B174=2,B174=4,B174=6,B174=7),
    INDEX(Tabla13[Ind impuestos], MATCH($A174, Tabla13[N Doc], 0)),
""))</f>
        <v/>
      </c>
      <c r="J174" t="str">
        <f>IF(OR($A174="",$A174=0),"",IF(OR(B174=2,B174=4,B174=6,B174=7),
    INDEX(Tabla1[CECO], MATCH($A174, Tabla1[N Doc], 0)),
""))</f>
        <v/>
      </c>
      <c r="M174" t="str">
        <f>IF(C174=31,INDEX(Tabla1[Descripción], MATCH($A174, Tabla1[N Doc], 0)),"")</f>
        <v/>
      </c>
    </row>
    <row r="175" spans="1:13" x14ac:dyDescent="0.3">
      <c r="A175" t="str" cm="1">
        <f t="array" ref="A175">INDEX(Tabla1[N Doc], ROUNDUP((ROW()-1)/9, 0))</f>
        <v/>
      </c>
      <c r="B175" t="str">
        <f>IF(OR(A175="",A175=0),"",CHOOSE(
    COUNTIF($A$2:A175,A175),
    1,2,3,4,5,6,7,8,9
))</f>
        <v/>
      </c>
      <c r="C175" t="str">
        <f t="shared" si="2"/>
        <v/>
      </c>
      <c r="D175" s="7" t="str" cm="1">
        <f t="array" ref="D175">IF(OR($A175="",$A175=0),"",
IF(AND(INDEX(Formulario!$H$14:$H$100, $A175)="Si", C175&lt;&gt;31),
        VLOOKUP("cta puente",'Descripciones de gastos'!G:H, 2, FALSE),
IF(B175=1,
        INDEX(Tabla13[Titular], MATCH($A175, Tabla1[N Doc], 0)),
IF(B175=2,
        INDEX(Tabla1[Cuenta contable], MATCH($A175, Tabla1[N Doc], 0)),
IF(B175=3,
        INDEX(Tabla13[Cta Iva 22], MATCH($A175, Tabla1[N Doc], 0)),
IF(B175=4,
        INDEX(Tabla1[Cuenta contable], MATCH($A175, Tabla1[N Doc], 0)),
IF(B175=5,
        INDEX(Tabla13[Cta Iva 10], MATCH($A175, Tabla1[N Doc], 0)),
IF(B175=6,
        INDEX(Tabla1[Cuenta contable], MATCH($A175, Tabla1[N Doc], 0)),
IF(B175=7,
        INDEX(Tabla1[Cuenta contable], MATCH($A175, Tabla1[N Doc], 0)),
IF(B175=8,
        IF(INDEX(Tabla1[Tipo IVA], MATCH($A175, Tabla1[N Doc], 0))="22%",
             INDEX(Tabla13[Cta Iva 22], MATCH($A175, Tabla1[N Doc], 0)),
             INDEX(Tabla13[Cta Iva 10], MATCH($A175, Tabla1[N Doc], 0))),
IF(B175=9,
        INDEX(Tabla1[Cuenta contable], MATCH($A175, Tabla1[N Doc], 0))
)))))))))))</f>
        <v/>
      </c>
      <c r="F175" t="str">
        <f>IF(OR($A175="",$A175=0),"",IF(B175=1,
        INDEX(Tabla1[Importe total], MATCH($A175, Tabla1[N Doc], 0)),
IF(B175=2,
        INDEX(Tabla1[Base imponible 22], MATCH($A175, Tabla1[N Doc], 0)),
IF(B175=3,
        INDEX(Tabla1[Iva 22], MATCH($A175, Tabla1[N Doc], 0)),
IF(B175=4,
        INDEX(Tabla1[Base imponible 10], MATCH($A175, Tabla1[N Doc], 0)),
IF(B175=5,
        INDEX(Tabla1[Iva 10], MATCH($A175, Tabla1[N Doc], 0)),
IF(B175=6,
        INDEX(Tabla1[Exento], MATCH($A175, Tabla1[N Doc], 0)),
IF(B175=7,
        INDEX(#REF!, MATCH($A175, Tabla1[N Doc], 0)),
IF(B175=8,
        INDEX(#REF!, MATCH($A175, Tabla1[N Doc], 0)),
IF(B175=9,
        INDEX(Tabla1[Descuentos], MATCH($A175, Tabla1[N Doc], 0)),
""))))))))))</f>
        <v/>
      </c>
      <c r="G175" t="str">
        <f>IF(OR($A175="",$A175=0),"",IF(OR(B175=2,B175=4,B175=6,B175=7),
    INDEX(Tabla13[Ind impuestos], MATCH($A175, Tabla13[N Doc], 0)),
""))</f>
        <v/>
      </c>
      <c r="J175" t="str">
        <f>IF(OR($A175="",$A175=0),"",IF(OR(B175=2,B175=4,B175=6,B175=7),
    INDEX(Tabla1[CECO], MATCH($A175, Tabla1[N Doc], 0)),
""))</f>
        <v/>
      </c>
      <c r="M175" t="str">
        <f>IF(C175=31,INDEX(Tabla1[Descripción], MATCH($A175, Tabla1[N Doc], 0)),"")</f>
        <v/>
      </c>
    </row>
    <row r="176" spans="1:13" x14ac:dyDescent="0.3">
      <c r="A176" t="str" cm="1">
        <f t="array" ref="A176">INDEX(Tabla1[N Doc], ROUNDUP((ROW()-1)/9, 0))</f>
        <v/>
      </c>
      <c r="B176" t="str">
        <f>IF(OR(A176="",A176=0),"",CHOOSE(
    COUNTIF($A$2:A176,A176),
    1,2,3,4,5,6,7,8,9
))</f>
        <v/>
      </c>
      <c r="C176" t="str">
        <f t="shared" si="2"/>
        <v/>
      </c>
      <c r="D176" s="7" t="str" cm="1">
        <f t="array" ref="D176">IF(OR($A176="",$A176=0),"",
IF(AND(INDEX(Formulario!$H$14:$H$100, $A176)="Si", C176&lt;&gt;31),
        VLOOKUP("cta puente",'Descripciones de gastos'!G:H, 2, FALSE),
IF(B176=1,
        INDEX(Tabla13[Titular], MATCH($A176, Tabla1[N Doc], 0)),
IF(B176=2,
        INDEX(Tabla1[Cuenta contable], MATCH($A176, Tabla1[N Doc], 0)),
IF(B176=3,
        INDEX(Tabla13[Cta Iva 22], MATCH($A176, Tabla1[N Doc], 0)),
IF(B176=4,
        INDEX(Tabla1[Cuenta contable], MATCH($A176, Tabla1[N Doc], 0)),
IF(B176=5,
        INDEX(Tabla13[Cta Iva 10], MATCH($A176, Tabla1[N Doc], 0)),
IF(B176=6,
        INDEX(Tabla1[Cuenta contable], MATCH($A176, Tabla1[N Doc], 0)),
IF(B176=7,
        INDEX(Tabla1[Cuenta contable], MATCH($A176, Tabla1[N Doc], 0)),
IF(B176=8,
        IF(INDEX(Tabla1[Tipo IVA], MATCH($A176, Tabla1[N Doc], 0))="22%",
             INDEX(Tabla13[Cta Iva 22], MATCH($A176, Tabla1[N Doc], 0)),
             INDEX(Tabla13[Cta Iva 10], MATCH($A176, Tabla1[N Doc], 0))),
IF(B176=9,
        INDEX(Tabla1[Cuenta contable], MATCH($A176, Tabla1[N Doc], 0))
)))))))))))</f>
        <v/>
      </c>
      <c r="F176" t="str">
        <f>IF(OR($A176="",$A176=0),"",IF(B176=1,
        INDEX(Tabla1[Importe total], MATCH($A176, Tabla1[N Doc], 0)),
IF(B176=2,
        INDEX(Tabla1[Base imponible 22], MATCH($A176, Tabla1[N Doc], 0)),
IF(B176=3,
        INDEX(Tabla1[Iva 22], MATCH($A176, Tabla1[N Doc], 0)),
IF(B176=4,
        INDEX(Tabla1[Base imponible 10], MATCH($A176, Tabla1[N Doc], 0)),
IF(B176=5,
        INDEX(Tabla1[Iva 10], MATCH($A176, Tabla1[N Doc], 0)),
IF(B176=6,
        INDEX(Tabla1[Exento], MATCH($A176, Tabla1[N Doc], 0)),
IF(B176=7,
        INDEX(#REF!, MATCH($A176, Tabla1[N Doc], 0)),
IF(B176=8,
        INDEX(#REF!, MATCH($A176, Tabla1[N Doc], 0)),
IF(B176=9,
        INDEX(Tabla1[Descuentos], MATCH($A176, Tabla1[N Doc], 0)),
""))))))))))</f>
        <v/>
      </c>
      <c r="G176" t="str">
        <f>IF(OR($A176="",$A176=0),"",IF(OR(B176=2,B176=4,B176=6,B176=7),
    INDEX(Tabla13[Ind impuestos], MATCH($A176, Tabla13[N Doc], 0)),
""))</f>
        <v/>
      </c>
      <c r="J176" t="str">
        <f>IF(OR($A176="",$A176=0),"",IF(OR(B176=2,B176=4,B176=6,B176=7),
    INDEX(Tabla1[CECO], MATCH($A176, Tabla1[N Doc], 0)),
""))</f>
        <v/>
      </c>
      <c r="M176" t="str">
        <f>IF(C176=31,INDEX(Tabla1[Descripción], MATCH($A176, Tabla1[N Doc], 0)),"")</f>
        <v/>
      </c>
    </row>
    <row r="177" spans="1:13" x14ac:dyDescent="0.3">
      <c r="A177" t="str" cm="1">
        <f t="array" ref="A177">INDEX(Tabla1[N Doc], ROUNDUP((ROW()-1)/9, 0))</f>
        <v/>
      </c>
      <c r="B177" t="str">
        <f>IF(OR(A177="",A177=0),"",CHOOSE(
    COUNTIF($A$2:A177,A177),
    1,2,3,4,5,6,7,8,9
))</f>
        <v/>
      </c>
      <c r="C177" t="str">
        <f t="shared" si="2"/>
        <v/>
      </c>
      <c r="D177" s="7" t="str" cm="1">
        <f t="array" ref="D177">IF(OR($A177="",$A177=0),"",
IF(AND(INDEX(Formulario!$H$14:$H$100, $A177)="Si", C177&lt;&gt;31),
        VLOOKUP("cta puente",'Descripciones de gastos'!G:H, 2, FALSE),
IF(B177=1,
        INDEX(Tabla13[Titular], MATCH($A177, Tabla1[N Doc], 0)),
IF(B177=2,
        INDEX(Tabla1[Cuenta contable], MATCH($A177, Tabla1[N Doc], 0)),
IF(B177=3,
        INDEX(Tabla13[Cta Iva 22], MATCH($A177, Tabla1[N Doc], 0)),
IF(B177=4,
        INDEX(Tabla1[Cuenta contable], MATCH($A177, Tabla1[N Doc], 0)),
IF(B177=5,
        INDEX(Tabla13[Cta Iva 10], MATCH($A177, Tabla1[N Doc], 0)),
IF(B177=6,
        INDEX(Tabla1[Cuenta contable], MATCH($A177, Tabla1[N Doc], 0)),
IF(B177=7,
        INDEX(Tabla1[Cuenta contable], MATCH($A177, Tabla1[N Doc], 0)),
IF(B177=8,
        IF(INDEX(Tabla1[Tipo IVA], MATCH($A177, Tabla1[N Doc], 0))="22%",
             INDEX(Tabla13[Cta Iva 22], MATCH($A177, Tabla1[N Doc], 0)),
             INDEX(Tabla13[Cta Iva 10], MATCH($A177, Tabla1[N Doc], 0))),
IF(B177=9,
        INDEX(Tabla1[Cuenta contable], MATCH($A177, Tabla1[N Doc], 0))
)))))))))))</f>
        <v/>
      </c>
      <c r="F177" t="str">
        <f>IF(OR($A177="",$A177=0),"",IF(B177=1,
        INDEX(Tabla1[Importe total], MATCH($A177, Tabla1[N Doc], 0)),
IF(B177=2,
        INDEX(Tabla1[Base imponible 22], MATCH($A177, Tabla1[N Doc], 0)),
IF(B177=3,
        INDEX(Tabla1[Iva 22], MATCH($A177, Tabla1[N Doc], 0)),
IF(B177=4,
        INDEX(Tabla1[Base imponible 10], MATCH($A177, Tabla1[N Doc], 0)),
IF(B177=5,
        INDEX(Tabla1[Iva 10], MATCH($A177, Tabla1[N Doc], 0)),
IF(B177=6,
        INDEX(Tabla1[Exento], MATCH($A177, Tabla1[N Doc], 0)),
IF(B177=7,
        INDEX(#REF!, MATCH($A177, Tabla1[N Doc], 0)),
IF(B177=8,
        INDEX(#REF!, MATCH($A177, Tabla1[N Doc], 0)),
IF(B177=9,
        INDEX(Tabla1[Descuentos], MATCH($A177, Tabla1[N Doc], 0)),
""))))))))))</f>
        <v/>
      </c>
      <c r="G177" t="str">
        <f>IF(OR($A177="",$A177=0),"",IF(OR(B177=2,B177=4,B177=6,B177=7),
    INDEX(Tabla13[Ind impuestos], MATCH($A177, Tabla13[N Doc], 0)),
""))</f>
        <v/>
      </c>
      <c r="J177" t="str">
        <f>IF(OR($A177="",$A177=0),"",IF(OR(B177=2,B177=4,B177=6,B177=7),
    INDEX(Tabla1[CECO], MATCH($A177, Tabla1[N Doc], 0)),
""))</f>
        <v/>
      </c>
      <c r="M177" t="str">
        <f>IF(C177=31,INDEX(Tabla1[Descripción], MATCH($A177, Tabla1[N Doc], 0)),"")</f>
        <v/>
      </c>
    </row>
    <row r="178" spans="1:13" x14ac:dyDescent="0.3">
      <c r="A178" t="str" cm="1">
        <f t="array" ref="A178">INDEX(Tabla1[N Doc], ROUNDUP((ROW()-1)/9, 0))</f>
        <v/>
      </c>
      <c r="B178" t="str">
        <f>IF(OR(A178="",A178=0),"",CHOOSE(
    COUNTIF($A$2:A178,A178),
    1,2,3,4,5,6,7,8,9
))</f>
        <v/>
      </c>
      <c r="C178" t="str">
        <f t="shared" si="2"/>
        <v/>
      </c>
      <c r="D178" s="7" t="str" cm="1">
        <f t="array" ref="D178">IF(OR($A178="",$A178=0),"",
IF(AND(INDEX(Formulario!$H$14:$H$100, $A178)="Si", C178&lt;&gt;31),
        VLOOKUP("cta puente",'Descripciones de gastos'!G:H, 2, FALSE),
IF(B178=1,
        INDEX(Tabla13[Titular], MATCH($A178, Tabla1[N Doc], 0)),
IF(B178=2,
        INDEX(Tabla1[Cuenta contable], MATCH($A178, Tabla1[N Doc], 0)),
IF(B178=3,
        INDEX(Tabla13[Cta Iva 22], MATCH($A178, Tabla1[N Doc], 0)),
IF(B178=4,
        INDEX(Tabla1[Cuenta contable], MATCH($A178, Tabla1[N Doc], 0)),
IF(B178=5,
        INDEX(Tabla13[Cta Iva 10], MATCH($A178, Tabla1[N Doc], 0)),
IF(B178=6,
        INDEX(Tabla1[Cuenta contable], MATCH($A178, Tabla1[N Doc], 0)),
IF(B178=7,
        INDEX(Tabla1[Cuenta contable], MATCH($A178, Tabla1[N Doc], 0)),
IF(B178=8,
        IF(INDEX(Tabla1[Tipo IVA], MATCH($A178, Tabla1[N Doc], 0))="22%",
             INDEX(Tabla13[Cta Iva 22], MATCH($A178, Tabla1[N Doc], 0)),
             INDEX(Tabla13[Cta Iva 10], MATCH($A178, Tabla1[N Doc], 0))),
IF(B178=9,
        INDEX(Tabla1[Cuenta contable], MATCH($A178, Tabla1[N Doc], 0))
)))))))))))</f>
        <v/>
      </c>
      <c r="F178" t="str">
        <f>IF(OR($A178="",$A178=0),"",IF(B178=1,
        INDEX(Tabla1[Importe total], MATCH($A178, Tabla1[N Doc], 0)),
IF(B178=2,
        INDEX(Tabla1[Base imponible 22], MATCH($A178, Tabla1[N Doc], 0)),
IF(B178=3,
        INDEX(Tabla1[Iva 22], MATCH($A178, Tabla1[N Doc], 0)),
IF(B178=4,
        INDEX(Tabla1[Base imponible 10], MATCH($A178, Tabla1[N Doc], 0)),
IF(B178=5,
        INDEX(Tabla1[Iva 10], MATCH($A178, Tabla1[N Doc], 0)),
IF(B178=6,
        INDEX(Tabla1[Exento], MATCH($A178, Tabla1[N Doc], 0)),
IF(B178=7,
        INDEX(#REF!, MATCH($A178, Tabla1[N Doc], 0)),
IF(B178=8,
        INDEX(#REF!, MATCH($A178, Tabla1[N Doc], 0)),
IF(B178=9,
        INDEX(Tabla1[Descuentos], MATCH($A178, Tabla1[N Doc], 0)),
""))))))))))</f>
        <v/>
      </c>
      <c r="G178" t="str">
        <f>IF(OR($A178="",$A178=0),"",IF(OR(B178=2,B178=4,B178=6,B178=7),
    INDEX(Tabla13[Ind impuestos], MATCH($A178, Tabla13[N Doc], 0)),
""))</f>
        <v/>
      </c>
      <c r="J178" t="str">
        <f>IF(OR($A178="",$A178=0),"",IF(OR(B178=2,B178=4,B178=6,B178=7),
    INDEX(Tabla1[CECO], MATCH($A178, Tabla1[N Doc], 0)),
""))</f>
        <v/>
      </c>
      <c r="M178" t="str">
        <f>IF(C178=31,INDEX(Tabla1[Descripción], MATCH($A178, Tabla1[N Doc], 0)),"")</f>
        <v/>
      </c>
    </row>
    <row r="179" spans="1:13" x14ac:dyDescent="0.3">
      <c r="A179" t="str" cm="1">
        <f t="array" ref="A179">INDEX(Tabla1[N Doc], ROUNDUP((ROW()-1)/9, 0))</f>
        <v/>
      </c>
      <c r="B179" t="str">
        <f>IF(OR(A179="",A179=0),"",CHOOSE(
    COUNTIF($A$2:A179,A179),
    1,2,3,4,5,6,7,8,9
))</f>
        <v/>
      </c>
      <c r="C179" t="str">
        <f t="shared" si="2"/>
        <v/>
      </c>
      <c r="D179" s="7" t="str" cm="1">
        <f t="array" ref="D179">IF(OR($A179="",$A179=0),"",
IF(AND(INDEX(Formulario!$H$14:$H$100, $A179)="Si", C179&lt;&gt;31),
        VLOOKUP("cta puente",'Descripciones de gastos'!G:H, 2, FALSE),
IF(B179=1,
        INDEX(Tabla13[Titular], MATCH($A179, Tabla1[N Doc], 0)),
IF(B179=2,
        INDEX(Tabla1[Cuenta contable], MATCH($A179, Tabla1[N Doc], 0)),
IF(B179=3,
        INDEX(Tabla13[Cta Iva 22], MATCH($A179, Tabla1[N Doc], 0)),
IF(B179=4,
        INDEX(Tabla1[Cuenta contable], MATCH($A179, Tabla1[N Doc], 0)),
IF(B179=5,
        INDEX(Tabla13[Cta Iva 10], MATCH($A179, Tabla1[N Doc], 0)),
IF(B179=6,
        INDEX(Tabla1[Cuenta contable], MATCH($A179, Tabla1[N Doc], 0)),
IF(B179=7,
        INDEX(Tabla1[Cuenta contable], MATCH($A179, Tabla1[N Doc], 0)),
IF(B179=8,
        IF(INDEX(Tabla1[Tipo IVA], MATCH($A179, Tabla1[N Doc], 0))="22%",
             INDEX(Tabla13[Cta Iva 22], MATCH($A179, Tabla1[N Doc], 0)),
             INDEX(Tabla13[Cta Iva 10], MATCH($A179, Tabla1[N Doc], 0))),
IF(B179=9,
        INDEX(Tabla1[Cuenta contable], MATCH($A179, Tabla1[N Doc], 0))
)))))))))))</f>
        <v/>
      </c>
      <c r="F179" t="str">
        <f>IF(OR($A179="",$A179=0),"",IF(B179=1,
        INDEX(Tabla1[Importe total], MATCH($A179, Tabla1[N Doc], 0)),
IF(B179=2,
        INDEX(Tabla1[Base imponible 22], MATCH($A179, Tabla1[N Doc], 0)),
IF(B179=3,
        INDEX(Tabla1[Iva 22], MATCH($A179, Tabla1[N Doc], 0)),
IF(B179=4,
        INDEX(Tabla1[Base imponible 10], MATCH($A179, Tabla1[N Doc], 0)),
IF(B179=5,
        INDEX(Tabla1[Iva 10], MATCH($A179, Tabla1[N Doc], 0)),
IF(B179=6,
        INDEX(Tabla1[Exento], MATCH($A179, Tabla1[N Doc], 0)),
IF(B179=7,
        INDEX(#REF!, MATCH($A179, Tabla1[N Doc], 0)),
IF(B179=8,
        INDEX(#REF!, MATCH($A179, Tabla1[N Doc], 0)),
IF(B179=9,
        INDEX(Tabla1[Descuentos], MATCH($A179, Tabla1[N Doc], 0)),
""))))))))))</f>
        <v/>
      </c>
      <c r="G179" t="str">
        <f>IF(OR($A179="",$A179=0),"",IF(OR(B179=2,B179=4,B179=6,B179=7),
    INDEX(Tabla13[Ind impuestos], MATCH($A179, Tabla13[N Doc], 0)),
""))</f>
        <v/>
      </c>
      <c r="J179" t="str">
        <f>IF(OR($A179="",$A179=0),"",IF(OR(B179=2,B179=4,B179=6,B179=7),
    INDEX(Tabla1[CECO], MATCH($A179, Tabla1[N Doc], 0)),
""))</f>
        <v/>
      </c>
      <c r="M179" t="str">
        <f>IF(C179=31,INDEX(Tabla1[Descripción], MATCH($A179, Tabla1[N Doc], 0)),"")</f>
        <v/>
      </c>
    </row>
    <row r="180" spans="1:13" x14ac:dyDescent="0.3">
      <c r="A180" t="str" cm="1">
        <f t="array" ref="A180">INDEX(Tabla1[N Doc], ROUNDUP((ROW()-1)/9, 0))</f>
        <v/>
      </c>
      <c r="B180" t="str">
        <f>IF(OR(A180="",A180=0),"",CHOOSE(
    COUNTIF($A$2:A180,A180),
    1,2,3,4,5,6,7,8,9
))</f>
        <v/>
      </c>
      <c r="C180" t="str">
        <f t="shared" si="2"/>
        <v/>
      </c>
      <c r="D180" s="7" t="str" cm="1">
        <f t="array" ref="D180">IF(OR($A180="",$A180=0),"",
IF(AND(INDEX(Formulario!$H$14:$H$100, $A180)="Si", C180&lt;&gt;31),
        VLOOKUP("cta puente",'Descripciones de gastos'!G:H, 2, FALSE),
IF(B180=1,
        INDEX(Tabla13[Titular], MATCH($A180, Tabla1[N Doc], 0)),
IF(B180=2,
        INDEX(Tabla1[Cuenta contable], MATCH($A180, Tabla1[N Doc], 0)),
IF(B180=3,
        INDEX(Tabla13[Cta Iva 22], MATCH($A180, Tabla1[N Doc], 0)),
IF(B180=4,
        INDEX(Tabla1[Cuenta contable], MATCH($A180, Tabla1[N Doc], 0)),
IF(B180=5,
        INDEX(Tabla13[Cta Iva 10], MATCH($A180, Tabla1[N Doc], 0)),
IF(B180=6,
        INDEX(Tabla1[Cuenta contable], MATCH($A180, Tabla1[N Doc], 0)),
IF(B180=7,
        INDEX(Tabla1[Cuenta contable], MATCH($A180, Tabla1[N Doc], 0)),
IF(B180=8,
        IF(INDEX(Tabla1[Tipo IVA], MATCH($A180, Tabla1[N Doc], 0))="22%",
             INDEX(Tabla13[Cta Iva 22], MATCH($A180, Tabla1[N Doc], 0)),
             INDEX(Tabla13[Cta Iva 10], MATCH($A180, Tabla1[N Doc], 0))),
IF(B180=9,
        INDEX(Tabla1[Cuenta contable], MATCH($A180, Tabla1[N Doc], 0))
)))))))))))</f>
        <v/>
      </c>
      <c r="F180" t="str">
        <f>IF(OR($A180="",$A180=0),"",IF(B180=1,
        INDEX(Tabla1[Importe total], MATCH($A180, Tabla1[N Doc], 0)),
IF(B180=2,
        INDEX(Tabla1[Base imponible 22], MATCH($A180, Tabla1[N Doc], 0)),
IF(B180=3,
        INDEX(Tabla1[Iva 22], MATCH($A180, Tabla1[N Doc], 0)),
IF(B180=4,
        INDEX(Tabla1[Base imponible 10], MATCH($A180, Tabla1[N Doc], 0)),
IF(B180=5,
        INDEX(Tabla1[Iva 10], MATCH($A180, Tabla1[N Doc], 0)),
IF(B180=6,
        INDEX(Tabla1[Exento], MATCH($A180, Tabla1[N Doc], 0)),
IF(B180=7,
        INDEX(#REF!, MATCH($A180, Tabla1[N Doc], 0)),
IF(B180=8,
        INDEX(#REF!, MATCH($A180, Tabla1[N Doc], 0)),
IF(B180=9,
        INDEX(Tabla1[Descuentos], MATCH($A180, Tabla1[N Doc], 0)),
""))))))))))</f>
        <v/>
      </c>
      <c r="G180" t="str">
        <f>IF(OR($A180="",$A180=0),"",IF(OR(B180=2,B180=4,B180=6,B180=7),
    INDEX(Tabla13[Ind impuestos], MATCH($A180, Tabla13[N Doc], 0)),
""))</f>
        <v/>
      </c>
      <c r="J180" t="str">
        <f>IF(OR($A180="",$A180=0),"",IF(OR(B180=2,B180=4,B180=6,B180=7),
    INDEX(Tabla1[CECO], MATCH($A180, Tabla1[N Doc], 0)),
""))</f>
        <v/>
      </c>
      <c r="M180" t="str">
        <f>IF(C180=31,INDEX(Tabla1[Descripción], MATCH($A180, Tabla1[N Doc], 0)),"")</f>
        <v/>
      </c>
    </row>
    <row r="181" spans="1:13" x14ac:dyDescent="0.3">
      <c r="A181" t="str" cm="1">
        <f t="array" ref="A181">INDEX(Tabla1[N Doc], ROUNDUP((ROW()-1)/9, 0))</f>
        <v/>
      </c>
      <c r="B181" t="str">
        <f>IF(OR(A181="",A181=0),"",CHOOSE(
    COUNTIF($A$2:A181,A181),
    1,2,3,4,5,6,7,8,9
))</f>
        <v/>
      </c>
      <c r="C181" t="str">
        <f t="shared" si="2"/>
        <v/>
      </c>
      <c r="D181" s="7" t="str" cm="1">
        <f t="array" ref="D181">IF(OR($A181="",$A181=0),"",
IF(AND(INDEX(Formulario!$H$14:$H$100, $A181)="Si", C181&lt;&gt;31),
        VLOOKUP("cta puente",'Descripciones de gastos'!G:H, 2, FALSE),
IF(B181=1,
        INDEX(Tabla13[Titular], MATCH($A181, Tabla1[N Doc], 0)),
IF(B181=2,
        INDEX(Tabla1[Cuenta contable], MATCH($A181, Tabla1[N Doc], 0)),
IF(B181=3,
        INDEX(Tabla13[Cta Iva 22], MATCH($A181, Tabla1[N Doc], 0)),
IF(B181=4,
        INDEX(Tabla1[Cuenta contable], MATCH($A181, Tabla1[N Doc], 0)),
IF(B181=5,
        INDEX(Tabla13[Cta Iva 10], MATCH($A181, Tabla1[N Doc], 0)),
IF(B181=6,
        INDEX(Tabla1[Cuenta contable], MATCH($A181, Tabla1[N Doc], 0)),
IF(B181=7,
        INDEX(Tabla1[Cuenta contable], MATCH($A181, Tabla1[N Doc], 0)),
IF(B181=8,
        IF(INDEX(Tabla1[Tipo IVA], MATCH($A181, Tabla1[N Doc], 0))="22%",
             INDEX(Tabla13[Cta Iva 22], MATCH($A181, Tabla1[N Doc], 0)),
             INDEX(Tabla13[Cta Iva 10], MATCH($A181, Tabla1[N Doc], 0))),
IF(B181=9,
        INDEX(Tabla1[Cuenta contable], MATCH($A181, Tabla1[N Doc], 0))
)))))))))))</f>
        <v/>
      </c>
      <c r="F181" t="str">
        <f>IF(OR($A181="",$A181=0),"",IF(B181=1,
        INDEX(Tabla1[Importe total], MATCH($A181, Tabla1[N Doc], 0)),
IF(B181=2,
        INDEX(Tabla1[Base imponible 22], MATCH($A181, Tabla1[N Doc], 0)),
IF(B181=3,
        INDEX(Tabla1[Iva 22], MATCH($A181, Tabla1[N Doc], 0)),
IF(B181=4,
        INDEX(Tabla1[Base imponible 10], MATCH($A181, Tabla1[N Doc], 0)),
IF(B181=5,
        INDEX(Tabla1[Iva 10], MATCH($A181, Tabla1[N Doc], 0)),
IF(B181=6,
        INDEX(Tabla1[Exento], MATCH($A181, Tabla1[N Doc], 0)),
IF(B181=7,
        INDEX(#REF!, MATCH($A181, Tabla1[N Doc], 0)),
IF(B181=8,
        INDEX(#REF!, MATCH($A181, Tabla1[N Doc], 0)),
IF(B181=9,
        INDEX(Tabla1[Descuentos], MATCH($A181, Tabla1[N Doc], 0)),
""))))))))))</f>
        <v/>
      </c>
      <c r="G181" t="str">
        <f>IF(OR($A181="",$A181=0),"",IF(OR(B181=2,B181=4,B181=6,B181=7),
    INDEX(Tabla13[Ind impuestos], MATCH($A181, Tabla13[N Doc], 0)),
""))</f>
        <v/>
      </c>
      <c r="J181" t="str">
        <f>IF(OR($A181="",$A181=0),"",IF(OR(B181=2,B181=4,B181=6,B181=7),
    INDEX(Tabla1[CECO], MATCH($A181, Tabla1[N Doc], 0)),
""))</f>
        <v/>
      </c>
      <c r="M181" t="str">
        <f>IF(C181=31,INDEX(Tabla1[Descripción], MATCH($A181, Tabla1[N Doc], 0)),"")</f>
        <v/>
      </c>
    </row>
    <row r="182" spans="1:13" x14ac:dyDescent="0.3">
      <c r="A182" t="str" cm="1">
        <f t="array" ref="A182">INDEX(Tabla1[N Doc], ROUNDUP((ROW()-1)/9, 0))</f>
        <v/>
      </c>
      <c r="B182" t="str">
        <f>IF(OR(A182="",A182=0),"",CHOOSE(
    COUNTIF($A$2:A182,A182),
    1,2,3,4,5,6,7,8,9
))</f>
        <v/>
      </c>
      <c r="C182" t="str">
        <f t="shared" si="2"/>
        <v/>
      </c>
      <c r="D182" s="7" t="str" cm="1">
        <f t="array" ref="D182">IF(OR($A182="",$A182=0),"",
IF(AND(INDEX(Formulario!$H$14:$H$100, $A182)="Si", C182&lt;&gt;31),
        VLOOKUP("cta puente",'Descripciones de gastos'!G:H, 2, FALSE),
IF(B182=1,
        INDEX(Tabla13[Titular], MATCH($A182, Tabla1[N Doc], 0)),
IF(B182=2,
        INDEX(Tabla1[Cuenta contable], MATCH($A182, Tabla1[N Doc], 0)),
IF(B182=3,
        INDEX(Tabla13[Cta Iva 22], MATCH($A182, Tabla1[N Doc], 0)),
IF(B182=4,
        INDEX(Tabla1[Cuenta contable], MATCH($A182, Tabla1[N Doc], 0)),
IF(B182=5,
        INDEX(Tabla13[Cta Iva 10], MATCH($A182, Tabla1[N Doc], 0)),
IF(B182=6,
        INDEX(Tabla1[Cuenta contable], MATCH($A182, Tabla1[N Doc], 0)),
IF(B182=7,
        INDEX(Tabla1[Cuenta contable], MATCH($A182, Tabla1[N Doc], 0)),
IF(B182=8,
        IF(INDEX(Tabla1[Tipo IVA], MATCH($A182, Tabla1[N Doc], 0))="22%",
             INDEX(Tabla13[Cta Iva 22], MATCH($A182, Tabla1[N Doc], 0)),
             INDEX(Tabla13[Cta Iva 10], MATCH($A182, Tabla1[N Doc], 0))),
IF(B182=9,
        INDEX(Tabla1[Cuenta contable], MATCH($A182, Tabla1[N Doc], 0))
)))))))))))</f>
        <v/>
      </c>
      <c r="F182" t="str">
        <f>IF(OR($A182="",$A182=0),"",IF(B182=1,
        INDEX(Tabla1[Importe total], MATCH($A182, Tabla1[N Doc], 0)),
IF(B182=2,
        INDEX(Tabla1[Base imponible 22], MATCH($A182, Tabla1[N Doc], 0)),
IF(B182=3,
        INDEX(Tabla1[Iva 22], MATCH($A182, Tabla1[N Doc], 0)),
IF(B182=4,
        INDEX(Tabla1[Base imponible 10], MATCH($A182, Tabla1[N Doc], 0)),
IF(B182=5,
        INDEX(Tabla1[Iva 10], MATCH($A182, Tabla1[N Doc], 0)),
IF(B182=6,
        INDEX(Tabla1[Exento], MATCH($A182, Tabla1[N Doc], 0)),
IF(B182=7,
        INDEX(#REF!, MATCH($A182, Tabla1[N Doc], 0)),
IF(B182=8,
        INDEX(#REF!, MATCH($A182, Tabla1[N Doc], 0)),
IF(B182=9,
        INDEX(Tabla1[Descuentos], MATCH($A182, Tabla1[N Doc], 0)),
""))))))))))</f>
        <v/>
      </c>
      <c r="G182" t="str">
        <f>IF(OR($A182="",$A182=0),"",IF(OR(B182=2,B182=4,B182=6,B182=7),
    INDEX(Tabla13[Ind impuestos], MATCH($A182, Tabla13[N Doc], 0)),
""))</f>
        <v/>
      </c>
      <c r="J182" t="str">
        <f>IF(OR($A182="",$A182=0),"",IF(OR(B182=2,B182=4,B182=6,B182=7),
    INDEX(Tabla1[CECO], MATCH($A182, Tabla1[N Doc], 0)),
""))</f>
        <v/>
      </c>
      <c r="M182" t="str">
        <f>IF(C182=31,INDEX(Tabla1[Descripción], MATCH($A182, Tabla1[N Doc], 0)),"")</f>
        <v/>
      </c>
    </row>
    <row r="183" spans="1:13" x14ac:dyDescent="0.3">
      <c r="A183" t="str" cm="1">
        <f t="array" ref="A183">INDEX(Tabla1[N Doc], ROUNDUP((ROW()-1)/9, 0))</f>
        <v/>
      </c>
      <c r="B183" t="str">
        <f>IF(OR(A183="",A183=0),"",CHOOSE(
    COUNTIF($A$2:A183,A183),
    1,2,3,4,5,6,7,8,9
))</f>
        <v/>
      </c>
      <c r="C183" t="str">
        <f t="shared" si="2"/>
        <v/>
      </c>
      <c r="D183" s="7" t="str" cm="1">
        <f t="array" ref="D183">IF(OR($A183="",$A183=0),"",
IF(AND(INDEX(Formulario!$H$14:$H$100, $A183)="Si", C183&lt;&gt;31),
        VLOOKUP("cta puente",'Descripciones de gastos'!G:H, 2, FALSE),
IF(B183=1,
        INDEX(Tabla13[Titular], MATCH($A183, Tabla1[N Doc], 0)),
IF(B183=2,
        INDEX(Tabla1[Cuenta contable], MATCH($A183, Tabla1[N Doc], 0)),
IF(B183=3,
        INDEX(Tabla13[Cta Iva 22], MATCH($A183, Tabla1[N Doc], 0)),
IF(B183=4,
        INDEX(Tabla1[Cuenta contable], MATCH($A183, Tabla1[N Doc], 0)),
IF(B183=5,
        INDEX(Tabla13[Cta Iva 10], MATCH($A183, Tabla1[N Doc], 0)),
IF(B183=6,
        INDEX(Tabla1[Cuenta contable], MATCH($A183, Tabla1[N Doc], 0)),
IF(B183=7,
        INDEX(Tabla1[Cuenta contable], MATCH($A183, Tabla1[N Doc], 0)),
IF(B183=8,
        IF(INDEX(Tabla1[Tipo IVA], MATCH($A183, Tabla1[N Doc], 0))="22%",
             INDEX(Tabla13[Cta Iva 22], MATCH($A183, Tabla1[N Doc], 0)),
             INDEX(Tabla13[Cta Iva 10], MATCH($A183, Tabla1[N Doc], 0))),
IF(B183=9,
        INDEX(Tabla1[Cuenta contable], MATCH($A183, Tabla1[N Doc], 0))
)))))))))))</f>
        <v/>
      </c>
      <c r="F183" t="str">
        <f>IF(OR($A183="",$A183=0),"",IF(B183=1,
        INDEX(Tabla1[Importe total], MATCH($A183, Tabla1[N Doc], 0)),
IF(B183=2,
        INDEX(Tabla1[Base imponible 22], MATCH($A183, Tabla1[N Doc], 0)),
IF(B183=3,
        INDEX(Tabla1[Iva 22], MATCH($A183, Tabla1[N Doc], 0)),
IF(B183=4,
        INDEX(Tabla1[Base imponible 10], MATCH($A183, Tabla1[N Doc], 0)),
IF(B183=5,
        INDEX(Tabla1[Iva 10], MATCH($A183, Tabla1[N Doc], 0)),
IF(B183=6,
        INDEX(Tabla1[Exento], MATCH($A183, Tabla1[N Doc], 0)),
IF(B183=7,
        INDEX(#REF!, MATCH($A183, Tabla1[N Doc], 0)),
IF(B183=8,
        INDEX(#REF!, MATCH($A183, Tabla1[N Doc], 0)),
IF(B183=9,
        INDEX(Tabla1[Descuentos], MATCH($A183, Tabla1[N Doc], 0)),
""))))))))))</f>
        <v/>
      </c>
      <c r="G183" t="str">
        <f>IF(OR($A183="",$A183=0),"",IF(OR(B183=2,B183=4,B183=6,B183=7),
    INDEX(Tabla13[Ind impuestos], MATCH($A183, Tabla13[N Doc], 0)),
""))</f>
        <v/>
      </c>
      <c r="J183" t="str">
        <f>IF(OR($A183="",$A183=0),"",IF(OR(B183=2,B183=4,B183=6,B183=7),
    INDEX(Tabla1[CECO], MATCH($A183, Tabla1[N Doc], 0)),
""))</f>
        <v/>
      </c>
      <c r="M183" t="str">
        <f>IF(C183=31,INDEX(Tabla1[Descripción], MATCH($A183, Tabla1[N Doc], 0)),"")</f>
        <v/>
      </c>
    </row>
    <row r="184" spans="1:13" x14ac:dyDescent="0.3">
      <c r="A184" t="str" cm="1">
        <f t="array" ref="A184">INDEX(Tabla1[N Doc], ROUNDUP((ROW()-1)/9, 0))</f>
        <v/>
      </c>
      <c r="B184" t="str">
        <f>IF(OR(A184="",A184=0),"",CHOOSE(
    COUNTIF($A$2:A184,A184),
    1,2,3,4,5,6,7,8,9
))</f>
        <v/>
      </c>
      <c r="C184" t="str">
        <f t="shared" si="2"/>
        <v/>
      </c>
      <c r="D184" s="7" t="str" cm="1">
        <f t="array" ref="D184">IF(OR($A184="",$A184=0),"",
IF(AND(INDEX(Formulario!$H$14:$H$100, $A184)="Si", C184&lt;&gt;31),
        VLOOKUP("cta puente",'Descripciones de gastos'!G:H, 2, FALSE),
IF(B184=1,
        INDEX(Tabla13[Titular], MATCH($A184, Tabla1[N Doc], 0)),
IF(B184=2,
        INDEX(Tabla1[Cuenta contable], MATCH($A184, Tabla1[N Doc], 0)),
IF(B184=3,
        INDEX(Tabla13[Cta Iva 22], MATCH($A184, Tabla1[N Doc], 0)),
IF(B184=4,
        INDEX(Tabla1[Cuenta contable], MATCH($A184, Tabla1[N Doc], 0)),
IF(B184=5,
        INDEX(Tabla13[Cta Iva 10], MATCH($A184, Tabla1[N Doc], 0)),
IF(B184=6,
        INDEX(Tabla1[Cuenta contable], MATCH($A184, Tabla1[N Doc], 0)),
IF(B184=7,
        INDEX(Tabla1[Cuenta contable], MATCH($A184, Tabla1[N Doc], 0)),
IF(B184=8,
        IF(INDEX(Tabla1[Tipo IVA], MATCH($A184, Tabla1[N Doc], 0))="22%",
             INDEX(Tabla13[Cta Iva 22], MATCH($A184, Tabla1[N Doc], 0)),
             INDEX(Tabla13[Cta Iva 10], MATCH($A184, Tabla1[N Doc], 0))),
IF(B184=9,
        INDEX(Tabla1[Cuenta contable], MATCH($A184, Tabla1[N Doc], 0))
)))))))))))</f>
        <v/>
      </c>
      <c r="F184" t="str">
        <f>IF(OR($A184="",$A184=0),"",IF(B184=1,
        INDEX(Tabla1[Importe total], MATCH($A184, Tabla1[N Doc], 0)),
IF(B184=2,
        INDEX(Tabla1[Base imponible 22], MATCH($A184, Tabla1[N Doc], 0)),
IF(B184=3,
        INDEX(Tabla1[Iva 22], MATCH($A184, Tabla1[N Doc], 0)),
IF(B184=4,
        INDEX(Tabla1[Base imponible 10], MATCH($A184, Tabla1[N Doc], 0)),
IF(B184=5,
        INDEX(Tabla1[Iva 10], MATCH($A184, Tabla1[N Doc], 0)),
IF(B184=6,
        INDEX(Tabla1[Exento], MATCH($A184, Tabla1[N Doc], 0)),
IF(B184=7,
        INDEX(#REF!, MATCH($A184, Tabla1[N Doc], 0)),
IF(B184=8,
        INDEX(#REF!, MATCH($A184, Tabla1[N Doc], 0)),
IF(B184=9,
        INDEX(Tabla1[Descuentos], MATCH($A184, Tabla1[N Doc], 0)),
""))))))))))</f>
        <v/>
      </c>
      <c r="G184" t="str">
        <f>IF(OR($A184="",$A184=0),"",IF(OR(B184=2,B184=4,B184=6,B184=7),
    INDEX(Tabla13[Ind impuestos], MATCH($A184, Tabla13[N Doc], 0)),
""))</f>
        <v/>
      </c>
      <c r="J184" t="str">
        <f>IF(OR($A184="",$A184=0),"",IF(OR(B184=2,B184=4,B184=6,B184=7),
    INDEX(Tabla1[CECO], MATCH($A184, Tabla1[N Doc], 0)),
""))</f>
        <v/>
      </c>
      <c r="M184" t="str">
        <f>IF(C184=31,INDEX(Tabla1[Descripción], MATCH($A184, Tabla1[N Doc], 0)),"")</f>
        <v/>
      </c>
    </row>
    <row r="185" spans="1:13" x14ac:dyDescent="0.3">
      <c r="A185" t="str" cm="1">
        <f t="array" ref="A185">INDEX(Tabla1[N Doc], ROUNDUP((ROW()-1)/9, 0))</f>
        <v/>
      </c>
      <c r="B185" t="str">
        <f>IF(OR(A185="",A185=0),"",CHOOSE(
    COUNTIF($A$2:A185,A185),
    1,2,3,4,5,6,7,8,9
))</f>
        <v/>
      </c>
      <c r="C185" t="str">
        <f t="shared" si="2"/>
        <v/>
      </c>
      <c r="D185" s="7" t="str" cm="1">
        <f t="array" ref="D185">IF(OR($A185="",$A185=0),"",
IF(AND(INDEX(Formulario!$H$14:$H$100, $A185)="Si", C185&lt;&gt;31),
        VLOOKUP("cta puente",'Descripciones de gastos'!G:H, 2, FALSE),
IF(B185=1,
        INDEX(Tabla13[Titular], MATCH($A185, Tabla1[N Doc], 0)),
IF(B185=2,
        INDEX(Tabla1[Cuenta contable], MATCH($A185, Tabla1[N Doc], 0)),
IF(B185=3,
        INDEX(Tabla13[Cta Iva 22], MATCH($A185, Tabla1[N Doc], 0)),
IF(B185=4,
        INDEX(Tabla1[Cuenta contable], MATCH($A185, Tabla1[N Doc], 0)),
IF(B185=5,
        INDEX(Tabla13[Cta Iva 10], MATCH($A185, Tabla1[N Doc], 0)),
IF(B185=6,
        INDEX(Tabla1[Cuenta contable], MATCH($A185, Tabla1[N Doc], 0)),
IF(B185=7,
        INDEX(Tabla1[Cuenta contable], MATCH($A185, Tabla1[N Doc], 0)),
IF(B185=8,
        IF(INDEX(Tabla1[Tipo IVA], MATCH($A185, Tabla1[N Doc], 0))="22%",
             INDEX(Tabla13[Cta Iva 22], MATCH($A185, Tabla1[N Doc], 0)),
             INDEX(Tabla13[Cta Iva 10], MATCH($A185, Tabla1[N Doc], 0))),
IF(B185=9,
        INDEX(Tabla1[Cuenta contable], MATCH($A185, Tabla1[N Doc], 0))
)))))))))))</f>
        <v/>
      </c>
      <c r="F185" t="str">
        <f>IF(OR($A185="",$A185=0),"",IF(B185=1,
        INDEX(Tabla1[Importe total], MATCH($A185, Tabla1[N Doc], 0)),
IF(B185=2,
        INDEX(Tabla1[Base imponible 22], MATCH($A185, Tabla1[N Doc], 0)),
IF(B185=3,
        INDEX(Tabla1[Iva 22], MATCH($A185, Tabla1[N Doc], 0)),
IF(B185=4,
        INDEX(Tabla1[Base imponible 10], MATCH($A185, Tabla1[N Doc], 0)),
IF(B185=5,
        INDEX(Tabla1[Iva 10], MATCH($A185, Tabla1[N Doc], 0)),
IF(B185=6,
        INDEX(Tabla1[Exento], MATCH($A185, Tabla1[N Doc], 0)),
IF(B185=7,
        INDEX(#REF!, MATCH($A185, Tabla1[N Doc], 0)),
IF(B185=8,
        INDEX(#REF!, MATCH($A185, Tabla1[N Doc], 0)),
IF(B185=9,
        INDEX(Tabla1[Descuentos], MATCH($A185, Tabla1[N Doc], 0)),
""))))))))))</f>
        <v/>
      </c>
      <c r="G185" t="str">
        <f>IF(OR($A185="",$A185=0),"",IF(OR(B185=2,B185=4,B185=6,B185=7),
    INDEX(Tabla13[Ind impuestos], MATCH($A185, Tabla13[N Doc], 0)),
""))</f>
        <v/>
      </c>
      <c r="J185" t="str">
        <f>IF(OR($A185="",$A185=0),"",IF(OR(B185=2,B185=4,B185=6,B185=7),
    INDEX(Tabla1[CECO], MATCH($A185, Tabla1[N Doc], 0)),
""))</f>
        <v/>
      </c>
      <c r="M185" t="str">
        <f>IF(C185=31,INDEX(Tabla1[Descripción], MATCH($A185, Tabla1[N Doc], 0)),"")</f>
        <v/>
      </c>
    </row>
    <row r="186" spans="1:13" x14ac:dyDescent="0.3">
      <c r="A186" t="str" cm="1">
        <f t="array" ref="A186">INDEX(Tabla1[N Doc], ROUNDUP((ROW()-1)/9, 0))</f>
        <v/>
      </c>
      <c r="B186" t="str">
        <f>IF(OR(A186="",A186=0),"",CHOOSE(
    COUNTIF($A$2:A186,A186),
    1,2,3,4,5,6,7,8,9
))</f>
        <v/>
      </c>
      <c r="C186" t="str">
        <f t="shared" si="2"/>
        <v/>
      </c>
      <c r="D186" s="7" t="str" cm="1">
        <f t="array" ref="D186">IF(OR($A186="",$A186=0),"",
IF(AND(INDEX(Formulario!$H$14:$H$100, $A186)="Si", C186&lt;&gt;31),
        VLOOKUP("cta puente",'Descripciones de gastos'!G:H, 2, FALSE),
IF(B186=1,
        INDEX(Tabla13[Titular], MATCH($A186, Tabla1[N Doc], 0)),
IF(B186=2,
        INDEX(Tabla1[Cuenta contable], MATCH($A186, Tabla1[N Doc], 0)),
IF(B186=3,
        INDEX(Tabla13[Cta Iva 22], MATCH($A186, Tabla1[N Doc], 0)),
IF(B186=4,
        INDEX(Tabla1[Cuenta contable], MATCH($A186, Tabla1[N Doc], 0)),
IF(B186=5,
        INDEX(Tabla13[Cta Iva 10], MATCH($A186, Tabla1[N Doc], 0)),
IF(B186=6,
        INDEX(Tabla1[Cuenta contable], MATCH($A186, Tabla1[N Doc], 0)),
IF(B186=7,
        INDEX(Tabla1[Cuenta contable], MATCH($A186, Tabla1[N Doc], 0)),
IF(B186=8,
        IF(INDEX(Tabla1[Tipo IVA], MATCH($A186, Tabla1[N Doc], 0))="22%",
             INDEX(Tabla13[Cta Iva 22], MATCH($A186, Tabla1[N Doc], 0)),
             INDEX(Tabla13[Cta Iva 10], MATCH($A186, Tabla1[N Doc], 0))),
IF(B186=9,
        INDEX(Tabla1[Cuenta contable], MATCH($A186, Tabla1[N Doc], 0))
)))))))))))</f>
        <v/>
      </c>
      <c r="F186" t="str">
        <f>IF(OR($A186="",$A186=0),"",IF(B186=1,
        INDEX(Tabla1[Importe total], MATCH($A186, Tabla1[N Doc], 0)),
IF(B186=2,
        INDEX(Tabla1[Base imponible 22], MATCH($A186, Tabla1[N Doc], 0)),
IF(B186=3,
        INDEX(Tabla1[Iva 22], MATCH($A186, Tabla1[N Doc], 0)),
IF(B186=4,
        INDEX(Tabla1[Base imponible 10], MATCH($A186, Tabla1[N Doc], 0)),
IF(B186=5,
        INDEX(Tabla1[Iva 10], MATCH($A186, Tabla1[N Doc], 0)),
IF(B186=6,
        INDEX(Tabla1[Exento], MATCH($A186, Tabla1[N Doc], 0)),
IF(B186=7,
        INDEX(#REF!, MATCH($A186, Tabla1[N Doc], 0)),
IF(B186=8,
        INDEX(#REF!, MATCH($A186, Tabla1[N Doc], 0)),
IF(B186=9,
        INDEX(Tabla1[Descuentos], MATCH($A186, Tabla1[N Doc], 0)),
""))))))))))</f>
        <v/>
      </c>
      <c r="G186" t="str">
        <f>IF(OR($A186="",$A186=0),"",IF(OR(B186=2,B186=4,B186=6,B186=7),
    INDEX(Tabla13[Ind impuestos], MATCH($A186, Tabla13[N Doc], 0)),
""))</f>
        <v/>
      </c>
      <c r="J186" t="str">
        <f>IF(OR($A186="",$A186=0),"",IF(OR(B186=2,B186=4,B186=6,B186=7),
    INDEX(Tabla1[CECO], MATCH($A186, Tabla1[N Doc], 0)),
""))</f>
        <v/>
      </c>
      <c r="M186" t="str">
        <f>IF(C186=31,INDEX(Tabla1[Descripción], MATCH($A186, Tabla1[N Doc], 0)),"")</f>
        <v/>
      </c>
    </row>
    <row r="187" spans="1:13" x14ac:dyDescent="0.3">
      <c r="A187" t="str" cm="1">
        <f t="array" ref="A187">INDEX(Tabla1[N Doc], ROUNDUP((ROW()-1)/9, 0))</f>
        <v/>
      </c>
      <c r="B187" t="str">
        <f>IF(OR(A187="",A187=0),"",CHOOSE(
    COUNTIF($A$2:A187,A187),
    1,2,3,4,5,6,7,8,9
))</f>
        <v/>
      </c>
      <c r="C187" t="str">
        <f t="shared" si="2"/>
        <v/>
      </c>
      <c r="D187" s="7" t="str" cm="1">
        <f t="array" ref="D187">IF(OR($A187="",$A187=0),"",
IF(AND(INDEX(Formulario!$H$14:$H$100, $A187)="Si", C187&lt;&gt;31),
        VLOOKUP("cta puente",'Descripciones de gastos'!G:H, 2, FALSE),
IF(B187=1,
        INDEX(Tabla13[Titular], MATCH($A187, Tabla1[N Doc], 0)),
IF(B187=2,
        INDEX(Tabla1[Cuenta contable], MATCH($A187, Tabla1[N Doc], 0)),
IF(B187=3,
        INDEX(Tabla13[Cta Iva 22], MATCH($A187, Tabla1[N Doc], 0)),
IF(B187=4,
        INDEX(Tabla1[Cuenta contable], MATCH($A187, Tabla1[N Doc], 0)),
IF(B187=5,
        INDEX(Tabla13[Cta Iva 10], MATCH($A187, Tabla1[N Doc], 0)),
IF(B187=6,
        INDEX(Tabla1[Cuenta contable], MATCH($A187, Tabla1[N Doc], 0)),
IF(B187=7,
        INDEX(Tabla1[Cuenta contable], MATCH($A187, Tabla1[N Doc], 0)),
IF(B187=8,
        IF(INDEX(Tabla1[Tipo IVA], MATCH($A187, Tabla1[N Doc], 0))="22%",
             INDEX(Tabla13[Cta Iva 22], MATCH($A187, Tabla1[N Doc], 0)),
             INDEX(Tabla13[Cta Iva 10], MATCH($A187, Tabla1[N Doc], 0))),
IF(B187=9,
        INDEX(Tabla1[Cuenta contable], MATCH($A187, Tabla1[N Doc], 0))
)))))))))))</f>
        <v/>
      </c>
      <c r="F187" t="str">
        <f>IF(OR($A187="",$A187=0),"",IF(B187=1,
        INDEX(Tabla1[Importe total], MATCH($A187, Tabla1[N Doc], 0)),
IF(B187=2,
        INDEX(Tabla1[Base imponible 22], MATCH($A187, Tabla1[N Doc], 0)),
IF(B187=3,
        INDEX(Tabla1[Iva 22], MATCH($A187, Tabla1[N Doc], 0)),
IF(B187=4,
        INDEX(Tabla1[Base imponible 10], MATCH($A187, Tabla1[N Doc], 0)),
IF(B187=5,
        INDEX(Tabla1[Iva 10], MATCH($A187, Tabla1[N Doc], 0)),
IF(B187=6,
        INDEX(Tabla1[Exento], MATCH($A187, Tabla1[N Doc], 0)),
IF(B187=7,
        INDEX(#REF!, MATCH($A187, Tabla1[N Doc], 0)),
IF(B187=8,
        INDEX(#REF!, MATCH($A187, Tabla1[N Doc], 0)),
IF(B187=9,
        INDEX(Tabla1[Descuentos], MATCH($A187, Tabla1[N Doc], 0)),
""))))))))))</f>
        <v/>
      </c>
      <c r="G187" t="str">
        <f>IF(OR($A187="",$A187=0),"",IF(OR(B187=2,B187=4,B187=6,B187=7),
    INDEX(Tabla13[Ind impuestos], MATCH($A187, Tabla13[N Doc], 0)),
""))</f>
        <v/>
      </c>
      <c r="J187" t="str">
        <f>IF(OR($A187="",$A187=0),"",IF(OR(B187=2,B187=4,B187=6,B187=7),
    INDEX(Tabla1[CECO], MATCH($A187, Tabla1[N Doc], 0)),
""))</f>
        <v/>
      </c>
      <c r="M187" t="str">
        <f>IF(C187=31,INDEX(Tabla1[Descripción], MATCH($A187, Tabla1[N Doc], 0)),"")</f>
        <v/>
      </c>
    </row>
    <row r="188" spans="1:13" x14ac:dyDescent="0.3">
      <c r="A188" t="str" cm="1">
        <f t="array" ref="A188">INDEX(Tabla1[N Doc], ROUNDUP((ROW()-1)/9, 0))</f>
        <v/>
      </c>
      <c r="B188" t="str">
        <f>IF(OR(A188="",A188=0),"",CHOOSE(
    COUNTIF($A$2:A188,A188),
    1,2,3,4,5,6,7,8,9
))</f>
        <v/>
      </c>
      <c r="C188" t="str">
        <f t="shared" si="2"/>
        <v/>
      </c>
      <c r="D188" s="7" t="str" cm="1">
        <f t="array" ref="D188">IF(OR($A188="",$A188=0),"",
IF(AND(INDEX(Formulario!$H$14:$H$100, $A188)="Si", C188&lt;&gt;31),
        VLOOKUP("cta puente",'Descripciones de gastos'!G:H, 2, FALSE),
IF(B188=1,
        INDEX(Tabla13[Titular], MATCH($A188, Tabla1[N Doc], 0)),
IF(B188=2,
        INDEX(Tabla1[Cuenta contable], MATCH($A188, Tabla1[N Doc], 0)),
IF(B188=3,
        INDEX(Tabla13[Cta Iva 22], MATCH($A188, Tabla1[N Doc], 0)),
IF(B188=4,
        INDEX(Tabla1[Cuenta contable], MATCH($A188, Tabla1[N Doc], 0)),
IF(B188=5,
        INDEX(Tabla13[Cta Iva 10], MATCH($A188, Tabla1[N Doc], 0)),
IF(B188=6,
        INDEX(Tabla1[Cuenta contable], MATCH($A188, Tabla1[N Doc], 0)),
IF(B188=7,
        INDEX(Tabla1[Cuenta contable], MATCH($A188, Tabla1[N Doc], 0)),
IF(B188=8,
        IF(INDEX(Tabla1[Tipo IVA], MATCH($A188, Tabla1[N Doc], 0))="22%",
             INDEX(Tabla13[Cta Iva 22], MATCH($A188, Tabla1[N Doc], 0)),
             INDEX(Tabla13[Cta Iva 10], MATCH($A188, Tabla1[N Doc], 0))),
IF(B188=9,
        INDEX(Tabla1[Cuenta contable], MATCH($A188, Tabla1[N Doc], 0))
)))))))))))</f>
        <v/>
      </c>
      <c r="F188" t="str">
        <f>IF(OR($A188="",$A188=0),"",IF(B188=1,
        INDEX(Tabla1[Importe total], MATCH($A188, Tabla1[N Doc], 0)),
IF(B188=2,
        INDEX(Tabla1[Base imponible 22], MATCH($A188, Tabla1[N Doc], 0)),
IF(B188=3,
        INDEX(Tabla1[Iva 22], MATCH($A188, Tabla1[N Doc], 0)),
IF(B188=4,
        INDEX(Tabla1[Base imponible 10], MATCH($A188, Tabla1[N Doc], 0)),
IF(B188=5,
        INDEX(Tabla1[Iva 10], MATCH($A188, Tabla1[N Doc], 0)),
IF(B188=6,
        INDEX(Tabla1[Exento], MATCH($A188, Tabla1[N Doc], 0)),
IF(B188=7,
        INDEX(#REF!, MATCH($A188, Tabla1[N Doc], 0)),
IF(B188=8,
        INDEX(#REF!, MATCH($A188, Tabla1[N Doc], 0)),
IF(B188=9,
        INDEX(Tabla1[Descuentos], MATCH($A188, Tabla1[N Doc], 0)),
""))))))))))</f>
        <v/>
      </c>
      <c r="G188" t="str">
        <f>IF(OR($A188="",$A188=0),"",IF(OR(B188=2,B188=4,B188=6,B188=7),
    INDEX(Tabla13[Ind impuestos], MATCH($A188, Tabla13[N Doc], 0)),
""))</f>
        <v/>
      </c>
      <c r="J188" t="str">
        <f>IF(OR($A188="",$A188=0),"",IF(OR(B188=2,B188=4,B188=6,B188=7),
    INDEX(Tabla1[CECO], MATCH($A188, Tabla1[N Doc], 0)),
""))</f>
        <v/>
      </c>
      <c r="M188" t="str">
        <f>IF(C188=31,INDEX(Tabla1[Descripción], MATCH($A188, Tabla1[N Doc], 0)),"")</f>
        <v/>
      </c>
    </row>
    <row r="189" spans="1:13" x14ac:dyDescent="0.3">
      <c r="A189" t="str" cm="1">
        <f t="array" ref="A189">INDEX(Tabla1[N Doc], ROUNDUP((ROW()-1)/9, 0))</f>
        <v/>
      </c>
      <c r="B189" t="str">
        <f>IF(OR(A189="",A189=0),"",CHOOSE(
    COUNTIF($A$2:A189,A189),
    1,2,3,4,5,6,7,8,9
))</f>
        <v/>
      </c>
      <c r="C189" t="str">
        <f t="shared" si="2"/>
        <v/>
      </c>
      <c r="D189" s="7" t="str" cm="1">
        <f t="array" ref="D189">IF(OR($A189="",$A189=0),"",
IF(AND(INDEX(Formulario!$H$14:$H$100, $A189)="Si", C189&lt;&gt;31),
        VLOOKUP("cta puente",'Descripciones de gastos'!G:H, 2, FALSE),
IF(B189=1,
        INDEX(Tabla13[Titular], MATCH($A189, Tabla1[N Doc], 0)),
IF(B189=2,
        INDEX(Tabla1[Cuenta contable], MATCH($A189, Tabla1[N Doc], 0)),
IF(B189=3,
        INDEX(Tabla13[Cta Iva 22], MATCH($A189, Tabla1[N Doc], 0)),
IF(B189=4,
        INDEX(Tabla1[Cuenta contable], MATCH($A189, Tabla1[N Doc], 0)),
IF(B189=5,
        INDEX(Tabla13[Cta Iva 10], MATCH($A189, Tabla1[N Doc], 0)),
IF(B189=6,
        INDEX(Tabla1[Cuenta contable], MATCH($A189, Tabla1[N Doc], 0)),
IF(B189=7,
        INDEX(Tabla1[Cuenta contable], MATCH($A189, Tabla1[N Doc], 0)),
IF(B189=8,
        IF(INDEX(Tabla1[Tipo IVA], MATCH($A189, Tabla1[N Doc], 0))="22%",
             INDEX(Tabla13[Cta Iva 22], MATCH($A189, Tabla1[N Doc], 0)),
             INDEX(Tabla13[Cta Iva 10], MATCH($A189, Tabla1[N Doc], 0))),
IF(B189=9,
        INDEX(Tabla1[Cuenta contable], MATCH($A189, Tabla1[N Doc], 0))
)))))))))))</f>
        <v/>
      </c>
      <c r="F189" t="str">
        <f>IF(OR($A189="",$A189=0),"",IF(B189=1,
        INDEX(Tabla1[Importe total], MATCH($A189, Tabla1[N Doc], 0)),
IF(B189=2,
        INDEX(Tabla1[Base imponible 22], MATCH($A189, Tabla1[N Doc], 0)),
IF(B189=3,
        INDEX(Tabla1[Iva 22], MATCH($A189, Tabla1[N Doc], 0)),
IF(B189=4,
        INDEX(Tabla1[Base imponible 10], MATCH($A189, Tabla1[N Doc], 0)),
IF(B189=5,
        INDEX(Tabla1[Iva 10], MATCH($A189, Tabla1[N Doc], 0)),
IF(B189=6,
        INDEX(Tabla1[Exento], MATCH($A189, Tabla1[N Doc], 0)),
IF(B189=7,
        INDEX(#REF!, MATCH($A189, Tabla1[N Doc], 0)),
IF(B189=8,
        INDEX(#REF!, MATCH($A189, Tabla1[N Doc], 0)),
IF(B189=9,
        INDEX(Tabla1[Descuentos], MATCH($A189, Tabla1[N Doc], 0)),
""))))))))))</f>
        <v/>
      </c>
      <c r="G189" t="str">
        <f>IF(OR($A189="",$A189=0),"",IF(OR(B189=2,B189=4,B189=6,B189=7),
    INDEX(Tabla13[Ind impuestos], MATCH($A189, Tabla13[N Doc], 0)),
""))</f>
        <v/>
      </c>
      <c r="J189" t="str">
        <f>IF(OR($A189="",$A189=0),"",IF(OR(B189=2,B189=4,B189=6,B189=7),
    INDEX(Tabla1[CECO], MATCH($A189, Tabla1[N Doc], 0)),
""))</f>
        <v/>
      </c>
      <c r="M189" t="str">
        <f>IF(C189=31,INDEX(Tabla1[Descripción], MATCH($A189, Tabla1[N Doc], 0)),"")</f>
        <v/>
      </c>
    </row>
    <row r="190" spans="1:13" x14ac:dyDescent="0.3">
      <c r="A190" t="str" cm="1">
        <f t="array" ref="A190">INDEX(Tabla1[N Doc], ROUNDUP((ROW()-1)/9, 0))</f>
        <v/>
      </c>
      <c r="B190" t="str">
        <f>IF(OR(A190="",A190=0),"",CHOOSE(
    COUNTIF($A$2:A190,A190),
    1,2,3,4,5,6,7,8,9
))</f>
        <v/>
      </c>
      <c r="C190" t="str">
        <f t="shared" si="2"/>
        <v/>
      </c>
      <c r="D190" s="7" t="str" cm="1">
        <f t="array" ref="D190">IF(OR($A190="",$A190=0),"",
IF(AND(INDEX(Formulario!$H$14:$H$100, $A190)="Si", C190&lt;&gt;31),
        VLOOKUP("cta puente",'Descripciones de gastos'!G:H, 2, FALSE),
IF(B190=1,
        INDEX(Tabla13[Titular], MATCH($A190, Tabla1[N Doc], 0)),
IF(B190=2,
        INDEX(Tabla1[Cuenta contable], MATCH($A190, Tabla1[N Doc], 0)),
IF(B190=3,
        INDEX(Tabla13[Cta Iva 22], MATCH($A190, Tabla1[N Doc], 0)),
IF(B190=4,
        INDEX(Tabla1[Cuenta contable], MATCH($A190, Tabla1[N Doc], 0)),
IF(B190=5,
        INDEX(Tabla13[Cta Iva 10], MATCH($A190, Tabla1[N Doc], 0)),
IF(B190=6,
        INDEX(Tabla1[Cuenta contable], MATCH($A190, Tabla1[N Doc], 0)),
IF(B190=7,
        INDEX(Tabla1[Cuenta contable], MATCH($A190, Tabla1[N Doc], 0)),
IF(B190=8,
        IF(INDEX(Tabla1[Tipo IVA], MATCH($A190, Tabla1[N Doc], 0))="22%",
             INDEX(Tabla13[Cta Iva 22], MATCH($A190, Tabla1[N Doc], 0)),
             INDEX(Tabla13[Cta Iva 10], MATCH($A190, Tabla1[N Doc], 0))),
IF(B190=9,
        INDEX(Tabla1[Cuenta contable], MATCH($A190, Tabla1[N Doc], 0))
)))))))))))</f>
        <v/>
      </c>
      <c r="F190" t="str">
        <f>IF(OR($A190="",$A190=0),"",IF(B190=1,
        INDEX(Tabla1[Importe total], MATCH($A190, Tabla1[N Doc], 0)),
IF(B190=2,
        INDEX(Tabla1[Base imponible 22], MATCH($A190, Tabla1[N Doc], 0)),
IF(B190=3,
        INDEX(Tabla1[Iva 22], MATCH($A190, Tabla1[N Doc], 0)),
IF(B190=4,
        INDEX(Tabla1[Base imponible 10], MATCH($A190, Tabla1[N Doc], 0)),
IF(B190=5,
        INDEX(Tabla1[Iva 10], MATCH($A190, Tabla1[N Doc], 0)),
IF(B190=6,
        INDEX(Tabla1[Exento], MATCH($A190, Tabla1[N Doc], 0)),
IF(B190=7,
        INDEX(#REF!, MATCH($A190, Tabla1[N Doc], 0)),
IF(B190=8,
        INDEX(#REF!, MATCH($A190, Tabla1[N Doc], 0)),
IF(B190=9,
        INDEX(Tabla1[Descuentos], MATCH($A190, Tabla1[N Doc], 0)),
""))))))))))</f>
        <v/>
      </c>
      <c r="G190" t="str">
        <f>IF(OR($A190="",$A190=0),"",IF(OR(B190=2,B190=4,B190=6,B190=7),
    INDEX(Tabla13[Ind impuestos], MATCH($A190, Tabla13[N Doc], 0)),
""))</f>
        <v/>
      </c>
      <c r="J190" t="str">
        <f>IF(OR($A190="",$A190=0),"",IF(OR(B190=2,B190=4,B190=6,B190=7),
    INDEX(Tabla1[CECO], MATCH($A190, Tabla1[N Doc], 0)),
""))</f>
        <v/>
      </c>
      <c r="M190" t="str">
        <f>IF(C190=31,INDEX(Tabla1[Descripción], MATCH($A190, Tabla1[N Doc], 0)),"")</f>
        <v/>
      </c>
    </row>
    <row r="191" spans="1:13" x14ac:dyDescent="0.3">
      <c r="A191" t="str" cm="1">
        <f t="array" ref="A191">INDEX(Tabla1[N Doc], ROUNDUP((ROW()-1)/9, 0))</f>
        <v/>
      </c>
      <c r="B191" t="str">
        <f>IF(OR(A191="",A191=0),"",CHOOSE(
    COUNTIF($A$2:A191,A191),
    1,2,3,4,5,6,7,8,9
))</f>
        <v/>
      </c>
      <c r="C191" t="str">
        <f t="shared" si="2"/>
        <v/>
      </c>
      <c r="D191" s="7" t="str" cm="1">
        <f t="array" ref="D191">IF(OR($A191="",$A191=0),"",
IF(AND(INDEX(Formulario!$H$14:$H$100, $A191)="Si", C191&lt;&gt;31),
        VLOOKUP("cta puente",'Descripciones de gastos'!G:H, 2, FALSE),
IF(B191=1,
        INDEX(Tabla13[Titular], MATCH($A191, Tabla1[N Doc], 0)),
IF(B191=2,
        INDEX(Tabla1[Cuenta contable], MATCH($A191, Tabla1[N Doc], 0)),
IF(B191=3,
        INDEX(Tabla13[Cta Iva 22], MATCH($A191, Tabla1[N Doc], 0)),
IF(B191=4,
        INDEX(Tabla1[Cuenta contable], MATCH($A191, Tabla1[N Doc], 0)),
IF(B191=5,
        INDEX(Tabla13[Cta Iva 10], MATCH($A191, Tabla1[N Doc], 0)),
IF(B191=6,
        INDEX(Tabla1[Cuenta contable], MATCH($A191, Tabla1[N Doc], 0)),
IF(B191=7,
        INDEX(Tabla1[Cuenta contable], MATCH($A191, Tabla1[N Doc], 0)),
IF(B191=8,
        IF(INDEX(Tabla1[Tipo IVA], MATCH($A191, Tabla1[N Doc], 0))="22%",
             INDEX(Tabla13[Cta Iva 22], MATCH($A191, Tabla1[N Doc], 0)),
             INDEX(Tabla13[Cta Iva 10], MATCH($A191, Tabla1[N Doc], 0))),
IF(B191=9,
        INDEX(Tabla1[Cuenta contable], MATCH($A191, Tabla1[N Doc], 0))
)))))))))))</f>
        <v/>
      </c>
      <c r="F191" t="str">
        <f>IF(OR($A191="",$A191=0),"",IF(B191=1,
        INDEX(Tabla1[Importe total], MATCH($A191, Tabla1[N Doc], 0)),
IF(B191=2,
        INDEX(Tabla1[Base imponible 22], MATCH($A191, Tabla1[N Doc], 0)),
IF(B191=3,
        INDEX(Tabla1[Iva 22], MATCH($A191, Tabla1[N Doc], 0)),
IF(B191=4,
        INDEX(Tabla1[Base imponible 10], MATCH($A191, Tabla1[N Doc], 0)),
IF(B191=5,
        INDEX(Tabla1[Iva 10], MATCH($A191, Tabla1[N Doc], 0)),
IF(B191=6,
        INDEX(Tabla1[Exento], MATCH($A191, Tabla1[N Doc], 0)),
IF(B191=7,
        INDEX(#REF!, MATCH($A191, Tabla1[N Doc], 0)),
IF(B191=8,
        INDEX(#REF!, MATCH($A191, Tabla1[N Doc], 0)),
IF(B191=9,
        INDEX(Tabla1[Descuentos], MATCH($A191, Tabla1[N Doc], 0)),
""))))))))))</f>
        <v/>
      </c>
      <c r="G191" t="str">
        <f>IF(OR($A191="",$A191=0),"",IF(OR(B191=2,B191=4,B191=6,B191=7),
    INDEX(Tabla13[Ind impuestos], MATCH($A191, Tabla13[N Doc], 0)),
""))</f>
        <v/>
      </c>
      <c r="J191" t="str">
        <f>IF(OR($A191="",$A191=0),"",IF(OR(B191=2,B191=4,B191=6,B191=7),
    INDEX(Tabla1[CECO], MATCH($A191, Tabla1[N Doc], 0)),
""))</f>
        <v/>
      </c>
      <c r="M191" t="str">
        <f>IF(C191=31,INDEX(Tabla1[Descripción], MATCH($A191, Tabla1[N Doc], 0)),"")</f>
        <v/>
      </c>
    </row>
    <row r="192" spans="1:13" x14ac:dyDescent="0.3">
      <c r="A192" t="str" cm="1">
        <f t="array" ref="A192">INDEX(Tabla1[N Doc], ROUNDUP((ROW()-1)/9, 0))</f>
        <v/>
      </c>
      <c r="B192" t="str">
        <f>IF(OR(A192="",A192=0),"",CHOOSE(
    COUNTIF($A$2:A192,A192),
    1,2,3,4,5,6,7,8,9
))</f>
        <v/>
      </c>
      <c r="C192" t="str">
        <f t="shared" si="2"/>
        <v/>
      </c>
      <c r="D192" s="7" t="str" cm="1">
        <f t="array" ref="D192">IF(OR($A192="",$A192=0),"",
IF(AND(INDEX(Formulario!$H$14:$H$100, $A192)="Si", C192&lt;&gt;31),
        VLOOKUP("cta puente",'Descripciones de gastos'!G:H, 2, FALSE),
IF(B192=1,
        INDEX(Tabla13[Titular], MATCH($A192, Tabla1[N Doc], 0)),
IF(B192=2,
        INDEX(Tabla1[Cuenta contable], MATCH($A192, Tabla1[N Doc], 0)),
IF(B192=3,
        INDEX(Tabla13[Cta Iva 22], MATCH($A192, Tabla1[N Doc], 0)),
IF(B192=4,
        INDEX(Tabla1[Cuenta contable], MATCH($A192, Tabla1[N Doc], 0)),
IF(B192=5,
        INDEX(Tabla13[Cta Iva 10], MATCH($A192, Tabla1[N Doc], 0)),
IF(B192=6,
        INDEX(Tabla1[Cuenta contable], MATCH($A192, Tabla1[N Doc], 0)),
IF(B192=7,
        INDEX(Tabla1[Cuenta contable], MATCH($A192, Tabla1[N Doc], 0)),
IF(B192=8,
        IF(INDEX(Tabla1[Tipo IVA], MATCH($A192, Tabla1[N Doc], 0))="22%",
             INDEX(Tabla13[Cta Iva 22], MATCH($A192, Tabla1[N Doc], 0)),
             INDEX(Tabla13[Cta Iva 10], MATCH($A192, Tabla1[N Doc], 0))),
IF(B192=9,
        INDEX(Tabla1[Cuenta contable], MATCH($A192, Tabla1[N Doc], 0))
)))))))))))</f>
        <v/>
      </c>
      <c r="F192" t="str">
        <f>IF(OR($A192="",$A192=0),"",IF(B192=1,
        INDEX(Tabla1[Importe total], MATCH($A192, Tabla1[N Doc], 0)),
IF(B192=2,
        INDEX(Tabla1[Base imponible 22], MATCH($A192, Tabla1[N Doc], 0)),
IF(B192=3,
        INDEX(Tabla1[Iva 22], MATCH($A192, Tabla1[N Doc], 0)),
IF(B192=4,
        INDEX(Tabla1[Base imponible 10], MATCH($A192, Tabla1[N Doc], 0)),
IF(B192=5,
        INDEX(Tabla1[Iva 10], MATCH($A192, Tabla1[N Doc], 0)),
IF(B192=6,
        INDEX(Tabla1[Exento], MATCH($A192, Tabla1[N Doc], 0)),
IF(B192=7,
        INDEX(#REF!, MATCH($A192, Tabla1[N Doc], 0)),
IF(B192=8,
        INDEX(#REF!, MATCH($A192, Tabla1[N Doc], 0)),
IF(B192=9,
        INDEX(Tabla1[Descuentos], MATCH($A192, Tabla1[N Doc], 0)),
""))))))))))</f>
        <v/>
      </c>
      <c r="G192" t="str">
        <f>IF(OR($A192="",$A192=0),"",IF(OR(B192=2,B192=4,B192=6,B192=7),
    INDEX(Tabla13[Ind impuestos], MATCH($A192, Tabla13[N Doc], 0)),
""))</f>
        <v/>
      </c>
      <c r="J192" t="str">
        <f>IF(OR($A192="",$A192=0),"",IF(OR(B192=2,B192=4,B192=6,B192=7),
    INDEX(Tabla1[CECO], MATCH($A192, Tabla1[N Doc], 0)),
""))</f>
        <v/>
      </c>
      <c r="M192" t="str">
        <f>IF(C192=31,INDEX(Tabla1[Descripción], MATCH($A192, Tabla1[N Doc], 0)),"")</f>
        <v/>
      </c>
    </row>
    <row r="193" spans="1:13" x14ac:dyDescent="0.3">
      <c r="A193" t="str" cm="1">
        <f t="array" ref="A193">INDEX(Tabla1[N Doc], ROUNDUP((ROW()-1)/9, 0))</f>
        <v/>
      </c>
      <c r="B193" t="str">
        <f>IF(OR(A193="",A193=0),"",CHOOSE(
    COUNTIF($A$2:A193,A193),
    1,2,3,4,5,6,7,8,9
))</f>
        <v/>
      </c>
      <c r="C193" t="str">
        <f t="shared" si="2"/>
        <v/>
      </c>
      <c r="D193" s="7" t="str" cm="1">
        <f t="array" ref="D193">IF(OR($A193="",$A193=0),"",
IF(AND(INDEX(Formulario!$H$14:$H$100, $A193)="Si", C193&lt;&gt;31),
        VLOOKUP("cta puente",'Descripciones de gastos'!G:H, 2, FALSE),
IF(B193=1,
        INDEX(Tabla13[Titular], MATCH($A193, Tabla1[N Doc], 0)),
IF(B193=2,
        INDEX(Tabla1[Cuenta contable], MATCH($A193, Tabla1[N Doc], 0)),
IF(B193=3,
        INDEX(Tabla13[Cta Iva 22], MATCH($A193, Tabla1[N Doc], 0)),
IF(B193=4,
        INDEX(Tabla1[Cuenta contable], MATCH($A193, Tabla1[N Doc], 0)),
IF(B193=5,
        INDEX(Tabla13[Cta Iva 10], MATCH($A193, Tabla1[N Doc], 0)),
IF(B193=6,
        INDEX(Tabla1[Cuenta contable], MATCH($A193, Tabla1[N Doc], 0)),
IF(B193=7,
        INDEX(Tabla1[Cuenta contable], MATCH($A193, Tabla1[N Doc], 0)),
IF(B193=8,
        IF(INDEX(Tabla1[Tipo IVA], MATCH($A193, Tabla1[N Doc], 0))="22%",
             INDEX(Tabla13[Cta Iva 22], MATCH($A193, Tabla1[N Doc], 0)),
             INDEX(Tabla13[Cta Iva 10], MATCH($A193, Tabla1[N Doc], 0))),
IF(B193=9,
        INDEX(Tabla1[Cuenta contable], MATCH($A193, Tabla1[N Doc], 0))
)))))))))))</f>
        <v/>
      </c>
      <c r="F193" t="str">
        <f>IF(OR($A193="",$A193=0),"",IF(B193=1,
        INDEX(Tabla1[Importe total], MATCH($A193, Tabla1[N Doc], 0)),
IF(B193=2,
        INDEX(Tabla1[Base imponible 22], MATCH($A193, Tabla1[N Doc], 0)),
IF(B193=3,
        INDEX(Tabla1[Iva 22], MATCH($A193, Tabla1[N Doc], 0)),
IF(B193=4,
        INDEX(Tabla1[Base imponible 10], MATCH($A193, Tabla1[N Doc], 0)),
IF(B193=5,
        INDEX(Tabla1[Iva 10], MATCH($A193, Tabla1[N Doc], 0)),
IF(B193=6,
        INDEX(Tabla1[Exento], MATCH($A193, Tabla1[N Doc], 0)),
IF(B193=7,
        INDEX(#REF!, MATCH($A193, Tabla1[N Doc], 0)),
IF(B193=8,
        INDEX(#REF!, MATCH($A193, Tabla1[N Doc], 0)),
IF(B193=9,
        INDEX(Tabla1[Descuentos], MATCH($A193, Tabla1[N Doc], 0)),
""))))))))))</f>
        <v/>
      </c>
      <c r="G193" t="str">
        <f>IF(OR($A193="",$A193=0),"",IF(OR(B193=2,B193=4,B193=6,B193=7),
    INDEX(Tabla13[Ind impuestos], MATCH($A193, Tabla13[N Doc], 0)),
""))</f>
        <v/>
      </c>
      <c r="J193" t="str">
        <f>IF(OR($A193="",$A193=0),"",IF(OR(B193=2,B193=4,B193=6,B193=7),
    INDEX(Tabla1[CECO], MATCH($A193, Tabla1[N Doc], 0)),
""))</f>
        <v/>
      </c>
      <c r="M193" t="str">
        <f>IF(C193=31,INDEX(Tabla1[Descripción], MATCH($A193, Tabla1[N Doc], 0)),"")</f>
        <v/>
      </c>
    </row>
    <row r="194" spans="1:13" x14ac:dyDescent="0.3">
      <c r="A194" t="str" cm="1">
        <f t="array" ref="A194">INDEX(Tabla1[N Doc], ROUNDUP((ROW()-1)/9, 0))</f>
        <v/>
      </c>
      <c r="B194" t="str">
        <f>IF(OR(A194="",A194=0),"",CHOOSE(
    COUNTIF($A$2:A194,A194),
    1,2,3,4,5,6,7,8,9
))</f>
        <v/>
      </c>
      <c r="C194" t="str">
        <f t="shared" si="2"/>
        <v/>
      </c>
      <c r="D194" s="7" t="str" cm="1">
        <f t="array" ref="D194">IF(OR($A194="",$A194=0),"",
IF(AND(INDEX(Formulario!$H$14:$H$100, $A194)="Si", C194&lt;&gt;31),
        VLOOKUP("cta puente",'Descripciones de gastos'!G:H, 2, FALSE),
IF(B194=1,
        INDEX(Tabla13[Titular], MATCH($A194, Tabla1[N Doc], 0)),
IF(B194=2,
        INDEX(Tabla1[Cuenta contable], MATCH($A194, Tabla1[N Doc], 0)),
IF(B194=3,
        INDEX(Tabla13[Cta Iva 22], MATCH($A194, Tabla1[N Doc], 0)),
IF(B194=4,
        INDEX(Tabla1[Cuenta contable], MATCH($A194, Tabla1[N Doc], 0)),
IF(B194=5,
        INDEX(Tabla13[Cta Iva 10], MATCH($A194, Tabla1[N Doc], 0)),
IF(B194=6,
        INDEX(Tabla1[Cuenta contable], MATCH($A194, Tabla1[N Doc], 0)),
IF(B194=7,
        INDEX(Tabla1[Cuenta contable], MATCH($A194, Tabla1[N Doc], 0)),
IF(B194=8,
        IF(INDEX(Tabla1[Tipo IVA], MATCH($A194, Tabla1[N Doc], 0))="22%",
             INDEX(Tabla13[Cta Iva 22], MATCH($A194, Tabla1[N Doc], 0)),
             INDEX(Tabla13[Cta Iva 10], MATCH($A194, Tabla1[N Doc], 0))),
IF(B194=9,
        INDEX(Tabla1[Cuenta contable], MATCH($A194, Tabla1[N Doc], 0))
)))))))))))</f>
        <v/>
      </c>
      <c r="F194" t="str">
        <f>IF(OR($A194="",$A194=0),"",IF(B194=1,
        INDEX(Tabla1[Importe total], MATCH($A194, Tabla1[N Doc], 0)),
IF(B194=2,
        INDEX(Tabla1[Base imponible 22], MATCH($A194, Tabla1[N Doc], 0)),
IF(B194=3,
        INDEX(Tabla1[Iva 22], MATCH($A194, Tabla1[N Doc], 0)),
IF(B194=4,
        INDEX(Tabla1[Base imponible 10], MATCH($A194, Tabla1[N Doc], 0)),
IF(B194=5,
        INDEX(Tabla1[Iva 10], MATCH($A194, Tabla1[N Doc], 0)),
IF(B194=6,
        INDEX(Tabla1[Exento], MATCH($A194, Tabla1[N Doc], 0)),
IF(B194=7,
        INDEX(#REF!, MATCH($A194, Tabla1[N Doc], 0)),
IF(B194=8,
        INDEX(#REF!, MATCH($A194, Tabla1[N Doc], 0)),
IF(B194=9,
        INDEX(Tabla1[Descuentos], MATCH($A194, Tabla1[N Doc], 0)),
""))))))))))</f>
        <v/>
      </c>
      <c r="G194" t="str">
        <f>IF(OR($A194="",$A194=0),"",IF(OR(B194=2,B194=4,B194=6,B194=7),
    INDEX(Tabla13[Ind impuestos], MATCH($A194, Tabla13[N Doc], 0)),
""))</f>
        <v/>
      </c>
      <c r="J194" t="str">
        <f>IF(OR($A194="",$A194=0),"",IF(OR(B194=2,B194=4,B194=6,B194=7),
    INDEX(Tabla1[CECO], MATCH($A194, Tabla1[N Doc], 0)),
""))</f>
        <v/>
      </c>
      <c r="M194" t="str">
        <f>IF(C194=31,INDEX(Tabla1[Descripción], MATCH($A194, Tabla1[N Doc], 0)),"")</f>
        <v/>
      </c>
    </row>
    <row r="195" spans="1:13" x14ac:dyDescent="0.3">
      <c r="A195" t="str" cm="1">
        <f t="array" ref="A195">INDEX(Tabla1[N Doc], ROUNDUP((ROW()-1)/9, 0))</f>
        <v/>
      </c>
      <c r="B195" t="str">
        <f>IF(OR(A195="",A195=0),"",CHOOSE(
    COUNTIF($A$2:A195,A195),
    1,2,3,4,5,6,7,8,9
))</f>
        <v/>
      </c>
      <c r="C195" t="str">
        <f t="shared" ref="C195:C258" si="3">IF(A195="","",IF(B195=1,31,IF(B195=9,50,40)))</f>
        <v/>
      </c>
      <c r="D195" s="7" t="str" cm="1">
        <f t="array" ref="D195">IF(OR($A195="",$A195=0),"",
IF(AND(INDEX(Formulario!$H$14:$H$100, $A195)="Si", C195&lt;&gt;31),
        VLOOKUP("cta puente",'Descripciones de gastos'!G:H, 2, FALSE),
IF(B195=1,
        INDEX(Tabla13[Titular], MATCH($A195, Tabla1[N Doc], 0)),
IF(B195=2,
        INDEX(Tabla1[Cuenta contable], MATCH($A195, Tabla1[N Doc], 0)),
IF(B195=3,
        INDEX(Tabla13[Cta Iva 22], MATCH($A195, Tabla1[N Doc], 0)),
IF(B195=4,
        INDEX(Tabla1[Cuenta contable], MATCH($A195, Tabla1[N Doc], 0)),
IF(B195=5,
        INDEX(Tabla13[Cta Iva 10], MATCH($A195, Tabla1[N Doc], 0)),
IF(B195=6,
        INDEX(Tabla1[Cuenta contable], MATCH($A195, Tabla1[N Doc], 0)),
IF(B195=7,
        INDEX(Tabla1[Cuenta contable], MATCH($A195, Tabla1[N Doc], 0)),
IF(B195=8,
        IF(INDEX(Tabla1[Tipo IVA], MATCH($A195, Tabla1[N Doc], 0))="22%",
             INDEX(Tabla13[Cta Iva 22], MATCH($A195, Tabla1[N Doc], 0)),
             INDEX(Tabla13[Cta Iva 10], MATCH($A195, Tabla1[N Doc], 0))),
IF(B195=9,
        INDEX(Tabla1[Cuenta contable], MATCH($A195, Tabla1[N Doc], 0))
)))))))))))</f>
        <v/>
      </c>
      <c r="F195" t="str">
        <f>IF(OR($A195="",$A195=0),"",IF(B195=1,
        INDEX(Tabla1[Importe total], MATCH($A195, Tabla1[N Doc], 0)),
IF(B195=2,
        INDEX(Tabla1[Base imponible 22], MATCH($A195, Tabla1[N Doc], 0)),
IF(B195=3,
        INDEX(Tabla1[Iva 22], MATCH($A195, Tabla1[N Doc], 0)),
IF(B195=4,
        INDEX(Tabla1[Base imponible 10], MATCH($A195, Tabla1[N Doc], 0)),
IF(B195=5,
        INDEX(Tabla1[Iva 10], MATCH($A195, Tabla1[N Doc], 0)),
IF(B195=6,
        INDEX(Tabla1[Exento], MATCH($A195, Tabla1[N Doc], 0)),
IF(B195=7,
        INDEX(#REF!, MATCH($A195, Tabla1[N Doc], 0)),
IF(B195=8,
        INDEX(#REF!, MATCH($A195, Tabla1[N Doc], 0)),
IF(B195=9,
        INDEX(Tabla1[Descuentos], MATCH($A195, Tabla1[N Doc], 0)),
""))))))))))</f>
        <v/>
      </c>
      <c r="G195" t="str">
        <f>IF(OR($A195="",$A195=0),"",IF(OR(B195=2,B195=4,B195=6,B195=7),
    INDEX(Tabla13[Ind impuestos], MATCH($A195, Tabla13[N Doc], 0)),
""))</f>
        <v/>
      </c>
      <c r="J195" t="str">
        <f>IF(OR($A195="",$A195=0),"",IF(OR(B195=2,B195=4,B195=6,B195=7),
    INDEX(Tabla1[CECO], MATCH($A195, Tabla1[N Doc], 0)),
""))</f>
        <v/>
      </c>
      <c r="M195" t="str">
        <f>IF(C195=31,INDEX(Tabla1[Descripción], MATCH($A195, Tabla1[N Doc], 0)),"")</f>
        <v/>
      </c>
    </row>
    <row r="196" spans="1:13" x14ac:dyDescent="0.3">
      <c r="A196" t="str" cm="1">
        <f t="array" ref="A196">INDEX(Tabla1[N Doc], ROUNDUP((ROW()-1)/9, 0))</f>
        <v/>
      </c>
      <c r="B196" t="str">
        <f>IF(OR(A196="",A196=0),"",CHOOSE(
    COUNTIF($A$2:A196,A196),
    1,2,3,4,5,6,7,8,9
))</f>
        <v/>
      </c>
      <c r="C196" t="str">
        <f t="shared" si="3"/>
        <v/>
      </c>
      <c r="D196" s="7" t="str" cm="1">
        <f t="array" ref="D196">IF(OR($A196="",$A196=0),"",
IF(AND(INDEX(Formulario!$H$14:$H$100, $A196)="Si", C196&lt;&gt;31),
        VLOOKUP("cta puente",'Descripciones de gastos'!G:H, 2, FALSE),
IF(B196=1,
        INDEX(Tabla13[Titular], MATCH($A196, Tabla1[N Doc], 0)),
IF(B196=2,
        INDEX(Tabla1[Cuenta contable], MATCH($A196, Tabla1[N Doc], 0)),
IF(B196=3,
        INDEX(Tabla13[Cta Iva 22], MATCH($A196, Tabla1[N Doc], 0)),
IF(B196=4,
        INDEX(Tabla1[Cuenta contable], MATCH($A196, Tabla1[N Doc], 0)),
IF(B196=5,
        INDEX(Tabla13[Cta Iva 10], MATCH($A196, Tabla1[N Doc], 0)),
IF(B196=6,
        INDEX(Tabla1[Cuenta contable], MATCH($A196, Tabla1[N Doc], 0)),
IF(B196=7,
        INDEX(Tabla1[Cuenta contable], MATCH($A196, Tabla1[N Doc], 0)),
IF(B196=8,
        IF(INDEX(Tabla1[Tipo IVA], MATCH($A196, Tabla1[N Doc], 0))="22%",
             INDEX(Tabla13[Cta Iva 22], MATCH($A196, Tabla1[N Doc], 0)),
             INDEX(Tabla13[Cta Iva 10], MATCH($A196, Tabla1[N Doc], 0))),
IF(B196=9,
        INDEX(Tabla1[Cuenta contable], MATCH($A196, Tabla1[N Doc], 0))
)))))))))))</f>
        <v/>
      </c>
      <c r="F196" t="str">
        <f>IF(OR($A196="",$A196=0),"",IF(B196=1,
        INDEX(Tabla1[Importe total], MATCH($A196, Tabla1[N Doc], 0)),
IF(B196=2,
        INDEX(Tabla1[Base imponible 22], MATCH($A196, Tabla1[N Doc], 0)),
IF(B196=3,
        INDEX(Tabla1[Iva 22], MATCH($A196, Tabla1[N Doc], 0)),
IF(B196=4,
        INDEX(Tabla1[Base imponible 10], MATCH($A196, Tabla1[N Doc], 0)),
IF(B196=5,
        INDEX(Tabla1[Iva 10], MATCH($A196, Tabla1[N Doc], 0)),
IF(B196=6,
        INDEX(Tabla1[Exento], MATCH($A196, Tabla1[N Doc], 0)),
IF(B196=7,
        INDEX(#REF!, MATCH($A196, Tabla1[N Doc], 0)),
IF(B196=8,
        INDEX(#REF!, MATCH($A196, Tabla1[N Doc], 0)),
IF(B196=9,
        INDEX(Tabla1[Descuentos], MATCH($A196, Tabla1[N Doc], 0)),
""))))))))))</f>
        <v/>
      </c>
      <c r="G196" t="str">
        <f>IF(OR($A196="",$A196=0),"",IF(OR(B196=2,B196=4,B196=6,B196=7),
    INDEX(Tabla13[Ind impuestos], MATCH($A196, Tabla13[N Doc], 0)),
""))</f>
        <v/>
      </c>
      <c r="J196" t="str">
        <f>IF(OR($A196="",$A196=0),"",IF(OR(B196=2,B196=4,B196=6,B196=7),
    INDEX(Tabla1[CECO], MATCH($A196, Tabla1[N Doc], 0)),
""))</f>
        <v/>
      </c>
      <c r="M196" t="str">
        <f>IF(C196=31,INDEX(Tabla1[Descripción], MATCH($A196, Tabla1[N Doc], 0)),"")</f>
        <v/>
      </c>
    </row>
    <row r="197" spans="1:13" x14ac:dyDescent="0.3">
      <c r="A197" t="str" cm="1">
        <f t="array" ref="A197">INDEX(Tabla1[N Doc], ROUNDUP((ROW()-1)/9, 0))</f>
        <v/>
      </c>
      <c r="B197" t="str">
        <f>IF(OR(A197="",A197=0),"",CHOOSE(
    COUNTIF($A$2:A197,A197),
    1,2,3,4,5,6,7,8,9
))</f>
        <v/>
      </c>
      <c r="C197" t="str">
        <f t="shared" si="3"/>
        <v/>
      </c>
      <c r="D197" s="7" t="str" cm="1">
        <f t="array" ref="D197">IF(OR($A197="",$A197=0),"",
IF(AND(INDEX(Formulario!$H$14:$H$100, $A197)="Si", C197&lt;&gt;31),
        VLOOKUP("cta puente",'Descripciones de gastos'!G:H, 2, FALSE),
IF(B197=1,
        INDEX(Tabla13[Titular], MATCH($A197, Tabla1[N Doc], 0)),
IF(B197=2,
        INDEX(Tabla1[Cuenta contable], MATCH($A197, Tabla1[N Doc], 0)),
IF(B197=3,
        INDEX(Tabla13[Cta Iva 22], MATCH($A197, Tabla1[N Doc], 0)),
IF(B197=4,
        INDEX(Tabla1[Cuenta contable], MATCH($A197, Tabla1[N Doc], 0)),
IF(B197=5,
        INDEX(Tabla13[Cta Iva 10], MATCH($A197, Tabla1[N Doc], 0)),
IF(B197=6,
        INDEX(Tabla1[Cuenta contable], MATCH($A197, Tabla1[N Doc], 0)),
IF(B197=7,
        INDEX(Tabla1[Cuenta contable], MATCH($A197, Tabla1[N Doc], 0)),
IF(B197=8,
        IF(INDEX(Tabla1[Tipo IVA], MATCH($A197, Tabla1[N Doc], 0))="22%",
             INDEX(Tabla13[Cta Iva 22], MATCH($A197, Tabla1[N Doc], 0)),
             INDEX(Tabla13[Cta Iva 10], MATCH($A197, Tabla1[N Doc], 0))),
IF(B197=9,
        INDEX(Tabla1[Cuenta contable], MATCH($A197, Tabla1[N Doc], 0))
)))))))))))</f>
        <v/>
      </c>
      <c r="F197" t="str">
        <f>IF(OR($A197="",$A197=0),"",IF(B197=1,
        INDEX(Tabla1[Importe total], MATCH($A197, Tabla1[N Doc], 0)),
IF(B197=2,
        INDEX(Tabla1[Base imponible 22], MATCH($A197, Tabla1[N Doc], 0)),
IF(B197=3,
        INDEX(Tabla1[Iva 22], MATCH($A197, Tabla1[N Doc], 0)),
IF(B197=4,
        INDEX(Tabla1[Base imponible 10], MATCH($A197, Tabla1[N Doc], 0)),
IF(B197=5,
        INDEX(Tabla1[Iva 10], MATCH($A197, Tabla1[N Doc], 0)),
IF(B197=6,
        INDEX(Tabla1[Exento], MATCH($A197, Tabla1[N Doc], 0)),
IF(B197=7,
        INDEX(#REF!, MATCH($A197, Tabla1[N Doc], 0)),
IF(B197=8,
        INDEX(#REF!, MATCH($A197, Tabla1[N Doc], 0)),
IF(B197=9,
        INDEX(Tabla1[Descuentos], MATCH($A197, Tabla1[N Doc], 0)),
""))))))))))</f>
        <v/>
      </c>
      <c r="G197" t="str">
        <f>IF(OR($A197="",$A197=0),"",IF(OR(B197=2,B197=4,B197=6,B197=7),
    INDEX(Tabla13[Ind impuestos], MATCH($A197, Tabla13[N Doc], 0)),
""))</f>
        <v/>
      </c>
      <c r="J197" t="str">
        <f>IF(OR($A197="",$A197=0),"",IF(OR(B197=2,B197=4,B197=6,B197=7),
    INDEX(Tabla1[CECO], MATCH($A197, Tabla1[N Doc], 0)),
""))</f>
        <v/>
      </c>
      <c r="M197" t="str">
        <f>IF(C197=31,INDEX(Tabla1[Descripción], MATCH($A197, Tabla1[N Doc], 0)),"")</f>
        <v/>
      </c>
    </row>
    <row r="198" spans="1:13" x14ac:dyDescent="0.3">
      <c r="A198" t="str" cm="1">
        <f t="array" ref="A198">INDEX(Tabla1[N Doc], ROUNDUP((ROW()-1)/9, 0))</f>
        <v/>
      </c>
      <c r="B198" t="str">
        <f>IF(OR(A198="",A198=0),"",CHOOSE(
    COUNTIF($A$2:A198,A198),
    1,2,3,4,5,6,7,8,9
))</f>
        <v/>
      </c>
      <c r="C198" t="str">
        <f t="shared" si="3"/>
        <v/>
      </c>
      <c r="D198" s="7" t="str" cm="1">
        <f t="array" ref="D198">IF(OR($A198="",$A198=0),"",
IF(AND(INDEX(Formulario!$H$14:$H$100, $A198)="Si", C198&lt;&gt;31),
        VLOOKUP("cta puente",'Descripciones de gastos'!G:H, 2, FALSE),
IF(B198=1,
        INDEX(Tabla13[Titular], MATCH($A198, Tabla1[N Doc], 0)),
IF(B198=2,
        INDEX(Tabla1[Cuenta contable], MATCH($A198, Tabla1[N Doc], 0)),
IF(B198=3,
        INDEX(Tabla13[Cta Iva 22], MATCH($A198, Tabla1[N Doc], 0)),
IF(B198=4,
        INDEX(Tabla1[Cuenta contable], MATCH($A198, Tabla1[N Doc], 0)),
IF(B198=5,
        INDEX(Tabla13[Cta Iva 10], MATCH($A198, Tabla1[N Doc], 0)),
IF(B198=6,
        INDEX(Tabla1[Cuenta contable], MATCH($A198, Tabla1[N Doc], 0)),
IF(B198=7,
        INDEX(Tabla1[Cuenta contable], MATCH($A198, Tabla1[N Doc], 0)),
IF(B198=8,
        IF(INDEX(Tabla1[Tipo IVA], MATCH($A198, Tabla1[N Doc], 0))="22%",
             INDEX(Tabla13[Cta Iva 22], MATCH($A198, Tabla1[N Doc], 0)),
             INDEX(Tabla13[Cta Iva 10], MATCH($A198, Tabla1[N Doc], 0))),
IF(B198=9,
        INDEX(Tabla1[Cuenta contable], MATCH($A198, Tabla1[N Doc], 0))
)))))))))))</f>
        <v/>
      </c>
      <c r="F198" t="str">
        <f>IF(OR($A198="",$A198=0),"",IF(B198=1,
        INDEX(Tabla1[Importe total], MATCH($A198, Tabla1[N Doc], 0)),
IF(B198=2,
        INDEX(Tabla1[Base imponible 22], MATCH($A198, Tabla1[N Doc], 0)),
IF(B198=3,
        INDEX(Tabla1[Iva 22], MATCH($A198, Tabla1[N Doc], 0)),
IF(B198=4,
        INDEX(Tabla1[Base imponible 10], MATCH($A198, Tabla1[N Doc], 0)),
IF(B198=5,
        INDEX(Tabla1[Iva 10], MATCH($A198, Tabla1[N Doc], 0)),
IF(B198=6,
        INDEX(Tabla1[Exento], MATCH($A198, Tabla1[N Doc], 0)),
IF(B198=7,
        INDEX(#REF!, MATCH($A198, Tabla1[N Doc], 0)),
IF(B198=8,
        INDEX(#REF!, MATCH($A198, Tabla1[N Doc], 0)),
IF(B198=9,
        INDEX(Tabla1[Descuentos], MATCH($A198, Tabla1[N Doc], 0)),
""))))))))))</f>
        <v/>
      </c>
      <c r="G198" t="str">
        <f>IF(OR($A198="",$A198=0),"",IF(OR(B198=2,B198=4,B198=6,B198=7),
    INDEX(Tabla13[Ind impuestos], MATCH($A198, Tabla13[N Doc], 0)),
""))</f>
        <v/>
      </c>
      <c r="J198" t="str">
        <f>IF(OR($A198="",$A198=0),"",IF(OR(B198=2,B198=4,B198=6,B198=7),
    INDEX(Tabla1[CECO], MATCH($A198, Tabla1[N Doc], 0)),
""))</f>
        <v/>
      </c>
      <c r="M198" t="str">
        <f>IF(C198=31,INDEX(Tabla1[Descripción], MATCH($A198, Tabla1[N Doc], 0)),"")</f>
        <v/>
      </c>
    </row>
    <row r="199" spans="1:13" x14ac:dyDescent="0.3">
      <c r="A199" t="str" cm="1">
        <f t="array" ref="A199">INDEX(Tabla1[N Doc], ROUNDUP((ROW()-1)/9, 0))</f>
        <v/>
      </c>
      <c r="B199" t="str">
        <f>IF(OR(A199="",A199=0),"",CHOOSE(
    COUNTIF($A$2:A199,A199),
    1,2,3,4,5,6,7,8,9
))</f>
        <v/>
      </c>
      <c r="C199" t="str">
        <f t="shared" si="3"/>
        <v/>
      </c>
      <c r="D199" s="7" t="str" cm="1">
        <f t="array" ref="D199">IF(OR($A199="",$A199=0),"",
IF(AND(INDEX(Formulario!$H$14:$H$100, $A199)="Si", C199&lt;&gt;31),
        VLOOKUP("cta puente",'Descripciones de gastos'!G:H, 2, FALSE),
IF(B199=1,
        INDEX(Tabla13[Titular], MATCH($A199, Tabla1[N Doc], 0)),
IF(B199=2,
        INDEX(Tabla1[Cuenta contable], MATCH($A199, Tabla1[N Doc], 0)),
IF(B199=3,
        INDEX(Tabla13[Cta Iva 22], MATCH($A199, Tabla1[N Doc], 0)),
IF(B199=4,
        INDEX(Tabla1[Cuenta contable], MATCH($A199, Tabla1[N Doc], 0)),
IF(B199=5,
        INDEX(Tabla13[Cta Iva 10], MATCH($A199, Tabla1[N Doc], 0)),
IF(B199=6,
        INDEX(Tabla1[Cuenta contable], MATCH($A199, Tabla1[N Doc], 0)),
IF(B199=7,
        INDEX(Tabla1[Cuenta contable], MATCH($A199, Tabla1[N Doc], 0)),
IF(B199=8,
        IF(INDEX(Tabla1[Tipo IVA], MATCH($A199, Tabla1[N Doc], 0))="22%",
             INDEX(Tabla13[Cta Iva 22], MATCH($A199, Tabla1[N Doc], 0)),
             INDEX(Tabla13[Cta Iva 10], MATCH($A199, Tabla1[N Doc], 0))),
IF(B199=9,
        INDEX(Tabla1[Cuenta contable], MATCH($A199, Tabla1[N Doc], 0))
)))))))))))</f>
        <v/>
      </c>
      <c r="F199" t="str">
        <f>IF(OR($A199="",$A199=0),"",IF(B199=1,
        INDEX(Tabla1[Importe total], MATCH($A199, Tabla1[N Doc], 0)),
IF(B199=2,
        INDEX(Tabla1[Base imponible 22], MATCH($A199, Tabla1[N Doc], 0)),
IF(B199=3,
        INDEX(Tabla1[Iva 22], MATCH($A199, Tabla1[N Doc], 0)),
IF(B199=4,
        INDEX(Tabla1[Base imponible 10], MATCH($A199, Tabla1[N Doc], 0)),
IF(B199=5,
        INDEX(Tabla1[Iva 10], MATCH($A199, Tabla1[N Doc], 0)),
IF(B199=6,
        INDEX(Tabla1[Exento], MATCH($A199, Tabla1[N Doc], 0)),
IF(B199=7,
        INDEX(#REF!, MATCH($A199, Tabla1[N Doc], 0)),
IF(B199=8,
        INDEX(#REF!, MATCH($A199, Tabla1[N Doc], 0)),
IF(B199=9,
        INDEX(Tabla1[Descuentos], MATCH($A199, Tabla1[N Doc], 0)),
""))))))))))</f>
        <v/>
      </c>
      <c r="G199" t="str">
        <f>IF(OR($A199="",$A199=0),"",IF(OR(B199=2,B199=4,B199=6,B199=7),
    INDEX(Tabla13[Ind impuestos], MATCH($A199, Tabla13[N Doc], 0)),
""))</f>
        <v/>
      </c>
      <c r="J199" t="str">
        <f>IF(OR($A199="",$A199=0),"",IF(OR(B199=2,B199=4,B199=6,B199=7),
    INDEX(Tabla1[CECO], MATCH($A199, Tabla1[N Doc], 0)),
""))</f>
        <v/>
      </c>
      <c r="M199" t="str">
        <f>IF(C199=31,INDEX(Tabla1[Descripción], MATCH($A199, Tabla1[N Doc], 0)),"")</f>
        <v/>
      </c>
    </row>
    <row r="200" spans="1:13" x14ac:dyDescent="0.3">
      <c r="A200" t="str" cm="1">
        <f t="array" ref="A200">INDEX(Tabla1[N Doc], ROUNDUP((ROW()-1)/9, 0))</f>
        <v/>
      </c>
      <c r="B200" t="str">
        <f>IF(OR(A200="",A200=0),"",CHOOSE(
    COUNTIF($A$2:A200,A200),
    1,2,3,4,5,6,7,8,9
))</f>
        <v/>
      </c>
      <c r="C200" t="str">
        <f t="shared" si="3"/>
        <v/>
      </c>
      <c r="D200" s="7" t="str" cm="1">
        <f t="array" ref="D200">IF(OR($A200="",$A200=0),"",
IF(AND(INDEX(Formulario!$H$14:$H$100, $A200)="Si", C200&lt;&gt;31),
        VLOOKUP("cta puente",'Descripciones de gastos'!G:H, 2, FALSE),
IF(B200=1,
        INDEX(Tabla13[Titular], MATCH($A200, Tabla1[N Doc], 0)),
IF(B200=2,
        INDEX(Tabla1[Cuenta contable], MATCH($A200, Tabla1[N Doc], 0)),
IF(B200=3,
        INDEX(Tabla13[Cta Iva 22], MATCH($A200, Tabla1[N Doc], 0)),
IF(B200=4,
        INDEX(Tabla1[Cuenta contable], MATCH($A200, Tabla1[N Doc], 0)),
IF(B200=5,
        INDEX(Tabla13[Cta Iva 10], MATCH($A200, Tabla1[N Doc], 0)),
IF(B200=6,
        INDEX(Tabla1[Cuenta contable], MATCH($A200, Tabla1[N Doc], 0)),
IF(B200=7,
        INDEX(Tabla1[Cuenta contable], MATCH($A200, Tabla1[N Doc], 0)),
IF(B200=8,
        IF(INDEX(Tabla1[Tipo IVA], MATCH($A200, Tabla1[N Doc], 0))="22%",
             INDEX(Tabla13[Cta Iva 22], MATCH($A200, Tabla1[N Doc], 0)),
             INDEX(Tabla13[Cta Iva 10], MATCH($A200, Tabla1[N Doc], 0))),
IF(B200=9,
        INDEX(Tabla1[Cuenta contable], MATCH($A200, Tabla1[N Doc], 0))
)))))))))))</f>
        <v/>
      </c>
      <c r="F200" t="str">
        <f>IF(OR($A200="",$A200=0),"",IF(B200=1,
        INDEX(Tabla1[Importe total], MATCH($A200, Tabla1[N Doc], 0)),
IF(B200=2,
        INDEX(Tabla1[Base imponible 22], MATCH($A200, Tabla1[N Doc], 0)),
IF(B200=3,
        INDEX(Tabla1[Iva 22], MATCH($A200, Tabla1[N Doc], 0)),
IF(B200=4,
        INDEX(Tabla1[Base imponible 10], MATCH($A200, Tabla1[N Doc], 0)),
IF(B200=5,
        INDEX(Tabla1[Iva 10], MATCH($A200, Tabla1[N Doc], 0)),
IF(B200=6,
        INDEX(Tabla1[Exento], MATCH($A200, Tabla1[N Doc], 0)),
IF(B200=7,
        INDEX(#REF!, MATCH($A200, Tabla1[N Doc], 0)),
IF(B200=8,
        INDEX(#REF!, MATCH($A200, Tabla1[N Doc], 0)),
IF(B200=9,
        INDEX(Tabla1[Descuentos], MATCH($A200, Tabla1[N Doc], 0)),
""))))))))))</f>
        <v/>
      </c>
      <c r="G200" t="str">
        <f>IF(OR($A200="",$A200=0),"",IF(OR(B200=2,B200=4,B200=6,B200=7),
    INDEX(Tabla13[Ind impuestos], MATCH($A200, Tabla13[N Doc], 0)),
""))</f>
        <v/>
      </c>
      <c r="J200" t="str">
        <f>IF(OR($A200="",$A200=0),"",IF(OR(B200=2,B200=4,B200=6,B200=7),
    INDEX(Tabla1[CECO], MATCH($A200, Tabla1[N Doc], 0)),
""))</f>
        <v/>
      </c>
      <c r="M200" t="str">
        <f>IF(C200=31,INDEX(Tabla1[Descripción], MATCH($A200, Tabla1[N Doc], 0)),"")</f>
        <v/>
      </c>
    </row>
    <row r="201" spans="1:13" x14ac:dyDescent="0.3">
      <c r="A201" t="str" cm="1">
        <f t="array" ref="A201">INDEX(Tabla1[N Doc], ROUNDUP((ROW()-1)/9, 0))</f>
        <v/>
      </c>
      <c r="B201" t="str">
        <f>IF(OR(A201="",A201=0),"",CHOOSE(
    COUNTIF($A$2:A201,A201),
    1,2,3,4,5,6,7,8,9
))</f>
        <v/>
      </c>
      <c r="C201" t="str">
        <f t="shared" si="3"/>
        <v/>
      </c>
      <c r="D201" s="7" t="str" cm="1">
        <f t="array" ref="D201">IF(OR($A201="",$A201=0),"",
IF(AND(INDEX(Formulario!$H$14:$H$100, $A201)="Si", C201&lt;&gt;31),
        VLOOKUP("cta puente",'Descripciones de gastos'!G:H, 2, FALSE),
IF(B201=1,
        INDEX(Tabla13[Titular], MATCH($A201, Tabla1[N Doc], 0)),
IF(B201=2,
        INDEX(Tabla1[Cuenta contable], MATCH($A201, Tabla1[N Doc], 0)),
IF(B201=3,
        INDEX(Tabla13[Cta Iva 22], MATCH($A201, Tabla1[N Doc], 0)),
IF(B201=4,
        INDEX(Tabla1[Cuenta contable], MATCH($A201, Tabla1[N Doc], 0)),
IF(B201=5,
        INDEX(Tabla13[Cta Iva 10], MATCH($A201, Tabla1[N Doc], 0)),
IF(B201=6,
        INDEX(Tabla1[Cuenta contable], MATCH($A201, Tabla1[N Doc], 0)),
IF(B201=7,
        INDEX(Tabla1[Cuenta contable], MATCH($A201, Tabla1[N Doc], 0)),
IF(B201=8,
        IF(INDEX(Tabla1[Tipo IVA], MATCH($A201, Tabla1[N Doc], 0))="22%",
             INDEX(Tabla13[Cta Iva 22], MATCH($A201, Tabla1[N Doc], 0)),
             INDEX(Tabla13[Cta Iva 10], MATCH($A201, Tabla1[N Doc], 0))),
IF(B201=9,
        INDEX(Tabla1[Cuenta contable], MATCH($A201, Tabla1[N Doc], 0))
)))))))))))</f>
        <v/>
      </c>
      <c r="F201" t="str">
        <f>IF(OR($A201="",$A201=0),"",IF(B201=1,
        INDEX(Tabla1[Importe total], MATCH($A201, Tabla1[N Doc], 0)),
IF(B201=2,
        INDEX(Tabla1[Base imponible 22], MATCH($A201, Tabla1[N Doc], 0)),
IF(B201=3,
        INDEX(Tabla1[Iva 22], MATCH($A201, Tabla1[N Doc], 0)),
IF(B201=4,
        INDEX(Tabla1[Base imponible 10], MATCH($A201, Tabla1[N Doc], 0)),
IF(B201=5,
        INDEX(Tabla1[Iva 10], MATCH($A201, Tabla1[N Doc], 0)),
IF(B201=6,
        INDEX(Tabla1[Exento], MATCH($A201, Tabla1[N Doc], 0)),
IF(B201=7,
        INDEX(#REF!, MATCH($A201, Tabla1[N Doc], 0)),
IF(B201=8,
        INDEX(#REF!, MATCH($A201, Tabla1[N Doc], 0)),
IF(B201=9,
        INDEX(Tabla1[Descuentos], MATCH($A201, Tabla1[N Doc], 0)),
""))))))))))</f>
        <v/>
      </c>
      <c r="G201" t="str">
        <f>IF(OR($A201="",$A201=0),"",IF(OR(B201=2,B201=4,B201=6,B201=7),
    INDEX(Tabla13[Ind impuestos], MATCH($A201, Tabla13[N Doc], 0)),
""))</f>
        <v/>
      </c>
      <c r="J201" t="str">
        <f>IF(OR($A201="",$A201=0),"",IF(OR(B201=2,B201=4,B201=6,B201=7),
    INDEX(Tabla1[CECO], MATCH($A201, Tabla1[N Doc], 0)),
""))</f>
        <v/>
      </c>
      <c r="M201" t="str">
        <f>IF(C201=31,INDEX(Tabla1[Descripción], MATCH($A201, Tabla1[N Doc], 0)),"")</f>
        <v/>
      </c>
    </row>
    <row r="202" spans="1:13" x14ac:dyDescent="0.3">
      <c r="A202" t="str" cm="1">
        <f t="array" ref="A202">INDEX(Tabla1[N Doc], ROUNDUP((ROW()-1)/9, 0))</f>
        <v/>
      </c>
      <c r="B202" t="str">
        <f>IF(OR(A202="",A202=0),"",CHOOSE(
    COUNTIF($A$2:A202,A202),
    1,2,3,4,5,6,7,8,9
))</f>
        <v/>
      </c>
      <c r="C202" t="str">
        <f t="shared" si="3"/>
        <v/>
      </c>
      <c r="D202" s="7" t="str" cm="1">
        <f t="array" ref="D202">IF(OR($A202="",$A202=0),"",
IF(AND(INDEX(Formulario!$H$14:$H$100, $A202)="Si", C202&lt;&gt;31),
        VLOOKUP("cta puente",'Descripciones de gastos'!G:H, 2, FALSE),
IF(B202=1,
        INDEX(Tabla13[Titular], MATCH($A202, Tabla1[N Doc], 0)),
IF(B202=2,
        INDEX(Tabla1[Cuenta contable], MATCH($A202, Tabla1[N Doc], 0)),
IF(B202=3,
        INDEX(Tabla13[Cta Iva 22], MATCH($A202, Tabla1[N Doc], 0)),
IF(B202=4,
        INDEX(Tabla1[Cuenta contable], MATCH($A202, Tabla1[N Doc], 0)),
IF(B202=5,
        INDEX(Tabla13[Cta Iva 10], MATCH($A202, Tabla1[N Doc], 0)),
IF(B202=6,
        INDEX(Tabla1[Cuenta contable], MATCH($A202, Tabla1[N Doc], 0)),
IF(B202=7,
        INDEX(Tabla1[Cuenta contable], MATCH($A202, Tabla1[N Doc], 0)),
IF(B202=8,
        IF(INDEX(Tabla1[Tipo IVA], MATCH($A202, Tabla1[N Doc], 0))="22%",
             INDEX(Tabla13[Cta Iva 22], MATCH($A202, Tabla1[N Doc], 0)),
             INDEX(Tabla13[Cta Iva 10], MATCH($A202, Tabla1[N Doc], 0))),
IF(B202=9,
        INDEX(Tabla1[Cuenta contable], MATCH($A202, Tabla1[N Doc], 0))
)))))))))))</f>
        <v/>
      </c>
      <c r="F202" t="str">
        <f>IF(OR($A202="",$A202=0),"",IF(B202=1,
        INDEX(Tabla1[Importe total], MATCH($A202, Tabla1[N Doc], 0)),
IF(B202=2,
        INDEX(Tabla1[Base imponible 22], MATCH($A202, Tabla1[N Doc], 0)),
IF(B202=3,
        INDEX(Tabla1[Iva 22], MATCH($A202, Tabla1[N Doc], 0)),
IF(B202=4,
        INDEX(Tabla1[Base imponible 10], MATCH($A202, Tabla1[N Doc], 0)),
IF(B202=5,
        INDEX(Tabla1[Iva 10], MATCH($A202, Tabla1[N Doc], 0)),
IF(B202=6,
        INDEX(Tabla1[Exento], MATCH($A202, Tabla1[N Doc], 0)),
IF(B202=7,
        INDEX(#REF!, MATCH($A202, Tabla1[N Doc], 0)),
IF(B202=8,
        INDEX(#REF!, MATCH($A202, Tabla1[N Doc], 0)),
IF(B202=9,
        INDEX(Tabla1[Descuentos], MATCH($A202, Tabla1[N Doc], 0)),
""))))))))))</f>
        <v/>
      </c>
      <c r="G202" t="str">
        <f>IF(OR($A202="",$A202=0),"",IF(OR(B202=2,B202=4,B202=6,B202=7),
    INDEX(Tabla13[Ind impuestos], MATCH($A202, Tabla13[N Doc], 0)),
""))</f>
        <v/>
      </c>
      <c r="J202" t="str">
        <f>IF(OR($A202="",$A202=0),"",IF(OR(B202=2,B202=4,B202=6,B202=7),
    INDEX(Tabla1[CECO], MATCH($A202, Tabla1[N Doc], 0)),
""))</f>
        <v/>
      </c>
      <c r="M202" t="str">
        <f>IF(C202=31,INDEX(Tabla1[Descripción], MATCH($A202, Tabla1[N Doc], 0)),"")</f>
        <v/>
      </c>
    </row>
    <row r="203" spans="1:13" x14ac:dyDescent="0.3">
      <c r="A203" t="str" cm="1">
        <f t="array" ref="A203">INDEX(Tabla1[N Doc], ROUNDUP((ROW()-1)/9, 0))</f>
        <v/>
      </c>
      <c r="B203" t="str">
        <f>IF(OR(A203="",A203=0),"",CHOOSE(
    COUNTIF($A$2:A203,A203),
    1,2,3,4,5,6,7,8,9
))</f>
        <v/>
      </c>
      <c r="C203" t="str">
        <f t="shared" si="3"/>
        <v/>
      </c>
      <c r="D203" s="7" t="str" cm="1">
        <f t="array" ref="D203">IF(OR($A203="",$A203=0),"",
IF(AND(INDEX(Formulario!$H$14:$H$100, $A203)="Si", C203&lt;&gt;31),
        VLOOKUP("cta puente",'Descripciones de gastos'!G:H, 2, FALSE),
IF(B203=1,
        INDEX(Tabla13[Titular], MATCH($A203, Tabla1[N Doc], 0)),
IF(B203=2,
        INDEX(Tabla1[Cuenta contable], MATCH($A203, Tabla1[N Doc], 0)),
IF(B203=3,
        INDEX(Tabla13[Cta Iva 22], MATCH($A203, Tabla1[N Doc], 0)),
IF(B203=4,
        INDEX(Tabla1[Cuenta contable], MATCH($A203, Tabla1[N Doc], 0)),
IF(B203=5,
        INDEX(Tabla13[Cta Iva 10], MATCH($A203, Tabla1[N Doc], 0)),
IF(B203=6,
        INDEX(Tabla1[Cuenta contable], MATCH($A203, Tabla1[N Doc], 0)),
IF(B203=7,
        INDEX(Tabla1[Cuenta contable], MATCH($A203, Tabla1[N Doc], 0)),
IF(B203=8,
        IF(INDEX(Tabla1[Tipo IVA], MATCH($A203, Tabla1[N Doc], 0))="22%",
             INDEX(Tabla13[Cta Iva 22], MATCH($A203, Tabla1[N Doc], 0)),
             INDEX(Tabla13[Cta Iva 10], MATCH($A203, Tabla1[N Doc], 0))),
IF(B203=9,
        INDEX(Tabla1[Cuenta contable], MATCH($A203, Tabla1[N Doc], 0))
)))))))))))</f>
        <v/>
      </c>
      <c r="F203" t="str">
        <f>IF(OR($A203="",$A203=0),"",IF(B203=1,
        INDEX(Tabla1[Importe total], MATCH($A203, Tabla1[N Doc], 0)),
IF(B203=2,
        INDEX(Tabla1[Base imponible 22], MATCH($A203, Tabla1[N Doc], 0)),
IF(B203=3,
        INDEX(Tabla1[Iva 22], MATCH($A203, Tabla1[N Doc], 0)),
IF(B203=4,
        INDEX(Tabla1[Base imponible 10], MATCH($A203, Tabla1[N Doc], 0)),
IF(B203=5,
        INDEX(Tabla1[Iva 10], MATCH($A203, Tabla1[N Doc], 0)),
IF(B203=6,
        INDEX(Tabla1[Exento], MATCH($A203, Tabla1[N Doc], 0)),
IF(B203=7,
        INDEX(#REF!, MATCH($A203, Tabla1[N Doc], 0)),
IF(B203=8,
        INDEX(#REF!, MATCH($A203, Tabla1[N Doc], 0)),
IF(B203=9,
        INDEX(Tabla1[Descuentos], MATCH($A203, Tabla1[N Doc], 0)),
""))))))))))</f>
        <v/>
      </c>
      <c r="G203" t="str">
        <f>IF(OR($A203="",$A203=0),"",IF(OR(B203=2,B203=4,B203=6,B203=7),
    INDEX(Tabla13[Ind impuestos], MATCH($A203, Tabla13[N Doc], 0)),
""))</f>
        <v/>
      </c>
      <c r="J203" t="str">
        <f>IF(OR($A203="",$A203=0),"",IF(OR(B203=2,B203=4,B203=6,B203=7),
    INDEX(Tabla1[CECO], MATCH($A203, Tabla1[N Doc], 0)),
""))</f>
        <v/>
      </c>
      <c r="M203" t="str">
        <f>IF(C203=31,INDEX(Tabla1[Descripción], MATCH($A203, Tabla1[N Doc], 0)),"")</f>
        <v/>
      </c>
    </row>
    <row r="204" spans="1:13" x14ac:dyDescent="0.3">
      <c r="A204" t="str" cm="1">
        <f t="array" ref="A204">INDEX(Tabla1[N Doc], ROUNDUP((ROW()-1)/9, 0))</f>
        <v/>
      </c>
      <c r="B204" t="str">
        <f>IF(OR(A204="",A204=0),"",CHOOSE(
    COUNTIF($A$2:A204,A204),
    1,2,3,4,5,6,7,8,9
))</f>
        <v/>
      </c>
      <c r="C204" t="str">
        <f t="shared" si="3"/>
        <v/>
      </c>
      <c r="D204" s="7" t="str" cm="1">
        <f t="array" ref="D204">IF(OR($A204="",$A204=0),"",
IF(AND(INDEX(Formulario!$H$14:$H$100, $A204)="Si", C204&lt;&gt;31),
        VLOOKUP("cta puente",'Descripciones de gastos'!G:H, 2, FALSE),
IF(B204=1,
        INDEX(Tabla13[Titular], MATCH($A204, Tabla1[N Doc], 0)),
IF(B204=2,
        INDEX(Tabla1[Cuenta contable], MATCH($A204, Tabla1[N Doc], 0)),
IF(B204=3,
        INDEX(Tabla13[Cta Iva 22], MATCH($A204, Tabla1[N Doc], 0)),
IF(B204=4,
        INDEX(Tabla1[Cuenta contable], MATCH($A204, Tabla1[N Doc], 0)),
IF(B204=5,
        INDEX(Tabla13[Cta Iva 10], MATCH($A204, Tabla1[N Doc], 0)),
IF(B204=6,
        INDEX(Tabla1[Cuenta contable], MATCH($A204, Tabla1[N Doc], 0)),
IF(B204=7,
        INDEX(Tabla1[Cuenta contable], MATCH($A204, Tabla1[N Doc], 0)),
IF(B204=8,
        IF(INDEX(Tabla1[Tipo IVA], MATCH($A204, Tabla1[N Doc], 0))="22%",
             INDEX(Tabla13[Cta Iva 22], MATCH($A204, Tabla1[N Doc], 0)),
             INDEX(Tabla13[Cta Iva 10], MATCH($A204, Tabla1[N Doc], 0))),
IF(B204=9,
        INDEX(Tabla1[Cuenta contable], MATCH($A204, Tabla1[N Doc], 0))
)))))))))))</f>
        <v/>
      </c>
      <c r="F204" t="str">
        <f>IF(OR($A204="",$A204=0),"",IF(B204=1,
        INDEX(Tabla1[Importe total], MATCH($A204, Tabla1[N Doc], 0)),
IF(B204=2,
        INDEX(Tabla1[Base imponible 22], MATCH($A204, Tabla1[N Doc], 0)),
IF(B204=3,
        INDEX(Tabla1[Iva 22], MATCH($A204, Tabla1[N Doc], 0)),
IF(B204=4,
        INDEX(Tabla1[Base imponible 10], MATCH($A204, Tabla1[N Doc], 0)),
IF(B204=5,
        INDEX(Tabla1[Iva 10], MATCH($A204, Tabla1[N Doc], 0)),
IF(B204=6,
        INDEX(Tabla1[Exento], MATCH($A204, Tabla1[N Doc], 0)),
IF(B204=7,
        INDEX(#REF!, MATCH($A204, Tabla1[N Doc], 0)),
IF(B204=8,
        INDEX(#REF!, MATCH($A204, Tabla1[N Doc], 0)),
IF(B204=9,
        INDEX(Tabla1[Descuentos], MATCH($A204, Tabla1[N Doc], 0)),
""))))))))))</f>
        <v/>
      </c>
      <c r="G204" t="str">
        <f>IF(OR($A204="",$A204=0),"",IF(OR(B204=2,B204=4,B204=6,B204=7),
    INDEX(Tabla13[Ind impuestos], MATCH($A204, Tabla13[N Doc], 0)),
""))</f>
        <v/>
      </c>
      <c r="J204" t="str">
        <f>IF(OR($A204="",$A204=0),"",IF(OR(B204=2,B204=4,B204=6,B204=7),
    INDEX(Tabla1[CECO], MATCH($A204, Tabla1[N Doc], 0)),
""))</f>
        <v/>
      </c>
      <c r="M204" t="str">
        <f>IF(C204=31,INDEX(Tabla1[Descripción], MATCH($A204, Tabla1[N Doc], 0)),"")</f>
        <v/>
      </c>
    </row>
    <row r="205" spans="1:13" x14ac:dyDescent="0.3">
      <c r="A205" t="str" cm="1">
        <f t="array" ref="A205">INDEX(Tabla1[N Doc], ROUNDUP((ROW()-1)/9, 0))</f>
        <v/>
      </c>
      <c r="B205" t="str">
        <f>IF(OR(A205="",A205=0),"",CHOOSE(
    COUNTIF($A$2:A205,A205),
    1,2,3,4,5,6,7,8,9
))</f>
        <v/>
      </c>
      <c r="C205" t="str">
        <f t="shared" si="3"/>
        <v/>
      </c>
      <c r="D205" s="7" t="str" cm="1">
        <f t="array" ref="D205">IF(OR($A205="",$A205=0),"",
IF(AND(INDEX(Formulario!$H$14:$H$100, $A205)="Si", C205&lt;&gt;31),
        VLOOKUP("cta puente",'Descripciones de gastos'!G:H, 2, FALSE),
IF(B205=1,
        INDEX(Tabla13[Titular], MATCH($A205, Tabla1[N Doc], 0)),
IF(B205=2,
        INDEX(Tabla1[Cuenta contable], MATCH($A205, Tabla1[N Doc], 0)),
IF(B205=3,
        INDEX(Tabla13[Cta Iva 22], MATCH($A205, Tabla1[N Doc], 0)),
IF(B205=4,
        INDEX(Tabla1[Cuenta contable], MATCH($A205, Tabla1[N Doc], 0)),
IF(B205=5,
        INDEX(Tabla13[Cta Iva 10], MATCH($A205, Tabla1[N Doc], 0)),
IF(B205=6,
        INDEX(Tabla1[Cuenta contable], MATCH($A205, Tabla1[N Doc], 0)),
IF(B205=7,
        INDEX(Tabla1[Cuenta contable], MATCH($A205, Tabla1[N Doc], 0)),
IF(B205=8,
        IF(INDEX(Tabla1[Tipo IVA], MATCH($A205, Tabla1[N Doc], 0))="22%",
             INDEX(Tabla13[Cta Iva 22], MATCH($A205, Tabla1[N Doc], 0)),
             INDEX(Tabla13[Cta Iva 10], MATCH($A205, Tabla1[N Doc], 0))),
IF(B205=9,
        INDEX(Tabla1[Cuenta contable], MATCH($A205, Tabla1[N Doc], 0))
)))))))))))</f>
        <v/>
      </c>
      <c r="F205" t="str">
        <f>IF(OR($A205="",$A205=0),"",IF(B205=1,
        INDEX(Tabla1[Importe total], MATCH($A205, Tabla1[N Doc], 0)),
IF(B205=2,
        INDEX(Tabla1[Base imponible 22], MATCH($A205, Tabla1[N Doc], 0)),
IF(B205=3,
        INDEX(Tabla1[Iva 22], MATCH($A205, Tabla1[N Doc], 0)),
IF(B205=4,
        INDEX(Tabla1[Base imponible 10], MATCH($A205, Tabla1[N Doc], 0)),
IF(B205=5,
        INDEX(Tabla1[Iva 10], MATCH($A205, Tabla1[N Doc], 0)),
IF(B205=6,
        INDEX(Tabla1[Exento], MATCH($A205, Tabla1[N Doc], 0)),
IF(B205=7,
        INDEX(#REF!, MATCH($A205, Tabla1[N Doc], 0)),
IF(B205=8,
        INDEX(#REF!, MATCH($A205, Tabla1[N Doc], 0)),
IF(B205=9,
        INDEX(Tabla1[Descuentos], MATCH($A205, Tabla1[N Doc], 0)),
""))))))))))</f>
        <v/>
      </c>
      <c r="G205" t="str">
        <f>IF(OR($A205="",$A205=0),"",IF(OR(B205=2,B205=4,B205=6,B205=7),
    INDEX(Tabla13[Ind impuestos], MATCH($A205, Tabla13[N Doc], 0)),
""))</f>
        <v/>
      </c>
      <c r="J205" t="str">
        <f>IF(OR($A205="",$A205=0),"",IF(OR(B205=2,B205=4,B205=6,B205=7),
    INDEX(Tabla1[CECO], MATCH($A205, Tabla1[N Doc], 0)),
""))</f>
        <v/>
      </c>
      <c r="M205" t="str">
        <f>IF(C205=31,INDEX(Tabla1[Descripción], MATCH($A205, Tabla1[N Doc], 0)),"")</f>
        <v/>
      </c>
    </row>
    <row r="206" spans="1:13" x14ac:dyDescent="0.3">
      <c r="A206" t="str" cm="1">
        <f t="array" ref="A206">INDEX(Tabla1[N Doc], ROUNDUP((ROW()-1)/9, 0))</f>
        <v/>
      </c>
      <c r="B206" t="str">
        <f>IF(OR(A206="",A206=0),"",CHOOSE(
    COUNTIF($A$2:A206,A206),
    1,2,3,4,5,6,7,8,9
))</f>
        <v/>
      </c>
      <c r="C206" t="str">
        <f t="shared" si="3"/>
        <v/>
      </c>
      <c r="D206" s="7" t="str" cm="1">
        <f t="array" ref="D206">IF(OR($A206="",$A206=0),"",
IF(AND(INDEX(Formulario!$H$14:$H$100, $A206)="Si", C206&lt;&gt;31),
        VLOOKUP("cta puente",'Descripciones de gastos'!G:H, 2, FALSE),
IF(B206=1,
        INDEX(Tabla13[Titular], MATCH($A206, Tabla1[N Doc], 0)),
IF(B206=2,
        INDEX(Tabla1[Cuenta contable], MATCH($A206, Tabla1[N Doc], 0)),
IF(B206=3,
        INDEX(Tabla13[Cta Iva 22], MATCH($A206, Tabla1[N Doc], 0)),
IF(B206=4,
        INDEX(Tabla1[Cuenta contable], MATCH($A206, Tabla1[N Doc], 0)),
IF(B206=5,
        INDEX(Tabla13[Cta Iva 10], MATCH($A206, Tabla1[N Doc], 0)),
IF(B206=6,
        INDEX(Tabla1[Cuenta contable], MATCH($A206, Tabla1[N Doc], 0)),
IF(B206=7,
        INDEX(Tabla1[Cuenta contable], MATCH($A206, Tabla1[N Doc], 0)),
IF(B206=8,
        IF(INDEX(Tabla1[Tipo IVA], MATCH($A206, Tabla1[N Doc], 0))="22%",
             INDEX(Tabla13[Cta Iva 22], MATCH($A206, Tabla1[N Doc], 0)),
             INDEX(Tabla13[Cta Iva 10], MATCH($A206, Tabla1[N Doc], 0))),
IF(B206=9,
        INDEX(Tabla1[Cuenta contable], MATCH($A206, Tabla1[N Doc], 0))
)))))))))))</f>
        <v/>
      </c>
      <c r="F206" t="str">
        <f>IF(OR($A206="",$A206=0),"",IF(B206=1,
        INDEX(Tabla1[Importe total], MATCH($A206, Tabla1[N Doc], 0)),
IF(B206=2,
        INDEX(Tabla1[Base imponible 22], MATCH($A206, Tabla1[N Doc], 0)),
IF(B206=3,
        INDEX(Tabla1[Iva 22], MATCH($A206, Tabla1[N Doc], 0)),
IF(B206=4,
        INDEX(Tabla1[Base imponible 10], MATCH($A206, Tabla1[N Doc], 0)),
IF(B206=5,
        INDEX(Tabla1[Iva 10], MATCH($A206, Tabla1[N Doc], 0)),
IF(B206=6,
        INDEX(Tabla1[Exento], MATCH($A206, Tabla1[N Doc], 0)),
IF(B206=7,
        INDEX(#REF!, MATCH($A206, Tabla1[N Doc], 0)),
IF(B206=8,
        INDEX(#REF!, MATCH($A206, Tabla1[N Doc], 0)),
IF(B206=9,
        INDEX(Tabla1[Descuentos], MATCH($A206, Tabla1[N Doc], 0)),
""))))))))))</f>
        <v/>
      </c>
      <c r="G206" t="str">
        <f>IF(OR($A206="",$A206=0),"",IF(OR(B206=2,B206=4,B206=6,B206=7),
    INDEX(Tabla13[Ind impuestos], MATCH($A206, Tabla13[N Doc], 0)),
""))</f>
        <v/>
      </c>
      <c r="J206" t="str">
        <f>IF(OR($A206="",$A206=0),"",IF(OR(B206=2,B206=4,B206=6,B206=7),
    INDEX(Tabla1[CECO], MATCH($A206, Tabla1[N Doc], 0)),
""))</f>
        <v/>
      </c>
      <c r="M206" t="str">
        <f>IF(C206=31,INDEX(Tabla1[Descripción], MATCH($A206, Tabla1[N Doc], 0)),"")</f>
        <v/>
      </c>
    </row>
    <row r="207" spans="1:13" x14ac:dyDescent="0.3">
      <c r="A207" t="str" cm="1">
        <f t="array" ref="A207">INDEX(Tabla1[N Doc], ROUNDUP((ROW()-1)/9, 0))</f>
        <v/>
      </c>
      <c r="B207" t="str">
        <f>IF(OR(A207="",A207=0),"",CHOOSE(
    COUNTIF($A$2:A207,A207),
    1,2,3,4,5,6,7,8,9
))</f>
        <v/>
      </c>
      <c r="C207" t="str">
        <f t="shared" si="3"/>
        <v/>
      </c>
      <c r="D207" s="7" t="str" cm="1">
        <f t="array" ref="D207">IF(OR($A207="",$A207=0),"",
IF(AND(INDEX(Formulario!$H$14:$H$100, $A207)="Si", C207&lt;&gt;31),
        VLOOKUP("cta puente",'Descripciones de gastos'!G:H, 2, FALSE),
IF(B207=1,
        INDEX(Tabla13[Titular], MATCH($A207, Tabla1[N Doc], 0)),
IF(B207=2,
        INDEX(Tabla1[Cuenta contable], MATCH($A207, Tabla1[N Doc], 0)),
IF(B207=3,
        INDEX(Tabla13[Cta Iva 22], MATCH($A207, Tabla1[N Doc], 0)),
IF(B207=4,
        INDEX(Tabla1[Cuenta contable], MATCH($A207, Tabla1[N Doc], 0)),
IF(B207=5,
        INDEX(Tabla13[Cta Iva 10], MATCH($A207, Tabla1[N Doc], 0)),
IF(B207=6,
        INDEX(Tabla1[Cuenta contable], MATCH($A207, Tabla1[N Doc], 0)),
IF(B207=7,
        INDEX(Tabla1[Cuenta contable], MATCH($A207, Tabla1[N Doc], 0)),
IF(B207=8,
        IF(INDEX(Tabla1[Tipo IVA], MATCH($A207, Tabla1[N Doc], 0))="22%",
             INDEX(Tabla13[Cta Iva 22], MATCH($A207, Tabla1[N Doc], 0)),
             INDEX(Tabla13[Cta Iva 10], MATCH($A207, Tabla1[N Doc], 0))),
IF(B207=9,
        INDEX(Tabla1[Cuenta contable], MATCH($A207, Tabla1[N Doc], 0))
)))))))))))</f>
        <v/>
      </c>
      <c r="F207" t="str">
        <f>IF(OR($A207="",$A207=0),"",IF(B207=1,
        INDEX(Tabla1[Importe total], MATCH($A207, Tabla1[N Doc], 0)),
IF(B207=2,
        INDEX(Tabla1[Base imponible 22], MATCH($A207, Tabla1[N Doc], 0)),
IF(B207=3,
        INDEX(Tabla1[Iva 22], MATCH($A207, Tabla1[N Doc], 0)),
IF(B207=4,
        INDEX(Tabla1[Base imponible 10], MATCH($A207, Tabla1[N Doc], 0)),
IF(B207=5,
        INDEX(Tabla1[Iva 10], MATCH($A207, Tabla1[N Doc], 0)),
IF(B207=6,
        INDEX(Tabla1[Exento], MATCH($A207, Tabla1[N Doc], 0)),
IF(B207=7,
        INDEX(#REF!, MATCH($A207, Tabla1[N Doc], 0)),
IF(B207=8,
        INDEX(#REF!, MATCH($A207, Tabla1[N Doc], 0)),
IF(B207=9,
        INDEX(Tabla1[Descuentos], MATCH($A207, Tabla1[N Doc], 0)),
""))))))))))</f>
        <v/>
      </c>
      <c r="G207" t="str">
        <f>IF(OR($A207="",$A207=0),"",IF(OR(B207=2,B207=4,B207=6,B207=7),
    INDEX(Tabla13[Ind impuestos], MATCH($A207, Tabla13[N Doc], 0)),
""))</f>
        <v/>
      </c>
      <c r="J207" t="str">
        <f>IF(OR($A207="",$A207=0),"",IF(OR(B207=2,B207=4,B207=6,B207=7),
    INDEX(Tabla1[CECO], MATCH($A207, Tabla1[N Doc], 0)),
""))</f>
        <v/>
      </c>
      <c r="M207" t="str">
        <f>IF(C207=31,INDEX(Tabla1[Descripción], MATCH($A207, Tabla1[N Doc], 0)),"")</f>
        <v/>
      </c>
    </row>
    <row r="208" spans="1:13" x14ac:dyDescent="0.3">
      <c r="A208" t="str" cm="1">
        <f t="array" ref="A208">INDEX(Tabla1[N Doc], ROUNDUP((ROW()-1)/9, 0))</f>
        <v/>
      </c>
      <c r="B208" t="str">
        <f>IF(OR(A208="",A208=0),"",CHOOSE(
    COUNTIF($A$2:A208,A208),
    1,2,3,4,5,6,7,8,9
))</f>
        <v/>
      </c>
      <c r="C208" t="str">
        <f t="shared" si="3"/>
        <v/>
      </c>
      <c r="D208" s="7" t="str" cm="1">
        <f t="array" ref="D208">IF(OR($A208="",$A208=0),"",
IF(AND(INDEX(Formulario!$H$14:$H$100, $A208)="Si", C208&lt;&gt;31),
        VLOOKUP("cta puente",'Descripciones de gastos'!G:H, 2, FALSE),
IF(B208=1,
        INDEX(Tabla13[Titular], MATCH($A208, Tabla1[N Doc], 0)),
IF(B208=2,
        INDEX(Tabla1[Cuenta contable], MATCH($A208, Tabla1[N Doc], 0)),
IF(B208=3,
        INDEX(Tabla13[Cta Iva 22], MATCH($A208, Tabla1[N Doc], 0)),
IF(B208=4,
        INDEX(Tabla1[Cuenta contable], MATCH($A208, Tabla1[N Doc], 0)),
IF(B208=5,
        INDEX(Tabla13[Cta Iva 10], MATCH($A208, Tabla1[N Doc], 0)),
IF(B208=6,
        INDEX(Tabla1[Cuenta contable], MATCH($A208, Tabla1[N Doc], 0)),
IF(B208=7,
        INDEX(Tabla1[Cuenta contable], MATCH($A208, Tabla1[N Doc], 0)),
IF(B208=8,
        IF(INDEX(Tabla1[Tipo IVA], MATCH($A208, Tabla1[N Doc], 0))="22%",
             INDEX(Tabla13[Cta Iva 22], MATCH($A208, Tabla1[N Doc], 0)),
             INDEX(Tabla13[Cta Iva 10], MATCH($A208, Tabla1[N Doc], 0))),
IF(B208=9,
        INDEX(Tabla1[Cuenta contable], MATCH($A208, Tabla1[N Doc], 0))
)))))))))))</f>
        <v/>
      </c>
      <c r="F208" t="str">
        <f>IF(OR($A208="",$A208=0),"",IF(B208=1,
        INDEX(Tabla1[Importe total], MATCH($A208, Tabla1[N Doc], 0)),
IF(B208=2,
        INDEX(Tabla1[Base imponible 22], MATCH($A208, Tabla1[N Doc], 0)),
IF(B208=3,
        INDEX(Tabla1[Iva 22], MATCH($A208, Tabla1[N Doc], 0)),
IF(B208=4,
        INDEX(Tabla1[Base imponible 10], MATCH($A208, Tabla1[N Doc], 0)),
IF(B208=5,
        INDEX(Tabla1[Iva 10], MATCH($A208, Tabla1[N Doc], 0)),
IF(B208=6,
        INDEX(Tabla1[Exento], MATCH($A208, Tabla1[N Doc], 0)),
IF(B208=7,
        INDEX(#REF!, MATCH($A208, Tabla1[N Doc], 0)),
IF(B208=8,
        INDEX(#REF!, MATCH($A208, Tabla1[N Doc], 0)),
IF(B208=9,
        INDEX(Tabla1[Descuentos], MATCH($A208, Tabla1[N Doc], 0)),
""))))))))))</f>
        <v/>
      </c>
      <c r="G208" t="str">
        <f>IF(OR($A208="",$A208=0),"",IF(OR(B208=2,B208=4,B208=6,B208=7),
    INDEX(Tabla13[Ind impuestos], MATCH($A208, Tabla13[N Doc], 0)),
""))</f>
        <v/>
      </c>
      <c r="J208" t="str">
        <f>IF(OR($A208="",$A208=0),"",IF(OR(B208=2,B208=4,B208=6,B208=7),
    INDEX(Tabla1[CECO], MATCH($A208, Tabla1[N Doc], 0)),
""))</f>
        <v/>
      </c>
      <c r="M208" t="str">
        <f>IF(C208=31,INDEX(Tabla1[Descripción], MATCH($A208, Tabla1[N Doc], 0)),"")</f>
        <v/>
      </c>
    </row>
    <row r="209" spans="1:13" x14ac:dyDescent="0.3">
      <c r="A209" t="str" cm="1">
        <f t="array" ref="A209">INDEX(Tabla1[N Doc], ROUNDUP((ROW()-1)/9, 0))</f>
        <v/>
      </c>
      <c r="B209" t="str">
        <f>IF(OR(A209="",A209=0),"",CHOOSE(
    COUNTIF($A$2:A209,A209),
    1,2,3,4,5,6,7,8,9
))</f>
        <v/>
      </c>
      <c r="C209" t="str">
        <f t="shared" si="3"/>
        <v/>
      </c>
      <c r="D209" s="7" t="str" cm="1">
        <f t="array" ref="D209">IF(OR($A209="",$A209=0),"",
IF(AND(INDEX(Formulario!$H$14:$H$100, $A209)="Si", C209&lt;&gt;31),
        VLOOKUP("cta puente",'Descripciones de gastos'!G:H, 2, FALSE),
IF(B209=1,
        INDEX(Tabla13[Titular], MATCH($A209, Tabla1[N Doc], 0)),
IF(B209=2,
        INDEX(Tabla1[Cuenta contable], MATCH($A209, Tabla1[N Doc], 0)),
IF(B209=3,
        INDEX(Tabla13[Cta Iva 22], MATCH($A209, Tabla1[N Doc], 0)),
IF(B209=4,
        INDEX(Tabla1[Cuenta contable], MATCH($A209, Tabla1[N Doc], 0)),
IF(B209=5,
        INDEX(Tabla13[Cta Iva 10], MATCH($A209, Tabla1[N Doc], 0)),
IF(B209=6,
        INDEX(Tabla1[Cuenta contable], MATCH($A209, Tabla1[N Doc], 0)),
IF(B209=7,
        INDEX(Tabla1[Cuenta contable], MATCH($A209, Tabla1[N Doc], 0)),
IF(B209=8,
        IF(INDEX(Tabla1[Tipo IVA], MATCH($A209, Tabla1[N Doc], 0))="22%",
             INDEX(Tabla13[Cta Iva 22], MATCH($A209, Tabla1[N Doc], 0)),
             INDEX(Tabla13[Cta Iva 10], MATCH($A209, Tabla1[N Doc], 0))),
IF(B209=9,
        INDEX(Tabla1[Cuenta contable], MATCH($A209, Tabla1[N Doc], 0))
)))))))))))</f>
        <v/>
      </c>
      <c r="F209" t="str">
        <f>IF(OR($A209="",$A209=0),"",IF(B209=1,
        INDEX(Tabla1[Importe total], MATCH($A209, Tabla1[N Doc], 0)),
IF(B209=2,
        INDEX(Tabla1[Base imponible 22], MATCH($A209, Tabla1[N Doc], 0)),
IF(B209=3,
        INDEX(Tabla1[Iva 22], MATCH($A209, Tabla1[N Doc], 0)),
IF(B209=4,
        INDEX(Tabla1[Base imponible 10], MATCH($A209, Tabla1[N Doc], 0)),
IF(B209=5,
        INDEX(Tabla1[Iva 10], MATCH($A209, Tabla1[N Doc], 0)),
IF(B209=6,
        INDEX(Tabla1[Exento], MATCH($A209, Tabla1[N Doc], 0)),
IF(B209=7,
        INDEX(#REF!, MATCH($A209, Tabla1[N Doc], 0)),
IF(B209=8,
        INDEX(#REF!, MATCH($A209, Tabla1[N Doc], 0)),
IF(B209=9,
        INDEX(Tabla1[Descuentos], MATCH($A209, Tabla1[N Doc], 0)),
""))))))))))</f>
        <v/>
      </c>
      <c r="G209" t="str">
        <f>IF(OR($A209="",$A209=0),"",IF(OR(B209=2,B209=4,B209=6,B209=7),
    INDEX(Tabla13[Ind impuestos], MATCH($A209, Tabla13[N Doc], 0)),
""))</f>
        <v/>
      </c>
      <c r="J209" t="str">
        <f>IF(OR($A209="",$A209=0),"",IF(OR(B209=2,B209=4,B209=6,B209=7),
    INDEX(Tabla1[CECO], MATCH($A209, Tabla1[N Doc], 0)),
""))</f>
        <v/>
      </c>
      <c r="M209" t="str">
        <f>IF(C209=31,INDEX(Tabla1[Descripción], MATCH($A209, Tabla1[N Doc], 0)),"")</f>
        <v/>
      </c>
    </row>
    <row r="210" spans="1:13" x14ac:dyDescent="0.3">
      <c r="A210" t="str" cm="1">
        <f t="array" ref="A210">INDEX(Tabla1[N Doc], ROUNDUP((ROW()-1)/9, 0))</f>
        <v/>
      </c>
      <c r="B210" t="str">
        <f>IF(OR(A210="",A210=0),"",CHOOSE(
    COUNTIF($A$2:A210,A210),
    1,2,3,4,5,6,7,8,9
))</f>
        <v/>
      </c>
      <c r="C210" t="str">
        <f t="shared" si="3"/>
        <v/>
      </c>
      <c r="D210" s="7" t="str" cm="1">
        <f t="array" ref="D210">IF(OR($A210="",$A210=0),"",
IF(AND(INDEX(Formulario!$H$14:$H$100, $A210)="Si", C210&lt;&gt;31),
        VLOOKUP("cta puente",'Descripciones de gastos'!G:H, 2, FALSE),
IF(B210=1,
        INDEX(Tabla13[Titular], MATCH($A210, Tabla1[N Doc], 0)),
IF(B210=2,
        INDEX(Tabla1[Cuenta contable], MATCH($A210, Tabla1[N Doc], 0)),
IF(B210=3,
        INDEX(Tabla13[Cta Iva 22], MATCH($A210, Tabla1[N Doc], 0)),
IF(B210=4,
        INDEX(Tabla1[Cuenta contable], MATCH($A210, Tabla1[N Doc], 0)),
IF(B210=5,
        INDEX(Tabla13[Cta Iva 10], MATCH($A210, Tabla1[N Doc], 0)),
IF(B210=6,
        INDEX(Tabla1[Cuenta contable], MATCH($A210, Tabla1[N Doc], 0)),
IF(B210=7,
        INDEX(Tabla1[Cuenta contable], MATCH($A210, Tabla1[N Doc], 0)),
IF(B210=8,
        IF(INDEX(Tabla1[Tipo IVA], MATCH($A210, Tabla1[N Doc], 0))="22%",
             INDEX(Tabla13[Cta Iva 22], MATCH($A210, Tabla1[N Doc], 0)),
             INDEX(Tabla13[Cta Iva 10], MATCH($A210, Tabla1[N Doc], 0))),
IF(B210=9,
        INDEX(Tabla1[Cuenta contable], MATCH($A210, Tabla1[N Doc], 0))
)))))))))))</f>
        <v/>
      </c>
      <c r="F210" t="str">
        <f>IF(OR($A210="",$A210=0),"",IF(B210=1,
        INDEX(Tabla1[Importe total], MATCH($A210, Tabla1[N Doc], 0)),
IF(B210=2,
        INDEX(Tabla1[Base imponible 22], MATCH($A210, Tabla1[N Doc], 0)),
IF(B210=3,
        INDEX(Tabla1[Iva 22], MATCH($A210, Tabla1[N Doc], 0)),
IF(B210=4,
        INDEX(Tabla1[Base imponible 10], MATCH($A210, Tabla1[N Doc], 0)),
IF(B210=5,
        INDEX(Tabla1[Iva 10], MATCH($A210, Tabla1[N Doc], 0)),
IF(B210=6,
        INDEX(Tabla1[Exento], MATCH($A210, Tabla1[N Doc], 0)),
IF(B210=7,
        INDEX(#REF!, MATCH($A210, Tabla1[N Doc], 0)),
IF(B210=8,
        INDEX(#REF!, MATCH($A210, Tabla1[N Doc], 0)),
IF(B210=9,
        INDEX(Tabla1[Descuentos], MATCH($A210, Tabla1[N Doc], 0)),
""))))))))))</f>
        <v/>
      </c>
      <c r="G210" t="str">
        <f>IF(OR($A210="",$A210=0),"",IF(OR(B210=2,B210=4,B210=6,B210=7),
    INDEX(Tabla13[Ind impuestos], MATCH($A210, Tabla13[N Doc], 0)),
""))</f>
        <v/>
      </c>
      <c r="J210" t="str">
        <f>IF(OR($A210="",$A210=0),"",IF(OR(B210=2,B210=4,B210=6,B210=7),
    INDEX(Tabla1[CECO], MATCH($A210, Tabla1[N Doc], 0)),
""))</f>
        <v/>
      </c>
      <c r="M210" t="str">
        <f>IF(C210=31,INDEX(Tabla1[Descripción], MATCH($A210, Tabla1[N Doc], 0)),"")</f>
        <v/>
      </c>
    </row>
    <row r="211" spans="1:13" x14ac:dyDescent="0.3">
      <c r="A211" t="str" cm="1">
        <f t="array" ref="A211">INDEX(Tabla1[N Doc], ROUNDUP((ROW()-1)/9, 0))</f>
        <v/>
      </c>
      <c r="B211" t="str">
        <f>IF(OR(A211="",A211=0),"",CHOOSE(
    COUNTIF($A$2:A211,A211),
    1,2,3,4,5,6,7,8,9
))</f>
        <v/>
      </c>
      <c r="C211" t="str">
        <f t="shared" si="3"/>
        <v/>
      </c>
      <c r="D211" s="7" t="str" cm="1">
        <f t="array" ref="D211">IF(OR($A211="",$A211=0),"",
IF(AND(INDEX(Formulario!$H$14:$H$100, $A211)="Si", C211&lt;&gt;31),
        VLOOKUP("cta puente",'Descripciones de gastos'!G:H, 2, FALSE),
IF(B211=1,
        INDEX(Tabla13[Titular], MATCH($A211, Tabla1[N Doc], 0)),
IF(B211=2,
        INDEX(Tabla1[Cuenta contable], MATCH($A211, Tabla1[N Doc], 0)),
IF(B211=3,
        INDEX(Tabla13[Cta Iva 22], MATCH($A211, Tabla1[N Doc], 0)),
IF(B211=4,
        INDEX(Tabla1[Cuenta contable], MATCH($A211, Tabla1[N Doc], 0)),
IF(B211=5,
        INDEX(Tabla13[Cta Iva 10], MATCH($A211, Tabla1[N Doc], 0)),
IF(B211=6,
        INDEX(Tabla1[Cuenta contable], MATCH($A211, Tabla1[N Doc], 0)),
IF(B211=7,
        INDEX(Tabla1[Cuenta contable], MATCH($A211, Tabla1[N Doc], 0)),
IF(B211=8,
        IF(INDEX(Tabla1[Tipo IVA], MATCH($A211, Tabla1[N Doc], 0))="22%",
             INDEX(Tabla13[Cta Iva 22], MATCH($A211, Tabla1[N Doc], 0)),
             INDEX(Tabla13[Cta Iva 10], MATCH($A211, Tabla1[N Doc], 0))),
IF(B211=9,
        INDEX(Tabla1[Cuenta contable], MATCH($A211, Tabla1[N Doc], 0))
)))))))))))</f>
        <v/>
      </c>
      <c r="F211" t="str">
        <f>IF(OR($A211="",$A211=0),"",IF(B211=1,
        INDEX(Tabla1[Importe total], MATCH($A211, Tabla1[N Doc], 0)),
IF(B211=2,
        INDEX(Tabla1[Base imponible 22], MATCH($A211, Tabla1[N Doc], 0)),
IF(B211=3,
        INDEX(Tabla1[Iva 22], MATCH($A211, Tabla1[N Doc], 0)),
IF(B211=4,
        INDEX(Tabla1[Base imponible 10], MATCH($A211, Tabla1[N Doc], 0)),
IF(B211=5,
        INDEX(Tabla1[Iva 10], MATCH($A211, Tabla1[N Doc], 0)),
IF(B211=6,
        INDEX(Tabla1[Exento], MATCH($A211, Tabla1[N Doc], 0)),
IF(B211=7,
        INDEX(#REF!, MATCH($A211, Tabla1[N Doc], 0)),
IF(B211=8,
        INDEX(#REF!, MATCH($A211, Tabla1[N Doc], 0)),
IF(B211=9,
        INDEX(Tabla1[Descuentos], MATCH($A211, Tabla1[N Doc], 0)),
""))))))))))</f>
        <v/>
      </c>
      <c r="G211" t="str">
        <f>IF(OR($A211="",$A211=0),"",IF(OR(B211=2,B211=4,B211=6,B211=7),
    INDEX(Tabla13[Ind impuestos], MATCH($A211, Tabla13[N Doc], 0)),
""))</f>
        <v/>
      </c>
      <c r="J211" t="str">
        <f>IF(OR($A211="",$A211=0),"",IF(OR(B211=2,B211=4,B211=6,B211=7),
    INDEX(Tabla1[CECO], MATCH($A211, Tabla1[N Doc], 0)),
""))</f>
        <v/>
      </c>
      <c r="M211" t="str">
        <f>IF(C211=31,INDEX(Tabla1[Descripción], MATCH($A211, Tabla1[N Doc], 0)),"")</f>
        <v/>
      </c>
    </row>
    <row r="212" spans="1:13" x14ac:dyDescent="0.3">
      <c r="A212" t="str" cm="1">
        <f t="array" ref="A212">INDEX(Tabla1[N Doc], ROUNDUP((ROW()-1)/9, 0))</f>
        <v/>
      </c>
      <c r="B212" t="str">
        <f>IF(OR(A212="",A212=0),"",CHOOSE(
    COUNTIF($A$2:A212,A212),
    1,2,3,4,5,6,7,8,9
))</f>
        <v/>
      </c>
      <c r="C212" t="str">
        <f t="shared" si="3"/>
        <v/>
      </c>
      <c r="D212" s="7" t="str" cm="1">
        <f t="array" ref="D212">IF(OR($A212="",$A212=0),"",
IF(AND(INDEX(Formulario!$H$14:$H$100, $A212)="Si", C212&lt;&gt;31),
        VLOOKUP("cta puente",'Descripciones de gastos'!G:H, 2, FALSE),
IF(B212=1,
        INDEX(Tabla13[Titular], MATCH($A212, Tabla1[N Doc], 0)),
IF(B212=2,
        INDEX(Tabla1[Cuenta contable], MATCH($A212, Tabla1[N Doc], 0)),
IF(B212=3,
        INDEX(Tabla13[Cta Iva 22], MATCH($A212, Tabla1[N Doc], 0)),
IF(B212=4,
        INDEX(Tabla1[Cuenta contable], MATCH($A212, Tabla1[N Doc], 0)),
IF(B212=5,
        INDEX(Tabla13[Cta Iva 10], MATCH($A212, Tabla1[N Doc], 0)),
IF(B212=6,
        INDEX(Tabla1[Cuenta contable], MATCH($A212, Tabla1[N Doc], 0)),
IF(B212=7,
        INDEX(Tabla1[Cuenta contable], MATCH($A212, Tabla1[N Doc], 0)),
IF(B212=8,
        IF(INDEX(Tabla1[Tipo IVA], MATCH($A212, Tabla1[N Doc], 0))="22%",
             INDEX(Tabla13[Cta Iva 22], MATCH($A212, Tabla1[N Doc], 0)),
             INDEX(Tabla13[Cta Iva 10], MATCH($A212, Tabla1[N Doc], 0))),
IF(B212=9,
        INDEX(Tabla1[Cuenta contable], MATCH($A212, Tabla1[N Doc], 0))
)))))))))))</f>
        <v/>
      </c>
      <c r="F212" t="str">
        <f>IF(OR($A212="",$A212=0),"",IF(B212=1,
        INDEX(Tabla1[Importe total], MATCH($A212, Tabla1[N Doc], 0)),
IF(B212=2,
        INDEX(Tabla1[Base imponible 22], MATCH($A212, Tabla1[N Doc], 0)),
IF(B212=3,
        INDEX(Tabla1[Iva 22], MATCH($A212, Tabla1[N Doc], 0)),
IF(B212=4,
        INDEX(Tabla1[Base imponible 10], MATCH($A212, Tabla1[N Doc], 0)),
IF(B212=5,
        INDEX(Tabla1[Iva 10], MATCH($A212, Tabla1[N Doc], 0)),
IF(B212=6,
        INDEX(Tabla1[Exento], MATCH($A212, Tabla1[N Doc], 0)),
IF(B212=7,
        INDEX(#REF!, MATCH($A212, Tabla1[N Doc], 0)),
IF(B212=8,
        INDEX(#REF!, MATCH($A212, Tabla1[N Doc], 0)),
IF(B212=9,
        INDEX(Tabla1[Descuentos], MATCH($A212, Tabla1[N Doc], 0)),
""))))))))))</f>
        <v/>
      </c>
      <c r="G212" t="str">
        <f>IF(OR($A212="",$A212=0),"",IF(OR(B212=2,B212=4,B212=6,B212=7),
    INDEX(Tabla13[Ind impuestos], MATCH($A212, Tabla13[N Doc], 0)),
""))</f>
        <v/>
      </c>
      <c r="J212" t="str">
        <f>IF(OR($A212="",$A212=0),"",IF(OR(B212=2,B212=4,B212=6,B212=7),
    INDEX(Tabla1[CECO], MATCH($A212, Tabla1[N Doc], 0)),
""))</f>
        <v/>
      </c>
      <c r="M212" t="str">
        <f>IF(C212=31,INDEX(Tabla1[Descripción], MATCH($A212, Tabla1[N Doc], 0)),"")</f>
        <v/>
      </c>
    </row>
    <row r="213" spans="1:13" x14ac:dyDescent="0.3">
      <c r="A213" t="str" cm="1">
        <f t="array" ref="A213">INDEX(Tabla1[N Doc], ROUNDUP((ROW()-1)/9, 0))</f>
        <v/>
      </c>
      <c r="B213" t="str">
        <f>IF(OR(A213="",A213=0),"",CHOOSE(
    COUNTIF($A$2:A213,A213),
    1,2,3,4,5,6,7,8,9
))</f>
        <v/>
      </c>
      <c r="C213" t="str">
        <f t="shared" si="3"/>
        <v/>
      </c>
      <c r="D213" s="7" t="str" cm="1">
        <f t="array" ref="D213">IF(OR($A213="",$A213=0),"",
IF(AND(INDEX(Formulario!$H$14:$H$100, $A213)="Si", C213&lt;&gt;31),
        VLOOKUP("cta puente",'Descripciones de gastos'!G:H, 2, FALSE),
IF(B213=1,
        INDEX(Tabla13[Titular], MATCH($A213, Tabla1[N Doc], 0)),
IF(B213=2,
        INDEX(Tabla1[Cuenta contable], MATCH($A213, Tabla1[N Doc], 0)),
IF(B213=3,
        INDEX(Tabla13[Cta Iva 22], MATCH($A213, Tabla1[N Doc], 0)),
IF(B213=4,
        INDEX(Tabla1[Cuenta contable], MATCH($A213, Tabla1[N Doc], 0)),
IF(B213=5,
        INDEX(Tabla13[Cta Iva 10], MATCH($A213, Tabla1[N Doc], 0)),
IF(B213=6,
        INDEX(Tabla1[Cuenta contable], MATCH($A213, Tabla1[N Doc], 0)),
IF(B213=7,
        INDEX(Tabla1[Cuenta contable], MATCH($A213, Tabla1[N Doc], 0)),
IF(B213=8,
        IF(INDEX(Tabla1[Tipo IVA], MATCH($A213, Tabla1[N Doc], 0))="22%",
             INDEX(Tabla13[Cta Iva 22], MATCH($A213, Tabla1[N Doc], 0)),
             INDEX(Tabla13[Cta Iva 10], MATCH($A213, Tabla1[N Doc], 0))),
IF(B213=9,
        INDEX(Tabla1[Cuenta contable], MATCH($A213, Tabla1[N Doc], 0))
)))))))))))</f>
        <v/>
      </c>
      <c r="F213" t="str">
        <f>IF(OR($A213="",$A213=0),"",IF(B213=1,
        INDEX(Tabla1[Importe total], MATCH($A213, Tabla1[N Doc], 0)),
IF(B213=2,
        INDEX(Tabla1[Base imponible 22], MATCH($A213, Tabla1[N Doc], 0)),
IF(B213=3,
        INDEX(Tabla1[Iva 22], MATCH($A213, Tabla1[N Doc], 0)),
IF(B213=4,
        INDEX(Tabla1[Base imponible 10], MATCH($A213, Tabla1[N Doc], 0)),
IF(B213=5,
        INDEX(Tabla1[Iva 10], MATCH($A213, Tabla1[N Doc], 0)),
IF(B213=6,
        INDEX(Tabla1[Exento], MATCH($A213, Tabla1[N Doc], 0)),
IF(B213=7,
        INDEX(#REF!, MATCH($A213, Tabla1[N Doc], 0)),
IF(B213=8,
        INDEX(#REF!, MATCH($A213, Tabla1[N Doc], 0)),
IF(B213=9,
        INDEX(Tabla1[Descuentos], MATCH($A213, Tabla1[N Doc], 0)),
""))))))))))</f>
        <v/>
      </c>
      <c r="G213" t="str">
        <f>IF(OR($A213="",$A213=0),"",IF(OR(B213=2,B213=4,B213=6,B213=7),
    INDEX(Tabla13[Ind impuestos], MATCH($A213, Tabla13[N Doc], 0)),
""))</f>
        <v/>
      </c>
      <c r="J213" t="str">
        <f>IF(OR($A213="",$A213=0),"",IF(OR(B213=2,B213=4,B213=6,B213=7),
    INDEX(Tabla1[CECO], MATCH($A213, Tabla1[N Doc], 0)),
""))</f>
        <v/>
      </c>
      <c r="M213" t="str">
        <f>IF(C213=31,INDEX(Tabla1[Descripción], MATCH($A213, Tabla1[N Doc], 0)),"")</f>
        <v/>
      </c>
    </row>
    <row r="214" spans="1:13" x14ac:dyDescent="0.3">
      <c r="A214" t="str" cm="1">
        <f t="array" ref="A214">INDEX(Tabla1[N Doc], ROUNDUP((ROW()-1)/9, 0))</f>
        <v/>
      </c>
      <c r="B214" t="str">
        <f>IF(OR(A214="",A214=0),"",CHOOSE(
    COUNTIF($A$2:A214,A214),
    1,2,3,4,5,6,7,8,9
))</f>
        <v/>
      </c>
      <c r="C214" t="str">
        <f t="shared" si="3"/>
        <v/>
      </c>
      <c r="D214" s="7" t="str" cm="1">
        <f t="array" ref="D214">IF(OR($A214="",$A214=0),"",
IF(AND(INDEX(Formulario!$H$14:$H$100, $A214)="Si", C214&lt;&gt;31),
        VLOOKUP("cta puente",'Descripciones de gastos'!G:H, 2, FALSE),
IF(B214=1,
        INDEX(Tabla13[Titular], MATCH($A214, Tabla1[N Doc], 0)),
IF(B214=2,
        INDEX(Tabla1[Cuenta contable], MATCH($A214, Tabla1[N Doc], 0)),
IF(B214=3,
        INDEX(Tabla13[Cta Iva 22], MATCH($A214, Tabla1[N Doc], 0)),
IF(B214=4,
        INDEX(Tabla1[Cuenta contable], MATCH($A214, Tabla1[N Doc], 0)),
IF(B214=5,
        INDEX(Tabla13[Cta Iva 10], MATCH($A214, Tabla1[N Doc], 0)),
IF(B214=6,
        INDEX(Tabla1[Cuenta contable], MATCH($A214, Tabla1[N Doc], 0)),
IF(B214=7,
        INDEX(Tabla1[Cuenta contable], MATCH($A214, Tabla1[N Doc], 0)),
IF(B214=8,
        IF(INDEX(Tabla1[Tipo IVA], MATCH($A214, Tabla1[N Doc], 0))="22%",
             INDEX(Tabla13[Cta Iva 22], MATCH($A214, Tabla1[N Doc], 0)),
             INDEX(Tabla13[Cta Iva 10], MATCH($A214, Tabla1[N Doc], 0))),
IF(B214=9,
        INDEX(Tabla1[Cuenta contable], MATCH($A214, Tabla1[N Doc], 0))
)))))))))))</f>
        <v/>
      </c>
      <c r="F214" t="str">
        <f>IF(OR($A214="",$A214=0),"",IF(B214=1,
        INDEX(Tabla1[Importe total], MATCH($A214, Tabla1[N Doc], 0)),
IF(B214=2,
        INDEX(Tabla1[Base imponible 22], MATCH($A214, Tabla1[N Doc], 0)),
IF(B214=3,
        INDEX(Tabla1[Iva 22], MATCH($A214, Tabla1[N Doc], 0)),
IF(B214=4,
        INDEX(Tabla1[Base imponible 10], MATCH($A214, Tabla1[N Doc], 0)),
IF(B214=5,
        INDEX(Tabla1[Iva 10], MATCH($A214, Tabla1[N Doc], 0)),
IF(B214=6,
        INDEX(Tabla1[Exento], MATCH($A214, Tabla1[N Doc], 0)),
IF(B214=7,
        INDEX(#REF!, MATCH($A214, Tabla1[N Doc], 0)),
IF(B214=8,
        INDEX(#REF!, MATCH($A214, Tabla1[N Doc], 0)),
IF(B214=9,
        INDEX(Tabla1[Descuentos], MATCH($A214, Tabla1[N Doc], 0)),
""))))))))))</f>
        <v/>
      </c>
      <c r="G214" t="str">
        <f>IF(OR($A214="",$A214=0),"",IF(OR(B214=2,B214=4,B214=6,B214=7),
    INDEX(Tabla13[Ind impuestos], MATCH($A214, Tabla13[N Doc], 0)),
""))</f>
        <v/>
      </c>
      <c r="J214" t="str">
        <f>IF(OR($A214="",$A214=0),"",IF(OR(B214=2,B214=4,B214=6,B214=7),
    INDEX(Tabla1[CECO], MATCH($A214, Tabla1[N Doc], 0)),
""))</f>
        <v/>
      </c>
      <c r="M214" t="str">
        <f>IF(C214=31,INDEX(Tabla1[Descripción], MATCH($A214, Tabla1[N Doc], 0)),"")</f>
        <v/>
      </c>
    </row>
    <row r="215" spans="1:13" x14ac:dyDescent="0.3">
      <c r="A215" t="str" cm="1">
        <f t="array" ref="A215">INDEX(Tabla1[N Doc], ROUNDUP((ROW()-1)/9, 0))</f>
        <v/>
      </c>
      <c r="B215" t="str">
        <f>IF(OR(A215="",A215=0),"",CHOOSE(
    COUNTIF($A$2:A215,A215),
    1,2,3,4,5,6,7,8,9
))</f>
        <v/>
      </c>
      <c r="C215" t="str">
        <f t="shared" si="3"/>
        <v/>
      </c>
      <c r="D215" s="7" t="str" cm="1">
        <f t="array" ref="D215">IF(OR($A215="",$A215=0),"",
IF(AND(INDEX(Formulario!$H$14:$H$100, $A215)="Si", C215&lt;&gt;31),
        VLOOKUP("cta puente",'Descripciones de gastos'!G:H, 2, FALSE),
IF(B215=1,
        INDEX(Tabla13[Titular], MATCH($A215, Tabla1[N Doc], 0)),
IF(B215=2,
        INDEX(Tabla1[Cuenta contable], MATCH($A215, Tabla1[N Doc], 0)),
IF(B215=3,
        INDEX(Tabla13[Cta Iva 22], MATCH($A215, Tabla1[N Doc], 0)),
IF(B215=4,
        INDEX(Tabla1[Cuenta contable], MATCH($A215, Tabla1[N Doc], 0)),
IF(B215=5,
        INDEX(Tabla13[Cta Iva 10], MATCH($A215, Tabla1[N Doc], 0)),
IF(B215=6,
        INDEX(Tabla1[Cuenta contable], MATCH($A215, Tabla1[N Doc], 0)),
IF(B215=7,
        INDEX(Tabla1[Cuenta contable], MATCH($A215, Tabla1[N Doc], 0)),
IF(B215=8,
        IF(INDEX(Tabla1[Tipo IVA], MATCH($A215, Tabla1[N Doc], 0))="22%",
             INDEX(Tabla13[Cta Iva 22], MATCH($A215, Tabla1[N Doc], 0)),
             INDEX(Tabla13[Cta Iva 10], MATCH($A215, Tabla1[N Doc], 0))),
IF(B215=9,
        INDEX(Tabla1[Cuenta contable], MATCH($A215, Tabla1[N Doc], 0))
)))))))))))</f>
        <v/>
      </c>
      <c r="F215" t="str">
        <f>IF(OR($A215="",$A215=0),"",IF(B215=1,
        INDEX(Tabla1[Importe total], MATCH($A215, Tabla1[N Doc], 0)),
IF(B215=2,
        INDEX(Tabla1[Base imponible 22], MATCH($A215, Tabla1[N Doc], 0)),
IF(B215=3,
        INDEX(Tabla1[Iva 22], MATCH($A215, Tabla1[N Doc], 0)),
IF(B215=4,
        INDEX(Tabla1[Base imponible 10], MATCH($A215, Tabla1[N Doc], 0)),
IF(B215=5,
        INDEX(Tabla1[Iva 10], MATCH($A215, Tabla1[N Doc], 0)),
IF(B215=6,
        INDEX(Tabla1[Exento], MATCH($A215, Tabla1[N Doc], 0)),
IF(B215=7,
        INDEX(#REF!, MATCH($A215, Tabla1[N Doc], 0)),
IF(B215=8,
        INDEX(#REF!, MATCH($A215, Tabla1[N Doc], 0)),
IF(B215=9,
        INDEX(Tabla1[Descuentos], MATCH($A215, Tabla1[N Doc], 0)),
""))))))))))</f>
        <v/>
      </c>
      <c r="G215" t="str">
        <f>IF(OR($A215="",$A215=0),"",IF(OR(B215=2,B215=4,B215=6,B215=7),
    INDEX(Tabla13[Ind impuestos], MATCH($A215, Tabla13[N Doc], 0)),
""))</f>
        <v/>
      </c>
      <c r="J215" t="str">
        <f>IF(OR($A215="",$A215=0),"",IF(OR(B215=2,B215=4,B215=6,B215=7),
    INDEX(Tabla1[CECO], MATCH($A215, Tabla1[N Doc], 0)),
""))</f>
        <v/>
      </c>
      <c r="M215" t="str">
        <f>IF(C215=31,INDEX(Tabla1[Descripción], MATCH($A215, Tabla1[N Doc], 0)),"")</f>
        <v/>
      </c>
    </row>
    <row r="216" spans="1:13" x14ac:dyDescent="0.3">
      <c r="A216" t="str" cm="1">
        <f t="array" ref="A216">INDEX(Tabla1[N Doc], ROUNDUP((ROW()-1)/9, 0))</f>
        <v/>
      </c>
      <c r="B216" t="str">
        <f>IF(OR(A216="",A216=0),"",CHOOSE(
    COUNTIF($A$2:A216,A216),
    1,2,3,4,5,6,7,8,9
))</f>
        <v/>
      </c>
      <c r="C216" t="str">
        <f t="shared" si="3"/>
        <v/>
      </c>
      <c r="D216" s="7" t="str" cm="1">
        <f t="array" ref="D216">IF(OR($A216="",$A216=0),"",
IF(AND(INDEX(Formulario!$H$14:$H$100, $A216)="Si", C216&lt;&gt;31),
        VLOOKUP("cta puente",'Descripciones de gastos'!G:H, 2, FALSE),
IF(B216=1,
        INDEX(Tabla13[Titular], MATCH($A216, Tabla1[N Doc], 0)),
IF(B216=2,
        INDEX(Tabla1[Cuenta contable], MATCH($A216, Tabla1[N Doc], 0)),
IF(B216=3,
        INDEX(Tabla13[Cta Iva 22], MATCH($A216, Tabla1[N Doc], 0)),
IF(B216=4,
        INDEX(Tabla1[Cuenta contable], MATCH($A216, Tabla1[N Doc], 0)),
IF(B216=5,
        INDEX(Tabla13[Cta Iva 10], MATCH($A216, Tabla1[N Doc], 0)),
IF(B216=6,
        INDEX(Tabla1[Cuenta contable], MATCH($A216, Tabla1[N Doc], 0)),
IF(B216=7,
        INDEX(Tabla1[Cuenta contable], MATCH($A216, Tabla1[N Doc], 0)),
IF(B216=8,
        IF(INDEX(Tabla1[Tipo IVA], MATCH($A216, Tabla1[N Doc], 0))="22%",
             INDEX(Tabla13[Cta Iva 22], MATCH($A216, Tabla1[N Doc], 0)),
             INDEX(Tabla13[Cta Iva 10], MATCH($A216, Tabla1[N Doc], 0))),
IF(B216=9,
        INDEX(Tabla1[Cuenta contable], MATCH($A216, Tabla1[N Doc], 0))
)))))))))))</f>
        <v/>
      </c>
      <c r="F216" t="str">
        <f>IF(OR($A216="",$A216=0),"",IF(B216=1,
        INDEX(Tabla1[Importe total], MATCH($A216, Tabla1[N Doc], 0)),
IF(B216=2,
        INDEX(Tabla1[Base imponible 22], MATCH($A216, Tabla1[N Doc], 0)),
IF(B216=3,
        INDEX(Tabla1[Iva 22], MATCH($A216, Tabla1[N Doc], 0)),
IF(B216=4,
        INDEX(Tabla1[Base imponible 10], MATCH($A216, Tabla1[N Doc], 0)),
IF(B216=5,
        INDEX(Tabla1[Iva 10], MATCH($A216, Tabla1[N Doc], 0)),
IF(B216=6,
        INDEX(Tabla1[Exento], MATCH($A216, Tabla1[N Doc], 0)),
IF(B216=7,
        INDEX(#REF!, MATCH($A216, Tabla1[N Doc], 0)),
IF(B216=8,
        INDEX(#REF!, MATCH($A216, Tabla1[N Doc], 0)),
IF(B216=9,
        INDEX(Tabla1[Descuentos], MATCH($A216, Tabla1[N Doc], 0)),
""))))))))))</f>
        <v/>
      </c>
      <c r="G216" t="str">
        <f>IF(OR($A216="",$A216=0),"",IF(OR(B216=2,B216=4,B216=6,B216=7),
    INDEX(Tabla13[Ind impuestos], MATCH($A216, Tabla13[N Doc], 0)),
""))</f>
        <v/>
      </c>
      <c r="J216" t="str">
        <f>IF(OR($A216="",$A216=0),"",IF(OR(B216=2,B216=4,B216=6,B216=7),
    INDEX(Tabla1[CECO], MATCH($A216, Tabla1[N Doc], 0)),
""))</f>
        <v/>
      </c>
      <c r="M216" t="str">
        <f>IF(C216=31,INDEX(Tabla1[Descripción], MATCH($A216, Tabla1[N Doc], 0)),"")</f>
        <v/>
      </c>
    </row>
    <row r="217" spans="1:13" x14ac:dyDescent="0.3">
      <c r="A217" t="str" cm="1">
        <f t="array" ref="A217">INDEX(Tabla1[N Doc], ROUNDUP((ROW()-1)/9, 0))</f>
        <v/>
      </c>
      <c r="B217" t="str">
        <f>IF(OR(A217="",A217=0),"",CHOOSE(
    COUNTIF($A$2:A217,A217),
    1,2,3,4,5,6,7,8,9
))</f>
        <v/>
      </c>
      <c r="C217" t="str">
        <f t="shared" si="3"/>
        <v/>
      </c>
      <c r="D217" s="7" t="str" cm="1">
        <f t="array" ref="D217">IF(OR($A217="",$A217=0),"",
IF(AND(INDEX(Formulario!$H$14:$H$100, $A217)="Si", C217&lt;&gt;31),
        VLOOKUP("cta puente",'Descripciones de gastos'!G:H, 2, FALSE),
IF(B217=1,
        INDEX(Tabla13[Titular], MATCH($A217, Tabla1[N Doc], 0)),
IF(B217=2,
        INDEX(Tabla1[Cuenta contable], MATCH($A217, Tabla1[N Doc], 0)),
IF(B217=3,
        INDEX(Tabla13[Cta Iva 22], MATCH($A217, Tabla1[N Doc], 0)),
IF(B217=4,
        INDEX(Tabla1[Cuenta contable], MATCH($A217, Tabla1[N Doc], 0)),
IF(B217=5,
        INDEX(Tabla13[Cta Iva 10], MATCH($A217, Tabla1[N Doc], 0)),
IF(B217=6,
        INDEX(Tabla1[Cuenta contable], MATCH($A217, Tabla1[N Doc], 0)),
IF(B217=7,
        INDEX(Tabla1[Cuenta contable], MATCH($A217, Tabla1[N Doc], 0)),
IF(B217=8,
        IF(INDEX(Tabla1[Tipo IVA], MATCH($A217, Tabla1[N Doc], 0))="22%",
             INDEX(Tabla13[Cta Iva 22], MATCH($A217, Tabla1[N Doc], 0)),
             INDEX(Tabla13[Cta Iva 10], MATCH($A217, Tabla1[N Doc], 0))),
IF(B217=9,
        INDEX(Tabla1[Cuenta contable], MATCH($A217, Tabla1[N Doc], 0))
)))))))))))</f>
        <v/>
      </c>
      <c r="F217" t="str">
        <f>IF(OR($A217="",$A217=0),"",IF(B217=1,
        INDEX(Tabla1[Importe total], MATCH($A217, Tabla1[N Doc], 0)),
IF(B217=2,
        INDEX(Tabla1[Base imponible 22], MATCH($A217, Tabla1[N Doc], 0)),
IF(B217=3,
        INDEX(Tabla1[Iva 22], MATCH($A217, Tabla1[N Doc], 0)),
IF(B217=4,
        INDEX(Tabla1[Base imponible 10], MATCH($A217, Tabla1[N Doc], 0)),
IF(B217=5,
        INDEX(Tabla1[Iva 10], MATCH($A217, Tabla1[N Doc], 0)),
IF(B217=6,
        INDEX(Tabla1[Exento], MATCH($A217, Tabla1[N Doc], 0)),
IF(B217=7,
        INDEX(#REF!, MATCH($A217, Tabla1[N Doc], 0)),
IF(B217=8,
        INDEX(#REF!, MATCH($A217, Tabla1[N Doc], 0)),
IF(B217=9,
        INDEX(Tabla1[Descuentos], MATCH($A217, Tabla1[N Doc], 0)),
""))))))))))</f>
        <v/>
      </c>
      <c r="G217" t="str">
        <f>IF(OR($A217="",$A217=0),"",IF(OR(B217=2,B217=4,B217=6,B217=7),
    INDEX(Tabla13[Ind impuestos], MATCH($A217, Tabla13[N Doc], 0)),
""))</f>
        <v/>
      </c>
      <c r="J217" t="str">
        <f>IF(OR($A217="",$A217=0),"",IF(OR(B217=2,B217=4,B217=6,B217=7),
    INDEX(Tabla1[CECO], MATCH($A217, Tabla1[N Doc], 0)),
""))</f>
        <v/>
      </c>
      <c r="M217" t="str">
        <f>IF(C217=31,INDEX(Tabla1[Descripción], MATCH($A217, Tabla1[N Doc], 0)),"")</f>
        <v/>
      </c>
    </row>
    <row r="218" spans="1:13" x14ac:dyDescent="0.3">
      <c r="A218" t="str" cm="1">
        <f t="array" ref="A218">INDEX(Tabla1[N Doc], ROUNDUP((ROW()-1)/9, 0))</f>
        <v/>
      </c>
      <c r="B218" t="str">
        <f>IF(OR(A218="",A218=0),"",CHOOSE(
    COUNTIF($A$2:A218,A218),
    1,2,3,4,5,6,7,8,9
))</f>
        <v/>
      </c>
      <c r="C218" t="str">
        <f t="shared" si="3"/>
        <v/>
      </c>
      <c r="D218" s="7" t="str" cm="1">
        <f t="array" ref="D218">IF(OR($A218="",$A218=0),"",
IF(AND(INDEX(Formulario!$H$14:$H$100, $A218)="Si", C218&lt;&gt;31),
        VLOOKUP("cta puente",'Descripciones de gastos'!G:H, 2, FALSE),
IF(B218=1,
        INDEX(Tabla13[Titular], MATCH($A218, Tabla1[N Doc], 0)),
IF(B218=2,
        INDEX(Tabla1[Cuenta contable], MATCH($A218, Tabla1[N Doc], 0)),
IF(B218=3,
        INDEX(Tabla13[Cta Iva 22], MATCH($A218, Tabla1[N Doc], 0)),
IF(B218=4,
        INDEX(Tabla1[Cuenta contable], MATCH($A218, Tabla1[N Doc], 0)),
IF(B218=5,
        INDEX(Tabla13[Cta Iva 10], MATCH($A218, Tabla1[N Doc], 0)),
IF(B218=6,
        INDEX(Tabla1[Cuenta contable], MATCH($A218, Tabla1[N Doc], 0)),
IF(B218=7,
        INDEX(Tabla1[Cuenta contable], MATCH($A218, Tabla1[N Doc], 0)),
IF(B218=8,
        IF(INDEX(Tabla1[Tipo IVA], MATCH($A218, Tabla1[N Doc], 0))="22%",
             INDEX(Tabla13[Cta Iva 22], MATCH($A218, Tabla1[N Doc], 0)),
             INDEX(Tabla13[Cta Iva 10], MATCH($A218, Tabla1[N Doc], 0))),
IF(B218=9,
        INDEX(Tabla1[Cuenta contable], MATCH($A218, Tabla1[N Doc], 0))
)))))))))))</f>
        <v/>
      </c>
      <c r="F218" t="str">
        <f>IF(OR($A218="",$A218=0),"",IF(B218=1,
        INDEX(Tabla1[Importe total], MATCH($A218, Tabla1[N Doc], 0)),
IF(B218=2,
        INDEX(Tabla1[Base imponible 22], MATCH($A218, Tabla1[N Doc], 0)),
IF(B218=3,
        INDEX(Tabla1[Iva 22], MATCH($A218, Tabla1[N Doc], 0)),
IF(B218=4,
        INDEX(Tabla1[Base imponible 10], MATCH($A218, Tabla1[N Doc], 0)),
IF(B218=5,
        INDEX(Tabla1[Iva 10], MATCH($A218, Tabla1[N Doc], 0)),
IF(B218=6,
        INDEX(Tabla1[Exento], MATCH($A218, Tabla1[N Doc], 0)),
IF(B218=7,
        INDEX(#REF!, MATCH($A218, Tabla1[N Doc], 0)),
IF(B218=8,
        INDEX(#REF!, MATCH($A218, Tabla1[N Doc], 0)),
IF(B218=9,
        INDEX(Tabla1[Descuentos], MATCH($A218, Tabla1[N Doc], 0)),
""))))))))))</f>
        <v/>
      </c>
      <c r="G218" t="str">
        <f>IF(OR($A218="",$A218=0),"",IF(OR(B218=2,B218=4,B218=6,B218=7),
    INDEX(Tabla13[Ind impuestos], MATCH($A218, Tabla13[N Doc], 0)),
""))</f>
        <v/>
      </c>
      <c r="J218" t="str">
        <f>IF(OR($A218="",$A218=0),"",IF(OR(B218=2,B218=4,B218=6,B218=7),
    INDEX(Tabla1[CECO], MATCH($A218, Tabla1[N Doc], 0)),
""))</f>
        <v/>
      </c>
      <c r="M218" t="str">
        <f>IF(C218=31,INDEX(Tabla1[Descripción], MATCH($A218, Tabla1[N Doc], 0)),"")</f>
        <v/>
      </c>
    </row>
    <row r="219" spans="1:13" x14ac:dyDescent="0.3">
      <c r="A219" t="str" cm="1">
        <f t="array" ref="A219">INDEX(Tabla1[N Doc], ROUNDUP((ROW()-1)/9, 0))</f>
        <v/>
      </c>
      <c r="B219" t="str">
        <f>IF(OR(A219="",A219=0),"",CHOOSE(
    COUNTIF($A$2:A219,A219),
    1,2,3,4,5,6,7,8,9
))</f>
        <v/>
      </c>
      <c r="C219" t="str">
        <f t="shared" si="3"/>
        <v/>
      </c>
      <c r="D219" s="7" t="str" cm="1">
        <f t="array" ref="D219">IF(OR($A219="",$A219=0),"",
IF(AND(INDEX(Formulario!$H$14:$H$100, $A219)="Si", C219&lt;&gt;31),
        VLOOKUP("cta puente",'Descripciones de gastos'!G:H, 2, FALSE),
IF(B219=1,
        INDEX(Tabla13[Titular], MATCH($A219, Tabla1[N Doc], 0)),
IF(B219=2,
        INDEX(Tabla1[Cuenta contable], MATCH($A219, Tabla1[N Doc], 0)),
IF(B219=3,
        INDEX(Tabla13[Cta Iva 22], MATCH($A219, Tabla1[N Doc], 0)),
IF(B219=4,
        INDEX(Tabla1[Cuenta contable], MATCH($A219, Tabla1[N Doc], 0)),
IF(B219=5,
        INDEX(Tabla13[Cta Iva 10], MATCH($A219, Tabla1[N Doc], 0)),
IF(B219=6,
        INDEX(Tabla1[Cuenta contable], MATCH($A219, Tabla1[N Doc], 0)),
IF(B219=7,
        INDEX(Tabla1[Cuenta contable], MATCH($A219, Tabla1[N Doc], 0)),
IF(B219=8,
        IF(INDEX(Tabla1[Tipo IVA], MATCH($A219, Tabla1[N Doc], 0))="22%",
             INDEX(Tabla13[Cta Iva 22], MATCH($A219, Tabla1[N Doc], 0)),
             INDEX(Tabla13[Cta Iva 10], MATCH($A219, Tabla1[N Doc], 0))),
IF(B219=9,
        INDEX(Tabla1[Cuenta contable], MATCH($A219, Tabla1[N Doc], 0))
)))))))))))</f>
        <v/>
      </c>
      <c r="F219" t="str">
        <f>IF(OR($A219="",$A219=0),"",IF(B219=1,
        INDEX(Tabla1[Importe total], MATCH($A219, Tabla1[N Doc], 0)),
IF(B219=2,
        INDEX(Tabla1[Base imponible 22], MATCH($A219, Tabla1[N Doc], 0)),
IF(B219=3,
        INDEX(Tabla1[Iva 22], MATCH($A219, Tabla1[N Doc], 0)),
IF(B219=4,
        INDEX(Tabla1[Base imponible 10], MATCH($A219, Tabla1[N Doc], 0)),
IF(B219=5,
        INDEX(Tabla1[Iva 10], MATCH($A219, Tabla1[N Doc], 0)),
IF(B219=6,
        INDEX(Tabla1[Exento], MATCH($A219, Tabla1[N Doc], 0)),
IF(B219=7,
        INDEX(#REF!, MATCH($A219, Tabla1[N Doc], 0)),
IF(B219=8,
        INDEX(#REF!, MATCH($A219, Tabla1[N Doc], 0)),
IF(B219=9,
        INDEX(Tabla1[Descuentos], MATCH($A219, Tabla1[N Doc], 0)),
""))))))))))</f>
        <v/>
      </c>
      <c r="G219" t="str">
        <f>IF(OR($A219="",$A219=0),"",IF(OR(B219=2,B219=4,B219=6,B219=7),
    INDEX(Tabla13[Ind impuestos], MATCH($A219, Tabla13[N Doc], 0)),
""))</f>
        <v/>
      </c>
      <c r="J219" t="str">
        <f>IF(OR($A219="",$A219=0),"",IF(OR(B219=2,B219=4,B219=6,B219=7),
    INDEX(Tabla1[CECO], MATCH($A219, Tabla1[N Doc], 0)),
""))</f>
        <v/>
      </c>
      <c r="M219" t="str">
        <f>IF(C219=31,INDEX(Tabla1[Descripción], MATCH($A219, Tabla1[N Doc], 0)),"")</f>
        <v/>
      </c>
    </row>
    <row r="220" spans="1:13" x14ac:dyDescent="0.3">
      <c r="A220" t="str" cm="1">
        <f t="array" ref="A220">INDEX(Tabla1[N Doc], ROUNDUP((ROW()-1)/9, 0))</f>
        <v/>
      </c>
      <c r="B220" t="str">
        <f>IF(OR(A220="",A220=0),"",CHOOSE(
    COUNTIF($A$2:A220,A220),
    1,2,3,4,5,6,7,8,9
))</f>
        <v/>
      </c>
      <c r="C220" t="str">
        <f t="shared" si="3"/>
        <v/>
      </c>
      <c r="D220" s="7" t="str" cm="1">
        <f t="array" ref="D220">IF(OR($A220="",$A220=0),"",
IF(AND(INDEX(Formulario!$H$14:$H$100, $A220)="Si", C220&lt;&gt;31),
        VLOOKUP("cta puente",'Descripciones de gastos'!G:H, 2, FALSE),
IF(B220=1,
        INDEX(Tabla13[Titular], MATCH($A220, Tabla1[N Doc], 0)),
IF(B220=2,
        INDEX(Tabla1[Cuenta contable], MATCH($A220, Tabla1[N Doc], 0)),
IF(B220=3,
        INDEX(Tabla13[Cta Iva 22], MATCH($A220, Tabla1[N Doc], 0)),
IF(B220=4,
        INDEX(Tabla1[Cuenta contable], MATCH($A220, Tabla1[N Doc], 0)),
IF(B220=5,
        INDEX(Tabla13[Cta Iva 10], MATCH($A220, Tabla1[N Doc], 0)),
IF(B220=6,
        INDEX(Tabla1[Cuenta contable], MATCH($A220, Tabla1[N Doc], 0)),
IF(B220=7,
        INDEX(Tabla1[Cuenta contable], MATCH($A220, Tabla1[N Doc], 0)),
IF(B220=8,
        IF(INDEX(Tabla1[Tipo IVA], MATCH($A220, Tabla1[N Doc], 0))="22%",
             INDEX(Tabla13[Cta Iva 22], MATCH($A220, Tabla1[N Doc], 0)),
             INDEX(Tabla13[Cta Iva 10], MATCH($A220, Tabla1[N Doc], 0))),
IF(B220=9,
        INDEX(Tabla1[Cuenta contable], MATCH($A220, Tabla1[N Doc], 0))
)))))))))))</f>
        <v/>
      </c>
      <c r="F220" t="str">
        <f>IF(OR($A220="",$A220=0),"",IF(B220=1,
        INDEX(Tabla1[Importe total], MATCH($A220, Tabla1[N Doc], 0)),
IF(B220=2,
        INDEX(Tabla1[Base imponible 22], MATCH($A220, Tabla1[N Doc], 0)),
IF(B220=3,
        INDEX(Tabla1[Iva 22], MATCH($A220, Tabla1[N Doc], 0)),
IF(B220=4,
        INDEX(Tabla1[Base imponible 10], MATCH($A220, Tabla1[N Doc], 0)),
IF(B220=5,
        INDEX(Tabla1[Iva 10], MATCH($A220, Tabla1[N Doc], 0)),
IF(B220=6,
        INDEX(Tabla1[Exento], MATCH($A220, Tabla1[N Doc], 0)),
IF(B220=7,
        INDEX(#REF!, MATCH($A220, Tabla1[N Doc], 0)),
IF(B220=8,
        INDEX(#REF!, MATCH($A220, Tabla1[N Doc], 0)),
IF(B220=9,
        INDEX(Tabla1[Descuentos], MATCH($A220, Tabla1[N Doc], 0)),
""))))))))))</f>
        <v/>
      </c>
      <c r="G220" t="str">
        <f>IF(OR($A220="",$A220=0),"",IF(OR(B220=2,B220=4,B220=6,B220=7),
    INDEX(Tabla13[Ind impuestos], MATCH($A220, Tabla13[N Doc], 0)),
""))</f>
        <v/>
      </c>
      <c r="J220" t="str">
        <f>IF(OR($A220="",$A220=0),"",IF(OR(B220=2,B220=4,B220=6,B220=7),
    INDEX(Tabla1[CECO], MATCH($A220, Tabla1[N Doc], 0)),
""))</f>
        <v/>
      </c>
      <c r="M220" t="str">
        <f>IF(C220=31,INDEX(Tabla1[Descripción], MATCH($A220, Tabla1[N Doc], 0)),"")</f>
        <v/>
      </c>
    </row>
    <row r="221" spans="1:13" x14ac:dyDescent="0.3">
      <c r="A221" t="str" cm="1">
        <f t="array" ref="A221">INDEX(Tabla1[N Doc], ROUNDUP((ROW()-1)/9, 0))</f>
        <v/>
      </c>
      <c r="B221" t="str">
        <f>IF(OR(A221="",A221=0),"",CHOOSE(
    COUNTIF($A$2:A221,A221),
    1,2,3,4,5,6,7,8,9
))</f>
        <v/>
      </c>
      <c r="C221" t="str">
        <f t="shared" si="3"/>
        <v/>
      </c>
      <c r="D221" s="7" t="str" cm="1">
        <f t="array" ref="D221">IF(OR($A221="",$A221=0),"",
IF(AND(INDEX(Formulario!$H$14:$H$100, $A221)="Si", C221&lt;&gt;31),
        VLOOKUP("cta puente",'Descripciones de gastos'!G:H, 2, FALSE),
IF(B221=1,
        INDEX(Tabla13[Titular], MATCH($A221, Tabla1[N Doc], 0)),
IF(B221=2,
        INDEX(Tabla1[Cuenta contable], MATCH($A221, Tabla1[N Doc], 0)),
IF(B221=3,
        INDEX(Tabla13[Cta Iva 22], MATCH($A221, Tabla1[N Doc], 0)),
IF(B221=4,
        INDEX(Tabla1[Cuenta contable], MATCH($A221, Tabla1[N Doc], 0)),
IF(B221=5,
        INDEX(Tabla13[Cta Iva 10], MATCH($A221, Tabla1[N Doc], 0)),
IF(B221=6,
        INDEX(Tabla1[Cuenta contable], MATCH($A221, Tabla1[N Doc], 0)),
IF(B221=7,
        INDEX(Tabla1[Cuenta contable], MATCH($A221, Tabla1[N Doc], 0)),
IF(B221=8,
        IF(INDEX(Tabla1[Tipo IVA], MATCH($A221, Tabla1[N Doc], 0))="22%",
             INDEX(Tabla13[Cta Iva 22], MATCH($A221, Tabla1[N Doc], 0)),
             INDEX(Tabla13[Cta Iva 10], MATCH($A221, Tabla1[N Doc], 0))),
IF(B221=9,
        INDEX(Tabla1[Cuenta contable], MATCH($A221, Tabla1[N Doc], 0))
)))))))))))</f>
        <v/>
      </c>
      <c r="F221" t="str">
        <f>IF(OR($A221="",$A221=0),"",IF(B221=1,
        INDEX(Tabla1[Importe total], MATCH($A221, Tabla1[N Doc], 0)),
IF(B221=2,
        INDEX(Tabla1[Base imponible 22], MATCH($A221, Tabla1[N Doc], 0)),
IF(B221=3,
        INDEX(Tabla1[Iva 22], MATCH($A221, Tabla1[N Doc], 0)),
IF(B221=4,
        INDEX(Tabla1[Base imponible 10], MATCH($A221, Tabla1[N Doc], 0)),
IF(B221=5,
        INDEX(Tabla1[Iva 10], MATCH($A221, Tabla1[N Doc], 0)),
IF(B221=6,
        INDEX(Tabla1[Exento], MATCH($A221, Tabla1[N Doc], 0)),
IF(B221=7,
        INDEX(#REF!, MATCH($A221, Tabla1[N Doc], 0)),
IF(B221=8,
        INDEX(#REF!, MATCH($A221, Tabla1[N Doc], 0)),
IF(B221=9,
        INDEX(Tabla1[Descuentos], MATCH($A221, Tabla1[N Doc], 0)),
""))))))))))</f>
        <v/>
      </c>
      <c r="G221" t="str">
        <f>IF(OR($A221="",$A221=0),"",IF(OR(B221=2,B221=4,B221=6,B221=7),
    INDEX(Tabla13[Ind impuestos], MATCH($A221, Tabla13[N Doc], 0)),
""))</f>
        <v/>
      </c>
      <c r="J221" t="str">
        <f>IF(OR($A221="",$A221=0),"",IF(OR(B221=2,B221=4,B221=6,B221=7),
    INDEX(Tabla1[CECO], MATCH($A221, Tabla1[N Doc], 0)),
""))</f>
        <v/>
      </c>
      <c r="M221" t="str">
        <f>IF(C221=31,INDEX(Tabla1[Descripción], MATCH($A221, Tabla1[N Doc], 0)),"")</f>
        <v/>
      </c>
    </row>
    <row r="222" spans="1:13" x14ac:dyDescent="0.3">
      <c r="A222" t="str" cm="1">
        <f t="array" ref="A222">INDEX(Tabla1[N Doc], ROUNDUP((ROW()-1)/9, 0))</f>
        <v/>
      </c>
      <c r="B222" t="str">
        <f>IF(OR(A222="",A222=0),"",CHOOSE(
    COUNTIF($A$2:A222,A222),
    1,2,3,4,5,6,7,8,9
))</f>
        <v/>
      </c>
      <c r="C222" t="str">
        <f t="shared" si="3"/>
        <v/>
      </c>
      <c r="D222" s="7" t="str" cm="1">
        <f t="array" ref="D222">IF(OR($A222="",$A222=0),"",
IF(AND(INDEX(Formulario!$H$14:$H$100, $A222)="Si", C222&lt;&gt;31),
        VLOOKUP("cta puente",'Descripciones de gastos'!G:H, 2, FALSE),
IF(B222=1,
        INDEX(Tabla13[Titular], MATCH($A222, Tabla1[N Doc], 0)),
IF(B222=2,
        INDEX(Tabla1[Cuenta contable], MATCH($A222, Tabla1[N Doc], 0)),
IF(B222=3,
        INDEX(Tabla13[Cta Iva 22], MATCH($A222, Tabla1[N Doc], 0)),
IF(B222=4,
        INDEX(Tabla1[Cuenta contable], MATCH($A222, Tabla1[N Doc], 0)),
IF(B222=5,
        INDEX(Tabla13[Cta Iva 10], MATCH($A222, Tabla1[N Doc], 0)),
IF(B222=6,
        INDEX(Tabla1[Cuenta contable], MATCH($A222, Tabla1[N Doc], 0)),
IF(B222=7,
        INDEX(Tabla1[Cuenta contable], MATCH($A222, Tabla1[N Doc], 0)),
IF(B222=8,
        IF(INDEX(Tabla1[Tipo IVA], MATCH($A222, Tabla1[N Doc], 0))="22%",
             INDEX(Tabla13[Cta Iva 22], MATCH($A222, Tabla1[N Doc], 0)),
             INDEX(Tabla13[Cta Iva 10], MATCH($A222, Tabla1[N Doc], 0))),
IF(B222=9,
        INDEX(Tabla1[Cuenta contable], MATCH($A222, Tabla1[N Doc], 0))
)))))))))))</f>
        <v/>
      </c>
      <c r="F222" t="str">
        <f>IF(OR($A222="",$A222=0),"",IF(B222=1,
        INDEX(Tabla1[Importe total], MATCH($A222, Tabla1[N Doc], 0)),
IF(B222=2,
        INDEX(Tabla1[Base imponible 22], MATCH($A222, Tabla1[N Doc], 0)),
IF(B222=3,
        INDEX(Tabla1[Iva 22], MATCH($A222, Tabla1[N Doc], 0)),
IF(B222=4,
        INDEX(Tabla1[Base imponible 10], MATCH($A222, Tabla1[N Doc], 0)),
IF(B222=5,
        INDEX(Tabla1[Iva 10], MATCH($A222, Tabla1[N Doc], 0)),
IF(B222=6,
        INDEX(Tabla1[Exento], MATCH($A222, Tabla1[N Doc], 0)),
IF(B222=7,
        INDEX(#REF!, MATCH($A222, Tabla1[N Doc], 0)),
IF(B222=8,
        INDEX(#REF!, MATCH($A222, Tabla1[N Doc], 0)),
IF(B222=9,
        INDEX(Tabla1[Descuentos], MATCH($A222, Tabla1[N Doc], 0)),
""))))))))))</f>
        <v/>
      </c>
      <c r="G222" t="str">
        <f>IF(OR($A222="",$A222=0),"",IF(OR(B222=2,B222=4,B222=6,B222=7),
    INDEX(Tabla13[Ind impuestos], MATCH($A222, Tabla13[N Doc], 0)),
""))</f>
        <v/>
      </c>
      <c r="J222" t="str">
        <f>IF(OR($A222="",$A222=0),"",IF(OR(B222=2,B222=4,B222=6,B222=7),
    INDEX(Tabla1[CECO], MATCH($A222, Tabla1[N Doc], 0)),
""))</f>
        <v/>
      </c>
      <c r="M222" t="str">
        <f>IF(C222=31,INDEX(Tabla1[Descripción], MATCH($A222, Tabla1[N Doc], 0)),"")</f>
        <v/>
      </c>
    </row>
    <row r="223" spans="1:13" x14ac:dyDescent="0.3">
      <c r="A223" t="str" cm="1">
        <f t="array" ref="A223">INDEX(Tabla1[N Doc], ROUNDUP((ROW()-1)/9, 0))</f>
        <v/>
      </c>
      <c r="B223" t="str">
        <f>IF(OR(A223="",A223=0),"",CHOOSE(
    COUNTIF($A$2:A223,A223),
    1,2,3,4,5,6,7,8,9
))</f>
        <v/>
      </c>
      <c r="C223" t="str">
        <f t="shared" si="3"/>
        <v/>
      </c>
      <c r="D223" s="7" t="str" cm="1">
        <f t="array" ref="D223">IF(OR($A223="",$A223=0),"",
IF(AND(INDEX(Formulario!$H$14:$H$100, $A223)="Si", C223&lt;&gt;31),
        VLOOKUP("cta puente",'Descripciones de gastos'!G:H, 2, FALSE),
IF(B223=1,
        INDEX(Tabla13[Titular], MATCH($A223, Tabla1[N Doc], 0)),
IF(B223=2,
        INDEX(Tabla1[Cuenta contable], MATCH($A223, Tabla1[N Doc], 0)),
IF(B223=3,
        INDEX(Tabla13[Cta Iva 22], MATCH($A223, Tabla1[N Doc], 0)),
IF(B223=4,
        INDEX(Tabla1[Cuenta contable], MATCH($A223, Tabla1[N Doc], 0)),
IF(B223=5,
        INDEX(Tabla13[Cta Iva 10], MATCH($A223, Tabla1[N Doc], 0)),
IF(B223=6,
        INDEX(Tabla1[Cuenta contable], MATCH($A223, Tabla1[N Doc], 0)),
IF(B223=7,
        INDEX(Tabla1[Cuenta contable], MATCH($A223, Tabla1[N Doc], 0)),
IF(B223=8,
        IF(INDEX(Tabla1[Tipo IVA], MATCH($A223, Tabla1[N Doc], 0))="22%",
             INDEX(Tabla13[Cta Iva 22], MATCH($A223, Tabla1[N Doc], 0)),
             INDEX(Tabla13[Cta Iva 10], MATCH($A223, Tabla1[N Doc], 0))),
IF(B223=9,
        INDEX(Tabla1[Cuenta contable], MATCH($A223, Tabla1[N Doc], 0))
)))))))))))</f>
        <v/>
      </c>
      <c r="F223" t="str">
        <f>IF(OR($A223="",$A223=0),"",IF(B223=1,
        INDEX(Tabla1[Importe total], MATCH($A223, Tabla1[N Doc], 0)),
IF(B223=2,
        INDEX(Tabla1[Base imponible 22], MATCH($A223, Tabla1[N Doc], 0)),
IF(B223=3,
        INDEX(Tabla1[Iva 22], MATCH($A223, Tabla1[N Doc], 0)),
IF(B223=4,
        INDEX(Tabla1[Base imponible 10], MATCH($A223, Tabla1[N Doc], 0)),
IF(B223=5,
        INDEX(Tabla1[Iva 10], MATCH($A223, Tabla1[N Doc], 0)),
IF(B223=6,
        INDEX(Tabla1[Exento], MATCH($A223, Tabla1[N Doc], 0)),
IF(B223=7,
        INDEX(#REF!, MATCH($A223, Tabla1[N Doc], 0)),
IF(B223=8,
        INDEX(#REF!, MATCH($A223, Tabla1[N Doc], 0)),
IF(B223=9,
        INDEX(Tabla1[Descuentos], MATCH($A223, Tabla1[N Doc], 0)),
""))))))))))</f>
        <v/>
      </c>
      <c r="G223" t="str">
        <f>IF(OR($A223="",$A223=0),"",IF(OR(B223=2,B223=4,B223=6,B223=7),
    INDEX(Tabla13[Ind impuestos], MATCH($A223, Tabla13[N Doc], 0)),
""))</f>
        <v/>
      </c>
      <c r="J223" t="str">
        <f>IF(OR($A223="",$A223=0),"",IF(OR(B223=2,B223=4,B223=6,B223=7),
    INDEX(Tabla1[CECO], MATCH($A223, Tabla1[N Doc], 0)),
""))</f>
        <v/>
      </c>
      <c r="M223" t="str">
        <f>IF(C223=31,INDEX(Tabla1[Descripción], MATCH($A223, Tabla1[N Doc], 0)),"")</f>
        <v/>
      </c>
    </row>
    <row r="224" spans="1:13" x14ac:dyDescent="0.3">
      <c r="A224" t="str" cm="1">
        <f t="array" ref="A224">INDEX(Tabla1[N Doc], ROUNDUP((ROW()-1)/9, 0))</f>
        <v/>
      </c>
      <c r="B224" t="str">
        <f>IF(OR(A224="",A224=0),"",CHOOSE(
    COUNTIF($A$2:A224,A224),
    1,2,3,4,5,6,7,8,9
))</f>
        <v/>
      </c>
      <c r="C224" t="str">
        <f t="shared" si="3"/>
        <v/>
      </c>
      <c r="D224" s="7" t="str" cm="1">
        <f t="array" ref="D224">IF(OR($A224="",$A224=0),"",
IF(AND(INDEX(Formulario!$H$14:$H$100, $A224)="Si", C224&lt;&gt;31),
        VLOOKUP("cta puente",'Descripciones de gastos'!G:H, 2, FALSE),
IF(B224=1,
        INDEX(Tabla13[Titular], MATCH($A224, Tabla1[N Doc], 0)),
IF(B224=2,
        INDEX(Tabla1[Cuenta contable], MATCH($A224, Tabla1[N Doc], 0)),
IF(B224=3,
        INDEX(Tabla13[Cta Iva 22], MATCH($A224, Tabla1[N Doc], 0)),
IF(B224=4,
        INDEX(Tabla1[Cuenta contable], MATCH($A224, Tabla1[N Doc], 0)),
IF(B224=5,
        INDEX(Tabla13[Cta Iva 10], MATCH($A224, Tabla1[N Doc], 0)),
IF(B224=6,
        INDEX(Tabla1[Cuenta contable], MATCH($A224, Tabla1[N Doc], 0)),
IF(B224=7,
        INDEX(Tabla1[Cuenta contable], MATCH($A224, Tabla1[N Doc], 0)),
IF(B224=8,
        IF(INDEX(Tabla1[Tipo IVA], MATCH($A224, Tabla1[N Doc], 0))="22%",
             INDEX(Tabla13[Cta Iva 22], MATCH($A224, Tabla1[N Doc], 0)),
             INDEX(Tabla13[Cta Iva 10], MATCH($A224, Tabla1[N Doc], 0))),
IF(B224=9,
        INDEX(Tabla1[Cuenta contable], MATCH($A224, Tabla1[N Doc], 0))
)))))))))))</f>
        <v/>
      </c>
      <c r="F224" t="str">
        <f>IF(OR($A224="",$A224=0),"",IF(B224=1,
        INDEX(Tabla1[Importe total], MATCH($A224, Tabla1[N Doc], 0)),
IF(B224=2,
        INDEX(Tabla1[Base imponible 22], MATCH($A224, Tabla1[N Doc], 0)),
IF(B224=3,
        INDEX(Tabla1[Iva 22], MATCH($A224, Tabla1[N Doc], 0)),
IF(B224=4,
        INDEX(Tabla1[Base imponible 10], MATCH($A224, Tabla1[N Doc], 0)),
IF(B224=5,
        INDEX(Tabla1[Iva 10], MATCH($A224, Tabla1[N Doc], 0)),
IF(B224=6,
        INDEX(Tabla1[Exento], MATCH($A224, Tabla1[N Doc], 0)),
IF(B224=7,
        INDEX(#REF!, MATCH($A224, Tabla1[N Doc], 0)),
IF(B224=8,
        INDEX(#REF!, MATCH($A224, Tabla1[N Doc], 0)),
IF(B224=9,
        INDEX(Tabla1[Descuentos], MATCH($A224, Tabla1[N Doc], 0)),
""))))))))))</f>
        <v/>
      </c>
      <c r="G224" t="str">
        <f>IF(OR($A224="",$A224=0),"",IF(OR(B224=2,B224=4,B224=6,B224=7),
    INDEX(Tabla13[Ind impuestos], MATCH($A224, Tabla13[N Doc], 0)),
""))</f>
        <v/>
      </c>
      <c r="J224" t="str">
        <f>IF(OR($A224="",$A224=0),"",IF(OR(B224=2,B224=4,B224=6,B224=7),
    INDEX(Tabla1[CECO], MATCH($A224, Tabla1[N Doc], 0)),
""))</f>
        <v/>
      </c>
      <c r="M224" t="str">
        <f>IF(C224=31,INDEX(Tabla1[Descripción], MATCH($A224, Tabla1[N Doc], 0)),"")</f>
        <v/>
      </c>
    </row>
    <row r="225" spans="1:13" x14ac:dyDescent="0.3">
      <c r="A225" t="str" cm="1">
        <f t="array" ref="A225">INDEX(Tabla1[N Doc], ROUNDUP((ROW()-1)/9, 0))</f>
        <v/>
      </c>
      <c r="B225" t="str">
        <f>IF(OR(A225="",A225=0),"",CHOOSE(
    COUNTIF($A$2:A225,A225),
    1,2,3,4,5,6,7,8,9
))</f>
        <v/>
      </c>
      <c r="C225" t="str">
        <f t="shared" si="3"/>
        <v/>
      </c>
      <c r="D225" s="7" t="str" cm="1">
        <f t="array" ref="D225">IF(OR($A225="",$A225=0),"",
IF(AND(INDEX(Formulario!$H$14:$H$100, $A225)="Si", C225&lt;&gt;31),
        VLOOKUP("cta puente",'Descripciones de gastos'!G:H, 2, FALSE),
IF(B225=1,
        INDEX(Tabla13[Titular], MATCH($A225, Tabla1[N Doc], 0)),
IF(B225=2,
        INDEX(Tabla1[Cuenta contable], MATCH($A225, Tabla1[N Doc], 0)),
IF(B225=3,
        INDEX(Tabla13[Cta Iva 22], MATCH($A225, Tabla1[N Doc], 0)),
IF(B225=4,
        INDEX(Tabla1[Cuenta contable], MATCH($A225, Tabla1[N Doc], 0)),
IF(B225=5,
        INDEX(Tabla13[Cta Iva 10], MATCH($A225, Tabla1[N Doc], 0)),
IF(B225=6,
        INDEX(Tabla1[Cuenta contable], MATCH($A225, Tabla1[N Doc], 0)),
IF(B225=7,
        INDEX(Tabla1[Cuenta contable], MATCH($A225, Tabla1[N Doc], 0)),
IF(B225=8,
        IF(INDEX(Tabla1[Tipo IVA], MATCH($A225, Tabla1[N Doc], 0))="22%",
             INDEX(Tabla13[Cta Iva 22], MATCH($A225, Tabla1[N Doc], 0)),
             INDEX(Tabla13[Cta Iva 10], MATCH($A225, Tabla1[N Doc], 0))),
IF(B225=9,
        INDEX(Tabla1[Cuenta contable], MATCH($A225, Tabla1[N Doc], 0))
)))))))))))</f>
        <v/>
      </c>
      <c r="F225" t="str">
        <f>IF(OR($A225="",$A225=0),"",IF(B225=1,
        INDEX(Tabla1[Importe total], MATCH($A225, Tabla1[N Doc], 0)),
IF(B225=2,
        INDEX(Tabla1[Base imponible 22], MATCH($A225, Tabla1[N Doc], 0)),
IF(B225=3,
        INDEX(Tabla1[Iva 22], MATCH($A225, Tabla1[N Doc], 0)),
IF(B225=4,
        INDEX(Tabla1[Base imponible 10], MATCH($A225, Tabla1[N Doc], 0)),
IF(B225=5,
        INDEX(Tabla1[Iva 10], MATCH($A225, Tabla1[N Doc], 0)),
IF(B225=6,
        INDEX(Tabla1[Exento], MATCH($A225, Tabla1[N Doc], 0)),
IF(B225=7,
        INDEX(#REF!, MATCH($A225, Tabla1[N Doc], 0)),
IF(B225=8,
        INDEX(#REF!, MATCH($A225, Tabla1[N Doc], 0)),
IF(B225=9,
        INDEX(Tabla1[Descuentos], MATCH($A225, Tabla1[N Doc], 0)),
""))))))))))</f>
        <v/>
      </c>
      <c r="G225" t="str">
        <f>IF(OR($A225="",$A225=0),"",IF(OR(B225=2,B225=4,B225=6,B225=7),
    INDEX(Tabla13[Ind impuestos], MATCH($A225, Tabla13[N Doc], 0)),
""))</f>
        <v/>
      </c>
      <c r="J225" t="str">
        <f>IF(OR($A225="",$A225=0),"",IF(OR(B225=2,B225=4,B225=6,B225=7),
    INDEX(Tabla1[CECO], MATCH($A225, Tabla1[N Doc], 0)),
""))</f>
        <v/>
      </c>
      <c r="M225" t="str">
        <f>IF(C225=31,INDEX(Tabla1[Descripción], MATCH($A225, Tabla1[N Doc], 0)),"")</f>
        <v/>
      </c>
    </row>
    <row r="226" spans="1:13" x14ac:dyDescent="0.3">
      <c r="A226" t="str" cm="1">
        <f t="array" ref="A226">INDEX(Tabla1[N Doc], ROUNDUP((ROW()-1)/9, 0))</f>
        <v/>
      </c>
      <c r="B226" t="str">
        <f>IF(OR(A226="",A226=0),"",CHOOSE(
    COUNTIF($A$2:A226,A226),
    1,2,3,4,5,6,7,8,9
))</f>
        <v/>
      </c>
      <c r="C226" t="str">
        <f t="shared" si="3"/>
        <v/>
      </c>
      <c r="D226" s="7" t="str" cm="1">
        <f t="array" ref="D226">IF(OR($A226="",$A226=0),"",
IF(AND(INDEX(Formulario!$H$14:$H$100, $A226)="Si", C226&lt;&gt;31),
        VLOOKUP("cta puente",'Descripciones de gastos'!G:H, 2, FALSE),
IF(B226=1,
        INDEX(Tabla13[Titular], MATCH($A226, Tabla1[N Doc], 0)),
IF(B226=2,
        INDEX(Tabla1[Cuenta contable], MATCH($A226, Tabla1[N Doc], 0)),
IF(B226=3,
        INDEX(Tabla13[Cta Iva 22], MATCH($A226, Tabla1[N Doc], 0)),
IF(B226=4,
        INDEX(Tabla1[Cuenta contable], MATCH($A226, Tabla1[N Doc], 0)),
IF(B226=5,
        INDEX(Tabla13[Cta Iva 10], MATCH($A226, Tabla1[N Doc], 0)),
IF(B226=6,
        INDEX(Tabla1[Cuenta contable], MATCH($A226, Tabla1[N Doc], 0)),
IF(B226=7,
        INDEX(Tabla1[Cuenta contable], MATCH($A226, Tabla1[N Doc], 0)),
IF(B226=8,
        IF(INDEX(Tabla1[Tipo IVA], MATCH($A226, Tabla1[N Doc], 0))="22%",
             INDEX(Tabla13[Cta Iva 22], MATCH($A226, Tabla1[N Doc], 0)),
             INDEX(Tabla13[Cta Iva 10], MATCH($A226, Tabla1[N Doc], 0))),
IF(B226=9,
        INDEX(Tabla1[Cuenta contable], MATCH($A226, Tabla1[N Doc], 0))
)))))))))))</f>
        <v/>
      </c>
      <c r="F226" t="str">
        <f>IF(OR($A226="",$A226=0),"",IF(B226=1,
        INDEX(Tabla1[Importe total], MATCH($A226, Tabla1[N Doc], 0)),
IF(B226=2,
        INDEX(Tabla1[Base imponible 22], MATCH($A226, Tabla1[N Doc], 0)),
IF(B226=3,
        INDEX(Tabla1[Iva 22], MATCH($A226, Tabla1[N Doc], 0)),
IF(B226=4,
        INDEX(Tabla1[Base imponible 10], MATCH($A226, Tabla1[N Doc], 0)),
IF(B226=5,
        INDEX(Tabla1[Iva 10], MATCH($A226, Tabla1[N Doc], 0)),
IF(B226=6,
        INDEX(Tabla1[Exento], MATCH($A226, Tabla1[N Doc], 0)),
IF(B226=7,
        INDEX(#REF!, MATCH($A226, Tabla1[N Doc], 0)),
IF(B226=8,
        INDEX(#REF!, MATCH($A226, Tabla1[N Doc], 0)),
IF(B226=9,
        INDEX(Tabla1[Descuentos], MATCH($A226, Tabla1[N Doc], 0)),
""))))))))))</f>
        <v/>
      </c>
      <c r="G226" t="str">
        <f>IF(OR($A226="",$A226=0),"",IF(OR(B226=2,B226=4,B226=6,B226=7),
    INDEX(Tabla13[Ind impuestos], MATCH($A226, Tabla13[N Doc], 0)),
""))</f>
        <v/>
      </c>
      <c r="J226" t="str">
        <f>IF(OR($A226="",$A226=0),"",IF(OR(B226=2,B226=4,B226=6,B226=7),
    INDEX(Tabla1[CECO], MATCH($A226, Tabla1[N Doc], 0)),
""))</f>
        <v/>
      </c>
      <c r="M226" t="str">
        <f>IF(C226=31,INDEX(Tabla1[Descripción], MATCH($A226, Tabla1[N Doc], 0)),"")</f>
        <v/>
      </c>
    </row>
    <row r="227" spans="1:13" x14ac:dyDescent="0.3">
      <c r="A227" t="e" cm="1">
        <f t="array" ref="A227">INDEX(Tabla1[N Doc], ROUNDUP((ROW()-1)/9, 0))</f>
        <v>#REF!</v>
      </c>
      <c r="B227" t="e">
        <f>IF(OR(A227="",A227=0),"",CHOOSE(
    COUNTIF($A$2:A227,A227),
    1,2,3,4,5,6,7,8,9
))</f>
        <v>#REF!</v>
      </c>
      <c r="C227" t="e">
        <f t="shared" si="3"/>
        <v>#REF!</v>
      </c>
      <c r="D227" s="7" t="e" cm="1">
        <f t="array" ref="D227">IF(OR($A227="",$A227=0),"",
IF(AND(INDEX(Formulario!$H$14:$H$100, $A227)="Si", C227&lt;&gt;31),
        VLOOKUP("cta puente",'Descripciones de gastos'!G:H, 2, FALSE),
IF(B227=1,
        INDEX(Tabla13[Titular], MATCH($A227, Tabla1[N Doc], 0)),
IF(B227=2,
        INDEX(Tabla1[Cuenta contable], MATCH($A227, Tabla1[N Doc], 0)),
IF(B227=3,
        INDEX(Tabla13[Cta Iva 22], MATCH($A227, Tabla1[N Doc], 0)),
IF(B227=4,
        INDEX(Tabla1[Cuenta contable], MATCH($A227, Tabla1[N Doc], 0)),
IF(B227=5,
        INDEX(Tabla13[Cta Iva 10], MATCH($A227, Tabla1[N Doc], 0)),
IF(B227=6,
        INDEX(Tabla1[Cuenta contable], MATCH($A227, Tabla1[N Doc], 0)),
IF(B227=7,
        INDEX(Tabla1[Cuenta contable], MATCH($A227, Tabla1[N Doc], 0)),
IF(B227=8,
        IF(INDEX(Tabla1[Tipo IVA], MATCH($A227, Tabla1[N Doc], 0))="22%",
             INDEX(Tabla13[Cta Iva 22], MATCH($A227, Tabla1[N Doc], 0)),
             INDEX(Tabla13[Cta Iva 10], MATCH($A227, Tabla1[N Doc], 0))),
IF(B227=9,
        INDEX(Tabla1[Cuenta contable], MATCH($A227, Tabla1[N Doc], 0))
)))))))))))</f>
        <v>#REF!</v>
      </c>
      <c r="F227" t="e">
        <f>IF(OR($A227="",$A227=0),"",IF(B227=1,
        INDEX(Tabla1[Importe total], MATCH($A227, Tabla1[N Doc], 0)),
IF(B227=2,
        INDEX(Tabla1[Base imponible 22], MATCH($A227, Tabla1[N Doc], 0)),
IF(B227=3,
        INDEX(Tabla1[Iva 22], MATCH($A227, Tabla1[N Doc], 0)),
IF(B227=4,
        INDEX(Tabla1[Base imponible 10], MATCH($A227, Tabla1[N Doc], 0)),
IF(B227=5,
        INDEX(Tabla1[Iva 10], MATCH($A227, Tabla1[N Doc], 0)),
IF(B227=6,
        INDEX(Tabla1[Exento], MATCH($A227, Tabla1[N Doc], 0)),
IF(B227=7,
        INDEX(#REF!, MATCH($A227, Tabla1[N Doc], 0)),
IF(B227=8,
        INDEX(#REF!, MATCH($A227, Tabla1[N Doc], 0)),
IF(B227=9,
        INDEX(Tabla1[Descuentos], MATCH($A227, Tabla1[N Doc], 0)),
""))))))))))</f>
        <v>#REF!</v>
      </c>
      <c r="G227" t="e">
        <f>IF(OR($A227="",$A227=0),"",IF(OR(B227=2,B227=4,B227=6,B227=7),
    INDEX(Tabla13[Ind impuestos], MATCH($A227, Tabla13[N Doc], 0)),
""))</f>
        <v>#REF!</v>
      </c>
      <c r="J227" t="e">
        <f>IF(OR($A227="",$A227=0),"",IF(OR(B227=2,B227=4,B227=6,B227=7),
    INDEX(Tabla1[CECO], MATCH($A227, Tabla1[N Doc], 0)),
""))</f>
        <v>#REF!</v>
      </c>
      <c r="M227" t="e">
        <f>IF(C227=31,INDEX(Tabla1[Descripción], MATCH($A227, Tabla1[N Doc], 0)),"")</f>
        <v>#REF!</v>
      </c>
    </row>
    <row r="228" spans="1:13" x14ac:dyDescent="0.3">
      <c r="A228" t="e" cm="1">
        <f t="array" ref="A228">INDEX(Tabla1[N Doc], ROUNDUP((ROW()-1)/9, 0))</f>
        <v>#REF!</v>
      </c>
      <c r="B228" t="e">
        <f>IF(OR(A228="",A228=0),"",CHOOSE(
    COUNTIF($A$2:A228,A228),
    1,2,3,4,5,6,7,8,9
))</f>
        <v>#REF!</v>
      </c>
      <c r="C228" t="e">
        <f t="shared" si="3"/>
        <v>#REF!</v>
      </c>
      <c r="D228" s="7" t="e" cm="1">
        <f t="array" ref="D228">IF(OR($A228="",$A228=0),"",
IF(AND(INDEX(Formulario!$H$14:$H$100, $A228)="Si", C228&lt;&gt;31),
        VLOOKUP("cta puente",'Descripciones de gastos'!G:H, 2, FALSE),
IF(B228=1,
        INDEX(Tabla13[Titular], MATCH($A228, Tabla1[N Doc], 0)),
IF(B228=2,
        INDEX(Tabla1[Cuenta contable], MATCH($A228, Tabla1[N Doc], 0)),
IF(B228=3,
        INDEX(Tabla13[Cta Iva 22], MATCH($A228, Tabla1[N Doc], 0)),
IF(B228=4,
        INDEX(Tabla1[Cuenta contable], MATCH($A228, Tabla1[N Doc], 0)),
IF(B228=5,
        INDEX(Tabla13[Cta Iva 10], MATCH($A228, Tabla1[N Doc], 0)),
IF(B228=6,
        INDEX(Tabla1[Cuenta contable], MATCH($A228, Tabla1[N Doc], 0)),
IF(B228=7,
        INDEX(Tabla1[Cuenta contable], MATCH($A228, Tabla1[N Doc], 0)),
IF(B228=8,
        IF(INDEX(Tabla1[Tipo IVA], MATCH($A228, Tabla1[N Doc], 0))="22%",
             INDEX(Tabla13[Cta Iva 22], MATCH($A228, Tabla1[N Doc], 0)),
             INDEX(Tabla13[Cta Iva 10], MATCH($A228, Tabla1[N Doc], 0))),
IF(B228=9,
        INDEX(Tabla1[Cuenta contable], MATCH($A228, Tabla1[N Doc], 0))
)))))))))))</f>
        <v>#REF!</v>
      </c>
      <c r="F228" t="e">
        <f>IF(OR($A228="",$A228=0),"",IF(B228=1,
        INDEX(Tabla1[Importe total], MATCH($A228, Tabla1[N Doc], 0)),
IF(B228=2,
        INDEX(Tabla1[Base imponible 22], MATCH($A228, Tabla1[N Doc], 0)),
IF(B228=3,
        INDEX(Tabla1[Iva 22], MATCH($A228, Tabla1[N Doc], 0)),
IF(B228=4,
        INDEX(Tabla1[Base imponible 10], MATCH($A228, Tabla1[N Doc], 0)),
IF(B228=5,
        INDEX(Tabla1[Iva 10], MATCH($A228, Tabla1[N Doc], 0)),
IF(B228=6,
        INDEX(Tabla1[Exento], MATCH($A228, Tabla1[N Doc], 0)),
IF(B228=7,
        INDEX(#REF!, MATCH($A228, Tabla1[N Doc], 0)),
IF(B228=8,
        INDEX(#REF!, MATCH($A228, Tabla1[N Doc], 0)),
IF(B228=9,
        INDEX(Tabla1[Descuentos], MATCH($A228, Tabla1[N Doc], 0)),
""))))))))))</f>
        <v>#REF!</v>
      </c>
      <c r="G228" t="e">
        <f>IF(OR($A228="",$A228=0),"",IF(OR(B228=2,B228=4,B228=6,B228=7),
    INDEX(Tabla13[Ind impuestos], MATCH($A228, Tabla13[N Doc], 0)),
""))</f>
        <v>#REF!</v>
      </c>
      <c r="J228" t="e">
        <f>IF(OR($A228="",$A228=0),"",IF(OR(B228=2,B228=4,B228=6,B228=7),
    INDEX(Tabla1[CECO], MATCH($A228, Tabla1[N Doc], 0)),
""))</f>
        <v>#REF!</v>
      </c>
      <c r="M228" t="e">
        <f>IF(C228=31,INDEX(Tabla1[Descripción], MATCH($A228, Tabla1[N Doc], 0)),"")</f>
        <v>#REF!</v>
      </c>
    </row>
    <row r="229" spans="1:13" x14ac:dyDescent="0.3">
      <c r="A229" t="e" cm="1">
        <f t="array" ref="A229">INDEX(Tabla1[N Doc], ROUNDUP((ROW()-1)/9, 0))</f>
        <v>#REF!</v>
      </c>
      <c r="B229" t="e">
        <f>IF(OR(A229="",A229=0),"",CHOOSE(
    COUNTIF($A$2:A229,A229),
    1,2,3,4,5,6,7,8,9
))</f>
        <v>#REF!</v>
      </c>
      <c r="C229" t="e">
        <f t="shared" si="3"/>
        <v>#REF!</v>
      </c>
      <c r="D229" s="7" t="e" cm="1">
        <f t="array" ref="D229">IF(OR($A229="",$A229=0),"",
IF(AND(INDEX(Formulario!$H$14:$H$100, $A229)="Si", C229&lt;&gt;31),
        VLOOKUP("cta puente",'Descripciones de gastos'!G:H, 2, FALSE),
IF(B229=1,
        INDEX(Tabla13[Titular], MATCH($A229, Tabla1[N Doc], 0)),
IF(B229=2,
        INDEX(Tabla1[Cuenta contable], MATCH($A229, Tabla1[N Doc], 0)),
IF(B229=3,
        INDEX(Tabla13[Cta Iva 22], MATCH($A229, Tabla1[N Doc], 0)),
IF(B229=4,
        INDEX(Tabla1[Cuenta contable], MATCH($A229, Tabla1[N Doc], 0)),
IF(B229=5,
        INDEX(Tabla13[Cta Iva 10], MATCH($A229, Tabla1[N Doc], 0)),
IF(B229=6,
        INDEX(Tabla1[Cuenta contable], MATCH($A229, Tabla1[N Doc], 0)),
IF(B229=7,
        INDEX(Tabla1[Cuenta contable], MATCH($A229, Tabla1[N Doc], 0)),
IF(B229=8,
        IF(INDEX(Tabla1[Tipo IVA], MATCH($A229, Tabla1[N Doc], 0))="22%",
             INDEX(Tabla13[Cta Iva 22], MATCH($A229, Tabla1[N Doc], 0)),
             INDEX(Tabla13[Cta Iva 10], MATCH($A229, Tabla1[N Doc], 0))),
IF(B229=9,
        INDEX(Tabla1[Cuenta contable], MATCH($A229, Tabla1[N Doc], 0))
)))))))))))</f>
        <v>#REF!</v>
      </c>
      <c r="F229" t="e">
        <f>IF(OR($A229="",$A229=0),"",IF(B229=1,
        INDEX(Tabla1[Importe total], MATCH($A229, Tabla1[N Doc], 0)),
IF(B229=2,
        INDEX(Tabla1[Base imponible 22], MATCH($A229, Tabla1[N Doc], 0)),
IF(B229=3,
        INDEX(Tabla1[Iva 22], MATCH($A229, Tabla1[N Doc], 0)),
IF(B229=4,
        INDEX(Tabla1[Base imponible 10], MATCH($A229, Tabla1[N Doc], 0)),
IF(B229=5,
        INDEX(Tabla1[Iva 10], MATCH($A229, Tabla1[N Doc], 0)),
IF(B229=6,
        INDEX(Tabla1[Exento], MATCH($A229, Tabla1[N Doc], 0)),
IF(B229=7,
        INDEX(#REF!, MATCH($A229, Tabla1[N Doc], 0)),
IF(B229=8,
        INDEX(#REF!, MATCH($A229, Tabla1[N Doc], 0)),
IF(B229=9,
        INDEX(Tabla1[Descuentos], MATCH($A229, Tabla1[N Doc], 0)),
""))))))))))</f>
        <v>#REF!</v>
      </c>
      <c r="G229" t="e">
        <f>IF(OR($A229="",$A229=0),"",IF(OR(B229=2,B229=4,B229=6,B229=7),
    INDEX(Tabla13[Ind impuestos], MATCH($A229, Tabla13[N Doc], 0)),
""))</f>
        <v>#REF!</v>
      </c>
      <c r="J229" t="e">
        <f>IF(OR($A229="",$A229=0),"",IF(OR(B229=2,B229=4,B229=6,B229=7),
    INDEX(Tabla1[CECO], MATCH($A229, Tabla1[N Doc], 0)),
""))</f>
        <v>#REF!</v>
      </c>
      <c r="M229" t="e">
        <f>IF(C229=31,INDEX(Tabla1[Descripción], MATCH($A229, Tabla1[N Doc], 0)),"")</f>
        <v>#REF!</v>
      </c>
    </row>
    <row r="230" spans="1:13" x14ac:dyDescent="0.3">
      <c r="A230" t="e" cm="1">
        <f t="array" ref="A230">INDEX(Tabla1[N Doc], ROUNDUP((ROW()-1)/9, 0))</f>
        <v>#REF!</v>
      </c>
      <c r="B230" t="e">
        <f>IF(OR(A230="",A230=0),"",CHOOSE(
    COUNTIF($A$2:A230,A230),
    1,2,3,4,5,6,7,8,9
))</f>
        <v>#REF!</v>
      </c>
      <c r="C230" t="e">
        <f t="shared" si="3"/>
        <v>#REF!</v>
      </c>
      <c r="D230" s="7" t="e" cm="1">
        <f t="array" ref="D230">IF(OR($A230="",$A230=0),"",
IF(AND(INDEX(Formulario!$H$14:$H$100, $A230)="Si", C230&lt;&gt;31),
        VLOOKUP("cta puente",'Descripciones de gastos'!G:H, 2, FALSE),
IF(B230=1,
        INDEX(Tabla13[Titular], MATCH($A230, Tabla1[N Doc], 0)),
IF(B230=2,
        INDEX(Tabla1[Cuenta contable], MATCH($A230, Tabla1[N Doc], 0)),
IF(B230=3,
        INDEX(Tabla13[Cta Iva 22], MATCH($A230, Tabla1[N Doc], 0)),
IF(B230=4,
        INDEX(Tabla1[Cuenta contable], MATCH($A230, Tabla1[N Doc], 0)),
IF(B230=5,
        INDEX(Tabla13[Cta Iva 10], MATCH($A230, Tabla1[N Doc], 0)),
IF(B230=6,
        INDEX(Tabla1[Cuenta contable], MATCH($A230, Tabla1[N Doc], 0)),
IF(B230=7,
        INDEX(Tabla1[Cuenta contable], MATCH($A230, Tabla1[N Doc], 0)),
IF(B230=8,
        IF(INDEX(Tabla1[Tipo IVA], MATCH($A230, Tabla1[N Doc], 0))="22%",
             INDEX(Tabla13[Cta Iva 22], MATCH($A230, Tabla1[N Doc], 0)),
             INDEX(Tabla13[Cta Iva 10], MATCH($A230, Tabla1[N Doc], 0))),
IF(B230=9,
        INDEX(Tabla1[Cuenta contable], MATCH($A230, Tabla1[N Doc], 0))
)))))))))))</f>
        <v>#REF!</v>
      </c>
      <c r="F230" t="e">
        <f>IF(OR($A230="",$A230=0),"",IF(B230=1,
        INDEX(Tabla1[Importe total], MATCH($A230, Tabla1[N Doc], 0)),
IF(B230=2,
        INDEX(Tabla1[Base imponible 22], MATCH($A230, Tabla1[N Doc], 0)),
IF(B230=3,
        INDEX(Tabla1[Iva 22], MATCH($A230, Tabla1[N Doc], 0)),
IF(B230=4,
        INDEX(Tabla1[Base imponible 10], MATCH($A230, Tabla1[N Doc], 0)),
IF(B230=5,
        INDEX(Tabla1[Iva 10], MATCH($A230, Tabla1[N Doc], 0)),
IF(B230=6,
        INDEX(Tabla1[Exento], MATCH($A230, Tabla1[N Doc], 0)),
IF(B230=7,
        INDEX(#REF!, MATCH($A230, Tabla1[N Doc], 0)),
IF(B230=8,
        INDEX(#REF!, MATCH($A230, Tabla1[N Doc], 0)),
IF(B230=9,
        INDEX(Tabla1[Descuentos], MATCH($A230, Tabla1[N Doc], 0)),
""))))))))))</f>
        <v>#REF!</v>
      </c>
      <c r="G230" t="e">
        <f>IF(OR($A230="",$A230=0),"",IF(OR(B230=2,B230=4,B230=6,B230=7),
    INDEX(Tabla13[Ind impuestos], MATCH($A230, Tabla13[N Doc], 0)),
""))</f>
        <v>#REF!</v>
      </c>
      <c r="J230" t="e">
        <f>IF(OR($A230="",$A230=0),"",IF(OR(B230=2,B230=4,B230=6,B230=7),
    INDEX(Tabla1[CECO], MATCH($A230, Tabla1[N Doc], 0)),
""))</f>
        <v>#REF!</v>
      </c>
      <c r="M230" t="e">
        <f>IF(C230=31,INDEX(Tabla1[Descripción], MATCH($A230, Tabla1[N Doc], 0)),"")</f>
        <v>#REF!</v>
      </c>
    </row>
    <row r="231" spans="1:13" x14ac:dyDescent="0.3">
      <c r="A231" t="e" cm="1">
        <f t="array" ref="A231">INDEX(Tabla1[N Doc], ROUNDUP((ROW()-1)/9, 0))</f>
        <v>#REF!</v>
      </c>
      <c r="B231" t="e">
        <f>IF(OR(A231="",A231=0),"",CHOOSE(
    COUNTIF($A$2:A231,A231),
    1,2,3,4,5,6,7,8,9
))</f>
        <v>#REF!</v>
      </c>
      <c r="C231" t="e">
        <f t="shared" si="3"/>
        <v>#REF!</v>
      </c>
      <c r="D231" s="7" t="e" cm="1">
        <f t="array" ref="D231">IF(OR($A231="",$A231=0),"",
IF(AND(INDEX(Formulario!$H$14:$H$100, $A231)="Si", C231&lt;&gt;31),
        VLOOKUP("cta puente",'Descripciones de gastos'!G:H, 2, FALSE),
IF(B231=1,
        INDEX(Tabla13[Titular], MATCH($A231, Tabla1[N Doc], 0)),
IF(B231=2,
        INDEX(Tabla1[Cuenta contable], MATCH($A231, Tabla1[N Doc], 0)),
IF(B231=3,
        INDEX(Tabla13[Cta Iva 22], MATCH($A231, Tabla1[N Doc], 0)),
IF(B231=4,
        INDEX(Tabla1[Cuenta contable], MATCH($A231, Tabla1[N Doc], 0)),
IF(B231=5,
        INDEX(Tabla13[Cta Iva 10], MATCH($A231, Tabla1[N Doc], 0)),
IF(B231=6,
        INDEX(Tabla1[Cuenta contable], MATCH($A231, Tabla1[N Doc], 0)),
IF(B231=7,
        INDEX(Tabla1[Cuenta contable], MATCH($A231, Tabla1[N Doc], 0)),
IF(B231=8,
        IF(INDEX(Tabla1[Tipo IVA], MATCH($A231, Tabla1[N Doc], 0))="22%",
             INDEX(Tabla13[Cta Iva 22], MATCH($A231, Tabla1[N Doc], 0)),
             INDEX(Tabla13[Cta Iva 10], MATCH($A231, Tabla1[N Doc], 0))),
IF(B231=9,
        INDEX(Tabla1[Cuenta contable], MATCH($A231, Tabla1[N Doc], 0))
)))))))))))</f>
        <v>#REF!</v>
      </c>
      <c r="F231" t="e">
        <f>IF(OR($A231="",$A231=0),"",IF(B231=1,
        INDEX(Tabla1[Importe total], MATCH($A231, Tabla1[N Doc], 0)),
IF(B231=2,
        INDEX(Tabla1[Base imponible 22], MATCH($A231, Tabla1[N Doc], 0)),
IF(B231=3,
        INDEX(Tabla1[Iva 22], MATCH($A231, Tabla1[N Doc], 0)),
IF(B231=4,
        INDEX(Tabla1[Base imponible 10], MATCH($A231, Tabla1[N Doc], 0)),
IF(B231=5,
        INDEX(Tabla1[Iva 10], MATCH($A231, Tabla1[N Doc], 0)),
IF(B231=6,
        INDEX(Tabla1[Exento], MATCH($A231, Tabla1[N Doc], 0)),
IF(B231=7,
        INDEX(#REF!, MATCH($A231, Tabla1[N Doc], 0)),
IF(B231=8,
        INDEX(#REF!, MATCH($A231, Tabla1[N Doc], 0)),
IF(B231=9,
        INDEX(Tabla1[Descuentos], MATCH($A231, Tabla1[N Doc], 0)),
""))))))))))</f>
        <v>#REF!</v>
      </c>
      <c r="G231" t="e">
        <f>IF(OR($A231="",$A231=0),"",IF(OR(B231=2,B231=4,B231=6,B231=7),
    INDEX(Tabla13[Ind impuestos], MATCH($A231, Tabla13[N Doc], 0)),
""))</f>
        <v>#REF!</v>
      </c>
      <c r="J231" t="e">
        <f>IF(OR($A231="",$A231=0),"",IF(OR(B231=2,B231=4,B231=6,B231=7),
    INDEX(Tabla1[CECO], MATCH($A231, Tabla1[N Doc], 0)),
""))</f>
        <v>#REF!</v>
      </c>
      <c r="M231" t="e">
        <f>IF(C231=31,INDEX(Tabla1[Descripción], MATCH($A231, Tabla1[N Doc], 0)),"")</f>
        <v>#REF!</v>
      </c>
    </row>
    <row r="232" spans="1:13" x14ac:dyDescent="0.3">
      <c r="A232" t="e" cm="1">
        <f t="array" ref="A232">INDEX(Tabla1[N Doc], ROUNDUP((ROW()-1)/9, 0))</f>
        <v>#REF!</v>
      </c>
      <c r="B232" t="e">
        <f>IF(OR(A232="",A232=0),"",CHOOSE(
    COUNTIF($A$2:A232,A232),
    1,2,3,4,5,6,7,8,9
))</f>
        <v>#REF!</v>
      </c>
      <c r="C232" t="e">
        <f t="shared" si="3"/>
        <v>#REF!</v>
      </c>
      <c r="D232" s="7" t="e" cm="1">
        <f t="array" ref="D232">IF(OR($A232="",$A232=0),"",
IF(AND(INDEX(Formulario!$H$14:$H$100, $A232)="Si", C232&lt;&gt;31),
        VLOOKUP("cta puente",'Descripciones de gastos'!G:H, 2, FALSE),
IF(B232=1,
        INDEX(Tabla13[Titular], MATCH($A232, Tabla1[N Doc], 0)),
IF(B232=2,
        INDEX(Tabla1[Cuenta contable], MATCH($A232, Tabla1[N Doc], 0)),
IF(B232=3,
        INDEX(Tabla13[Cta Iva 22], MATCH($A232, Tabla1[N Doc], 0)),
IF(B232=4,
        INDEX(Tabla1[Cuenta contable], MATCH($A232, Tabla1[N Doc], 0)),
IF(B232=5,
        INDEX(Tabla13[Cta Iva 10], MATCH($A232, Tabla1[N Doc], 0)),
IF(B232=6,
        INDEX(Tabla1[Cuenta contable], MATCH($A232, Tabla1[N Doc], 0)),
IF(B232=7,
        INDEX(Tabla1[Cuenta contable], MATCH($A232, Tabla1[N Doc], 0)),
IF(B232=8,
        IF(INDEX(Tabla1[Tipo IVA], MATCH($A232, Tabla1[N Doc], 0))="22%",
             INDEX(Tabla13[Cta Iva 22], MATCH($A232, Tabla1[N Doc], 0)),
             INDEX(Tabla13[Cta Iva 10], MATCH($A232, Tabla1[N Doc], 0))),
IF(B232=9,
        INDEX(Tabla1[Cuenta contable], MATCH($A232, Tabla1[N Doc], 0))
)))))))))))</f>
        <v>#REF!</v>
      </c>
      <c r="F232" t="e">
        <f>IF(OR($A232="",$A232=0),"",IF(B232=1,
        INDEX(Tabla1[Importe total], MATCH($A232, Tabla1[N Doc], 0)),
IF(B232=2,
        INDEX(Tabla1[Base imponible 22], MATCH($A232, Tabla1[N Doc], 0)),
IF(B232=3,
        INDEX(Tabla1[Iva 22], MATCH($A232, Tabla1[N Doc], 0)),
IF(B232=4,
        INDEX(Tabla1[Base imponible 10], MATCH($A232, Tabla1[N Doc], 0)),
IF(B232=5,
        INDEX(Tabla1[Iva 10], MATCH($A232, Tabla1[N Doc], 0)),
IF(B232=6,
        INDEX(Tabla1[Exento], MATCH($A232, Tabla1[N Doc], 0)),
IF(B232=7,
        INDEX(#REF!, MATCH($A232, Tabla1[N Doc], 0)),
IF(B232=8,
        INDEX(#REF!, MATCH($A232, Tabla1[N Doc], 0)),
IF(B232=9,
        INDEX(Tabla1[Descuentos], MATCH($A232, Tabla1[N Doc], 0)),
""))))))))))</f>
        <v>#REF!</v>
      </c>
      <c r="G232" t="e">
        <f>IF(OR($A232="",$A232=0),"",IF(OR(B232=2,B232=4,B232=6,B232=7),
    INDEX(Tabla13[Ind impuestos], MATCH($A232, Tabla13[N Doc], 0)),
""))</f>
        <v>#REF!</v>
      </c>
      <c r="J232" t="e">
        <f>IF(OR($A232="",$A232=0),"",IF(OR(B232=2,B232=4,B232=6,B232=7),
    INDEX(Tabla1[CECO], MATCH($A232, Tabla1[N Doc], 0)),
""))</f>
        <v>#REF!</v>
      </c>
      <c r="M232" t="e">
        <f>IF(C232=31,INDEX(Tabla1[Descripción], MATCH($A232, Tabla1[N Doc], 0)),"")</f>
        <v>#REF!</v>
      </c>
    </row>
    <row r="233" spans="1:13" x14ac:dyDescent="0.3">
      <c r="A233" t="e" cm="1">
        <f t="array" ref="A233">INDEX(Tabla1[N Doc], ROUNDUP((ROW()-1)/9, 0))</f>
        <v>#REF!</v>
      </c>
      <c r="B233" t="e">
        <f>IF(OR(A233="",A233=0),"",CHOOSE(
    COUNTIF($A$2:A233,A233),
    1,2,3,4,5,6,7,8,9
))</f>
        <v>#REF!</v>
      </c>
      <c r="C233" t="e">
        <f t="shared" si="3"/>
        <v>#REF!</v>
      </c>
      <c r="D233" s="7" t="e" cm="1">
        <f t="array" ref="D233">IF(OR($A233="",$A233=0),"",
IF(AND(INDEX(Formulario!$H$14:$H$100, $A233)="Si", C233&lt;&gt;31),
        VLOOKUP("cta puente",'Descripciones de gastos'!G:H, 2, FALSE),
IF(B233=1,
        INDEX(Tabla13[Titular], MATCH($A233, Tabla1[N Doc], 0)),
IF(B233=2,
        INDEX(Tabla1[Cuenta contable], MATCH($A233, Tabla1[N Doc], 0)),
IF(B233=3,
        INDEX(Tabla13[Cta Iva 22], MATCH($A233, Tabla1[N Doc], 0)),
IF(B233=4,
        INDEX(Tabla1[Cuenta contable], MATCH($A233, Tabla1[N Doc], 0)),
IF(B233=5,
        INDEX(Tabla13[Cta Iva 10], MATCH($A233, Tabla1[N Doc], 0)),
IF(B233=6,
        INDEX(Tabla1[Cuenta contable], MATCH($A233, Tabla1[N Doc], 0)),
IF(B233=7,
        INDEX(Tabla1[Cuenta contable], MATCH($A233, Tabla1[N Doc], 0)),
IF(B233=8,
        IF(INDEX(Tabla1[Tipo IVA], MATCH($A233, Tabla1[N Doc], 0))="22%",
             INDEX(Tabla13[Cta Iva 22], MATCH($A233, Tabla1[N Doc], 0)),
             INDEX(Tabla13[Cta Iva 10], MATCH($A233, Tabla1[N Doc], 0))),
IF(B233=9,
        INDEX(Tabla1[Cuenta contable], MATCH($A233, Tabla1[N Doc], 0))
)))))))))))</f>
        <v>#REF!</v>
      </c>
      <c r="F233" t="e">
        <f>IF(OR($A233="",$A233=0),"",IF(B233=1,
        INDEX(Tabla1[Importe total], MATCH($A233, Tabla1[N Doc], 0)),
IF(B233=2,
        INDEX(Tabla1[Base imponible 22], MATCH($A233, Tabla1[N Doc], 0)),
IF(B233=3,
        INDEX(Tabla1[Iva 22], MATCH($A233, Tabla1[N Doc], 0)),
IF(B233=4,
        INDEX(Tabla1[Base imponible 10], MATCH($A233, Tabla1[N Doc], 0)),
IF(B233=5,
        INDEX(Tabla1[Iva 10], MATCH($A233, Tabla1[N Doc], 0)),
IF(B233=6,
        INDEX(Tabla1[Exento], MATCH($A233, Tabla1[N Doc], 0)),
IF(B233=7,
        INDEX(#REF!, MATCH($A233, Tabla1[N Doc], 0)),
IF(B233=8,
        INDEX(#REF!, MATCH($A233, Tabla1[N Doc], 0)),
IF(B233=9,
        INDEX(Tabla1[Descuentos], MATCH($A233, Tabla1[N Doc], 0)),
""))))))))))</f>
        <v>#REF!</v>
      </c>
      <c r="G233" t="e">
        <f>IF(OR($A233="",$A233=0),"",IF(OR(B233=2,B233=4,B233=6,B233=7),
    INDEX(Tabla13[Ind impuestos], MATCH($A233, Tabla13[N Doc], 0)),
""))</f>
        <v>#REF!</v>
      </c>
      <c r="J233" t="e">
        <f>IF(OR($A233="",$A233=0),"",IF(OR(B233=2,B233=4,B233=6,B233=7),
    INDEX(Tabla1[CECO], MATCH($A233, Tabla1[N Doc], 0)),
""))</f>
        <v>#REF!</v>
      </c>
      <c r="M233" t="e">
        <f>IF(C233=31,INDEX(Tabla1[Descripción], MATCH($A233, Tabla1[N Doc], 0)),"")</f>
        <v>#REF!</v>
      </c>
    </row>
    <row r="234" spans="1:13" x14ac:dyDescent="0.3">
      <c r="A234" t="e" cm="1">
        <f t="array" ref="A234">INDEX(Tabla1[N Doc], ROUNDUP((ROW()-1)/9, 0))</f>
        <v>#REF!</v>
      </c>
      <c r="B234" t="e">
        <f>IF(OR(A234="",A234=0),"",CHOOSE(
    COUNTIF($A$2:A234,A234),
    1,2,3,4,5,6,7,8,9
))</f>
        <v>#REF!</v>
      </c>
      <c r="C234" t="e">
        <f t="shared" si="3"/>
        <v>#REF!</v>
      </c>
      <c r="D234" s="7" t="e" cm="1">
        <f t="array" ref="D234">IF(OR($A234="",$A234=0),"",
IF(AND(INDEX(Formulario!$H$14:$H$100, $A234)="Si", C234&lt;&gt;31),
        VLOOKUP("cta puente",'Descripciones de gastos'!G:H, 2, FALSE),
IF(B234=1,
        INDEX(Tabla13[Titular], MATCH($A234, Tabla1[N Doc], 0)),
IF(B234=2,
        INDEX(Tabla1[Cuenta contable], MATCH($A234, Tabla1[N Doc], 0)),
IF(B234=3,
        INDEX(Tabla13[Cta Iva 22], MATCH($A234, Tabla1[N Doc], 0)),
IF(B234=4,
        INDEX(Tabla1[Cuenta contable], MATCH($A234, Tabla1[N Doc], 0)),
IF(B234=5,
        INDEX(Tabla13[Cta Iva 10], MATCH($A234, Tabla1[N Doc], 0)),
IF(B234=6,
        INDEX(Tabla1[Cuenta contable], MATCH($A234, Tabla1[N Doc], 0)),
IF(B234=7,
        INDEX(Tabla1[Cuenta contable], MATCH($A234, Tabla1[N Doc], 0)),
IF(B234=8,
        IF(INDEX(Tabla1[Tipo IVA], MATCH($A234, Tabla1[N Doc], 0))="22%",
             INDEX(Tabla13[Cta Iva 22], MATCH($A234, Tabla1[N Doc], 0)),
             INDEX(Tabla13[Cta Iva 10], MATCH($A234, Tabla1[N Doc], 0))),
IF(B234=9,
        INDEX(Tabla1[Cuenta contable], MATCH($A234, Tabla1[N Doc], 0))
)))))))))))</f>
        <v>#REF!</v>
      </c>
      <c r="F234" t="e">
        <f>IF(OR($A234="",$A234=0),"",IF(B234=1,
        INDEX(Tabla1[Importe total], MATCH($A234, Tabla1[N Doc], 0)),
IF(B234=2,
        INDEX(Tabla1[Base imponible 22], MATCH($A234, Tabla1[N Doc], 0)),
IF(B234=3,
        INDEX(Tabla1[Iva 22], MATCH($A234, Tabla1[N Doc], 0)),
IF(B234=4,
        INDEX(Tabla1[Base imponible 10], MATCH($A234, Tabla1[N Doc], 0)),
IF(B234=5,
        INDEX(Tabla1[Iva 10], MATCH($A234, Tabla1[N Doc], 0)),
IF(B234=6,
        INDEX(Tabla1[Exento], MATCH($A234, Tabla1[N Doc], 0)),
IF(B234=7,
        INDEX(#REF!, MATCH($A234, Tabla1[N Doc], 0)),
IF(B234=8,
        INDEX(#REF!, MATCH($A234, Tabla1[N Doc], 0)),
IF(B234=9,
        INDEX(Tabla1[Descuentos], MATCH($A234, Tabla1[N Doc], 0)),
""))))))))))</f>
        <v>#REF!</v>
      </c>
      <c r="G234" t="e">
        <f>IF(OR($A234="",$A234=0),"",IF(OR(B234=2,B234=4,B234=6,B234=7),
    INDEX(Tabla13[Ind impuestos], MATCH($A234, Tabla13[N Doc], 0)),
""))</f>
        <v>#REF!</v>
      </c>
      <c r="J234" t="e">
        <f>IF(OR($A234="",$A234=0),"",IF(OR(B234=2,B234=4,B234=6,B234=7),
    INDEX(Tabla1[CECO], MATCH($A234, Tabla1[N Doc], 0)),
""))</f>
        <v>#REF!</v>
      </c>
      <c r="M234" t="e">
        <f>IF(C234=31,INDEX(Tabla1[Descripción], MATCH($A234, Tabla1[N Doc], 0)),"")</f>
        <v>#REF!</v>
      </c>
    </row>
    <row r="235" spans="1:13" x14ac:dyDescent="0.3">
      <c r="A235" t="e" cm="1">
        <f t="array" ref="A235">INDEX(Tabla1[N Doc], ROUNDUP((ROW()-1)/9, 0))</f>
        <v>#REF!</v>
      </c>
      <c r="B235" t="e">
        <f>IF(OR(A235="",A235=0),"",CHOOSE(
    COUNTIF($A$2:A235,A235),
    1,2,3,4,5,6,7,8,9
))</f>
        <v>#REF!</v>
      </c>
      <c r="C235" t="e">
        <f t="shared" si="3"/>
        <v>#REF!</v>
      </c>
      <c r="D235" s="7" t="e" cm="1">
        <f t="array" ref="D235">IF(OR($A235="",$A235=0),"",
IF(AND(INDEX(Formulario!$H$14:$H$100, $A235)="Si", C235&lt;&gt;31),
        VLOOKUP("cta puente",'Descripciones de gastos'!G:H, 2, FALSE),
IF(B235=1,
        INDEX(Tabla13[Titular], MATCH($A235, Tabla1[N Doc], 0)),
IF(B235=2,
        INDEX(Tabla1[Cuenta contable], MATCH($A235, Tabla1[N Doc], 0)),
IF(B235=3,
        INDEX(Tabla13[Cta Iva 22], MATCH($A235, Tabla1[N Doc], 0)),
IF(B235=4,
        INDEX(Tabla1[Cuenta contable], MATCH($A235, Tabla1[N Doc], 0)),
IF(B235=5,
        INDEX(Tabla13[Cta Iva 10], MATCH($A235, Tabla1[N Doc], 0)),
IF(B235=6,
        INDEX(Tabla1[Cuenta contable], MATCH($A235, Tabla1[N Doc], 0)),
IF(B235=7,
        INDEX(Tabla1[Cuenta contable], MATCH($A235, Tabla1[N Doc], 0)),
IF(B235=8,
        IF(INDEX(Tabla1[Tipo IVA], MATCH($A235, Tabla1[N Doc], 0))="22%",
             INDEX(Tabla13[Cta Iva 22], MATCH($A235, Tabla1[N Doc], 0)),
             INDEX(Tabla13[Cta Iva 10], MATCH($A235, Tabla1[N Doc], 0))),
IF(B235=9,
        INDEX(Tabla1[Cuenta contable], MATCH($A235, Tabla1[N Doc], 0))
)))))))))))</f>
        <v>#REF!</v>
      </c>
      <c r="F235" t="e">
        <f>IF(OR($A235="",$A235=0),"",IF(B235=1,
        INDEX(Tabla1[Importe total], MATCH($A235, Tabla1[N Doc], 0)),
IF(B235=2,
        INDEX(Tabla1[Base imponible 22], MATCH($A235, Tabla1[N Doc], 0)),
IF(B235=3,
        INDEX(Tabla1[Iva 22], MATCH($A235, Tabla1[N Doc], 0)),
IF(B235=4,
        INDEX(Tabla1[Base imponible 10], MATCH($A235, Tabla1[N Doc], 0)),
IF(B235=5,
        INDEX(Tabla1[Iva 10], MATCH($A235, Tabla1[N Doc], 0)),
IF(B235=6,
        INDEX(Tabla1[Exento], MATCH($A235, Tabla1[N Doc], 0)),
IF(B235=7,
        INDEX(#REF!, MATCH($A235, Tabla1[N Doc], 0)),
IF(B235=8,
        INDEX(#REF!, MATCH($A235, Tabla1[N Doc], 0)),
IF(B235=9,
        INDEX(Tabla1[Descuentos], MATCH($A235, Tabla1[N Doc], 0)),
""))))))))))</f>
        <v>#REF!</v>
      </c>
      <c r="G235" t="e">
        <f>IF(OR($A235="",$A235=0),"",IF(OR(B235=2,B235=4,B235=6,B235=7),
    INDEX(Tabla13[Ind impuestos], MATCH($A235, Tabla13[N Doc], 0)),
""))</f>
        <v>#REF!</v>
      </c>
      <c r="J235" t="e">
        <f>IF(OR($A235="",$A235=0),"",IF(OR(B235=2,B235=4,B235=6,B235=7),
    INDEX(Tabla1[CECO], MATCH($A235, Tabla1[N Doc], 0)),
""))</f>
        <v>#REF!</v>
      </c>
      <c r="M235" t="e">
        <f>IF(C235=31,INDEX(Tabla1[Descripción], MATCH($A235, Tabla1[N Doc], 0)),"")</f>
        <v>#REF!</v>
      </c>
    </row>
    <row r="236" spans="1:13" x14ac:dyDescent="0.3">
      <c r="A236" t="e" cm="1">
        <f t="array" ref="A236">INDEX(Tabla1[N Doc], ROUNDUP((ROW()-1)/9, 0))</f>
        <v>#REF!</v>
      </c>
      <c r="B236" t="e">
        <f>IF(OR(A236="",A236=0),"",CHOOSE(
    COUNTIF($A$2:A236,A236),
    1,2,3,4,5,6,7,8,9
))</f>
        <v>#REF!</v>
      </c>
      <c r="C236" t="e">
        <f t="shared" si="3"/>
        <v>#REF!</v>
      </c>
      <c r="D236" s="7" t="e" cm="1">
        <f t="array" ref="D236">IF(OR($A236="",$A236=0),"",
IF(AND(INDEX(Formulario!$H$14:$H$100, $A236)="Si", C236&lt;&gt;31),
        VLOOKUP("cta puente",'Descripciones de gastos'!G:H, 2, FALSE),
IF(B236=1,
        INDEX(Tabla13[Titular], MATCH($A236, Tabla1[N Doc], 0)),
IF(B236=2,
        INDEX(Tabla1[Cuenta contable], MATCH($A236, Tabla1[N Doc], 0)),
IF(B236=3,
        INDEX(Tabla13[Cta Iva 22], MATCH($A236, Tabla1[N Doc], 0)),
IF(B236=4,
        INDEX(Tabla1[Cuenta contable], MATCH($A236, Tabla1[N Doc], 0)),
IF(B236=5,
        INDEX(Tabla13[Cta Iva 10], MATCH($A236, Tabla1[N Doc], 0)),
IF(B236=6,
        INDEX(Tabla1[Cuenta contable], MATCH($A236, Tabla1[N Doc], 0)),
IF(B236=7,
        INDEX(Tabla1[Cuenta contable], MATCH($A236, Tabla1[N Doc], 0)),
IF(B236=8,
        IF(INDEX(Tabla1[Tipo IVA], MATCH($A236, Tabla1[N Doc], 0))="22%",
             INDEX(Tabla13[Cta Iva 22], MATCH($A236, Tabla1[N Doc], 0)),
             INDEX(Tabla13[Cta Iva 10], MATCH($A236, Tabla1[N Doc], 0))),
IF(B236=9,
        INDEX(Tabla1[Cuenta contable], MATCH($A236, Tabla1[N Doc], 0))
)))))))))))</f>
        <v>#REF!</v>
      </c>
      <c r="F236" t="e">
        <f>IF(OR($A236="",$A236=0),"",IF(B236=1,
        INDEX(Tabla1[Importe total], MATCH($A236, Tabla1[N Doc], 0)),
IF(B236=2,
        INDEX(Tabla1[Base imponible 22], MATCH($A236, Tabla1[N Doc], 0)),
IF(B236=3,
        INDEX(Tabla1[Iva 22], MATCH($A236, Tabla1[N Doc], 0)),
IF(B236=4,
        INDEX(Tabla1[Base imponible 10], MATCH($A236, Tabla1[N Doc], 0)),
IF(B236=5,
        INDEX(Tabla1[Iva 10], MATCH($A236, Tabla1[N Doc], 0)),
IF(B236=6,
        INDEX(Tabla1[Exento], MATCH($A236, Tabla1[N Doc], 0)),
IF(B236=7,
        INDEX(#REF!, MATCH($A236, Tabla1[N Doc], 0)),
IF(B236=8,
        INDEX(#REF!, MATCH($A236, Tabla1[N Doc], 0)),
IF(B236=9,
        INDEX(Tabla1[Descuentos], MATCH($A236, Tabla1[N Doc], 0)),
""))))))))))</f>
        <v>#REF!</v>
      </c>
      <c r="G236" t="e">
        <f>IF(OR($A236="",$A236=0),"",IF(OR(B236=2,B236=4,B236=6,B236=7),
    INDEX(Tabla13[Ind impuestos], MATCH($A236, Tabla13[N Doc], 0)),
""))</f>
        <v>#REF!</v>
      </c>
      <c r="J236" t="e">
        <f>IF(OR($A236="",$A236=0),"",IF(OR(B236=2,B236=4,B236=6,B236=7),
    INDEX(Tabla1[CECO], MATCH($A236, Tabla1[N Doc], 0)),
""))</f>
        <v>#REF!</v>
      </c>
      <c r="M236" t="e">
        <f>IF(C236=31,INDEX(Tabla1[Descripción], MATCH($A236, Tabla1[N Doc], 0)),"")</f>
        <v>#REF!</v>
      </c>
    </row>
    <row r="237" spans="1:13" x14ac:dyDescent="0.3">
      <c r="A237" t="e" cm="1">
        <f t="array" ref="A237">INDEX(Tabla1[N Doc], ROUNDUP((ROW()-1)/9, 0))</f>
        <v>#REF!</v>
      </c>
      <c r="B237" t="e">
        <f>IF(OR(A237="",A237=0),"",CHOOSE(
    COUNTIF($A$2:A237,A237),
    1,2,3,4,5,6,7,8,9
))</f>
        <v>#REF!</v>
      </c>
      <c r="C237" t="e">
        <f t="shared" si="3"/>
        <v>#REF!</v>
      </c>
      <c r="D237" s="7" t="e" cm="1">
        <f t="array" ref="D237">IF(OR($A237="",$A237=0),"",
IF(AND(INDEX(Formulario!$H$14:$H$100, $A237)="Si", C237&lt;&gt;31),
        VLOOKUP("cta puente",'Descripciones de gastos'!G:H, 2, FALSE),
IF(B237=1,
        INDEX(Tabla13[Titular], MATCH($A237, Tabla1[N Doc], 0)),
IF(B237=2,
        INDEX(Tabla1[Cuenta contable], MATCH($A237, Tabla1[N Doc], 0)),
IF(B237=3,
        INDEX(Tabla13[Cta Iva 22], MATCH($A237, Tabla1[N Doc], 0)),
IF(B237=4,
        INDEX(Tabla1[Cuenta contable], MATCH($A237, Tabla1[N Doc], 0)),
IF(B237=5,
        INDEX(Tabla13[Cta Iva 10], MATCH($A237, Tabla1[N Doc], 0)),
IF(B237=6,
        INDEX(Tabla1[Cuenta contable], MATCH($A237, Tabla1[N Doc], 0)),
IF(B237=7,
        INDEX(Tabla1[Cuenta contable], MATCH($A237, Tabla1[N Doc], 0)),
IF(B237=8,
        IF(INDEX(Tabla1[Tipo IVA], MATCH($A237, Tabla1[N Doc], 0))="22%",
             INDEX(Tabla13[Cta Iva 22], MATCH($A237, Tabla1[N Doc], 0)),
             INDEX(Tabla13[Cta Iva 10], MATCH($A237, Tabla1[N Doc], 0))),
IF(B237=9,
        INDEX(Tabla1[Cuenta contable], MATCH($A237, Tabla1[N Doc], 0))
)))))))))))</f>
        <v>#REF!</v>
      </c>
      <c r="F237" t="e">
        <f>IF(OR($A237="",$A237=0),"",IF(B237=1,
        INDEX(Tabla1[Importe total], MATCH($A237, Tabla1[N Doc], 0)),
IF(B237=2,
        INDEX(Tabla1[Base imponible 22], MATCH($A237, Tabla1[N Doc], 0)),
IF(B237=3,
        INDEX(Tabla1[Iva 22], MATCH($A237, Tabla1[N Doc], 0)),
IF(B237=4,
        INDEX(Tabla1[Base imponible 10], MATCH($A237, Tabla1[N Doc], 0)),
IF(B237=5,
        INDEX(Tabla1[Iva 10], MATCH($A237, Tabla1[N Doc], 0)),
IF(B237=6,
        INDEX(Tabla1[Exento], MATCH($A237, Tabla1[N Doc], 0)),
IF(B237=7,
        INDEX(#REF!, MATCH($A237, Tabla1[N Doc], 0)),
IF(B237=8,
        INDEX(#REF!, MATCH($A237, Tabla1[N Doc], 0)),
IF(B237=9,
        INDEX(Tabla1[Descuentos], MATCH($A237, Tabla1[N Doc], 0)),
""))))))))))</f>
        <v>#REF!</v>
      </c>
      <c r="G237" t="e">
        <f>IF(OR($A237="",$A237=0),"",IF(OR(B237=2,B237=4,B237=6,B237=7),
    INDEX(Tabla13[Ind impuestos], MATCH($A237, Tabla13[N Doc], 0)),
""))</f>
        <v>#REF!</v>
      </c>
      <c r="J237" t="e">
        <f>IF(OR($A237="",$A237=0),"",IF(OR(B237=2,B237=4,B237=6,B237=7),
    INDEX(Tabla1[CECO], MATCH($A237, Tabla1[N Doc], 0)),
""))</f>
        <v>#REF!</v>
      </c>
      <c r="M237" t="e">
        <f>IF(C237=31,INDEX(Tabla1[Descripción], MATCH($A237, Tabla1[N Doc], 0)),"")</f>
        <v>#REF!</v>
      </c>
    </row>
    <row r="238" spans="1:13" x14ac:dyDescent="0.3">
      <c r="A238" t="e" cm="1">
        <f t="array" ref="A238">INDEX(Tabla1[N Doc], ROUNDUP((ROW()-1)/9, 0))</f>
        <v>#REF!</v>
      </c>
      <c r="B238" t="e">
        <f>IF(OR(A238="",A238=0),"",CHOOSE(
    COUNTIF($A$2:A238,A238),
    1,2,3,4,5,6,7,8,9
))</f>
        <v>#REF!</v>
      </c>
      <c r="C238" t="e">
        <f t="shared" si="3"/>
        <v>#REF!</v>
      </c>
      <c r="D238" s="7" t="e" cm="1">
        <f t="array" ref="D238">IF(OR($A238="",$A238=0),"",
IF(AND(INDEX(Formulario!$H$14:$H$100, $A238)="Si", C238&lt;&gt;31),
        VLOOKUP("cta puente",'Descripciones de gastos'!G:H, 2, FALSE),
IF(B238=1,
        INDEX(Tabla13[Titular], MATCH($A238, Tabla1[N Doc], 0)),
IF(B238=2,
        INDEX(Tabla1[Cuenta contable], MATCH($A238, Tabla1[N Doc], 0)),
IF(B238=3,
        INDEX(Tabla13[Cta Iva 22], MATCH($A238, Tabla1[N Doc], 0)),
IF(B238=4,
        INDEX(Tabla1[Cuenta contable], MATCH($A238, Tabla1[N Doc], 0)),
IF(B238=5,
        INDEX(Tabla13[Cta Iva 10], MATCH($A238, Tabla1[N Doc], 0)),
IF(B238=6,
        INDEX(Tabla1[Cuenta contable], MATCH($A238, Tabla1[N Doc], 0)),
IF(B238=7,
        INDEX(Tabla1[Cuenta contable], MATCH($A238, Tabla1[N Doc], 0)),
IF(B238=8,
        IF(INDEX(Tabla1[Tipo IVA], MATCH($A238, Tabla1[N Doc], 0))="22%",
             INDEX(Tabla13[Cta Iva 22], MATCH($A238, Tabla1[N Doc], 0)),
             INDEX(Tabla13[Cta Iva 10], MATCH($A238, Tabla1[N Doc], 0))),
IF(B238=9,
        INDEX(Tabla1[Cuenta contable], MATCH($A238, Tabla1[N Doc], 0))
)))))))))))</f>
        <v>#REF!</v>
      </c>
      <c r="F238" t="e">
        <f>IF(OR($A238="",$A238=0),"",IF(B238=1,
        INDEX(Tabla1[Importe total], MATCH($A238, Tabla1[N Doc], 0)),
IF(B238=2,
        INDEX(Tabla1[Base imponible 22], MATCH($A238, Tabla1[N Doc], 0)),
IF(B238=3,
        INDEX(Tabla1[Iva 22], MATCH($A238, Tabla1[N Doc], 0)),
IF(B238=4,
        INDEX(Tabla1[Base imponible 10], MATCH($A238, Tabla1[N Doc], 0)),
IF(B238=5,
        INDEX(Tabla1[Iva 10], MATCH($A238, Tabla1[N Doc], 0)),
IF(B238=6,
        INDEX(Tabla1[Exento], MATCH($A238, Tabla1[N Doc], 0)),
IF(B238=7,
        INDEX(#REF!, MATCH($A238, Tabla1[N Doc], 0)),
IF(B238=8,
        INDEX(#REF!, MATCH($A238, Tabla1[N Doc], 0)),
IF(B238=9,
        INDEX(Tabla1[Descuentos], MATCH($A238, Tabla1[N Doc], 0)),
""))))))))))</f>
        <v>#REF!</v>
      </c>
      <c r="G238" t="e">
        <f>IF(OR($A238="",$A238=0),"",IF(OR(B238=2,B238=4,B238=6,B238=7),
    INDEX(Tabla13[Ind impuestos], MATCH($A238, Tabla13[N Doc], 0)),
""))</f>
        <v>#REF!</v>
      </c>
      <c r="J238" t="e">
        <f>IF(OR($A238="",$A238=0),"",IF(OR(B238=2,B238=4,B238=6,B238=7),
    INDEX(Tabla1[CECO], MATCH($A238, Tabla1[N Doc], 0)),
""))</f>
        <v>#REF!</v>
      </c>
      <c r="M238" t="e">
        <f>IF(C238=31,INDEX(Tabla1[Descripción], MATCH($A238, Tabla1[N Doc], 0)),"")</f>
        <v>#REF!</v>
      </c>
    </row>
    <row r="239" spans="1:13" x14ac:dyDescent="0.3">
      <c r="A239" t="e" cm="1">
        <f t="array" ref="A239">INDEX(Tabla1[N Doc], ROUNDUP((ROW()-1)/9, 0))</f>
        <v>#REF!</v>
      </c>
      <c r="B239" t="e">
        <f>IF(OR(A239="",A239=0),"",CHOOSE(
    COUNTIF($A$2:A239,A239),
    1,2,3,4,5,6,7,8,9
))</f>
        <v>#REF!</v>
      </c>
      <c r="C239" t="e">
        <f t="shared" si="3"/>
        <v>#REF!</v>
      </c>
      <c r="D239" s="7" t="e" cm="1">
        <f t="array" ref="D239">IF(OR($A239="",$A239=0),"",
IF(AND(INDEX(Formulario!$H$14:$H$100, $A239)="Si", C239&lt;&gt;31),
        VLOOKUP("cta puente",'Descripciones de gastos'!G:H, 2, FALSE),
IF(B239=1,
        INDEX(Tabla13[Titular], MATCH($A239, Tabla1[N Doc], 0)),
IF(B239=2,
        INDEX(Tabla1[Cuenta contable], MATCH($A239, Tabla1[N Doc], 0)),
IF(B239=3,
        INDEX(Tabla13[Cta Iva 22], MATCH($A239, Tabla1[N Doc], 0)),
IF(B239=4,
        INDEX(Tabla1[Cuenta contable], MATCH($A239, Tabla1[N Doc], 0)),
IF(B239=5,
        INDEX(Tabla13[Cta Iva 10], MATCH($A239, Tabla1[N Doc], 0)),
IF(B239=6,
        INDEX(Tabla1[Cuenta contable], MATCH($A239, Tabla1[N Doc], 0)),
IF(B239=7,
        INDEX(Tabla1[Cuenta contable], MATCH($A239, Tabla1[N Doc], 0)),
IF(B239=8,
        IF(INDEX(Tabla1[Tipo IVA], MATCH($A239, Tabla1[N Doc], 0))="22%",
             INDEX(Tabla13[Cta Iva 22], MATCH($A239, Tabla1[N Doc], 0)),
             INDEX(Tabla13[Cta Iva 10], MATCH($A239, Tabla1[N Doc], 0))),
IF(B239=9,
        INDEX(Tabla1[Cuenta contable], MATCH($A239, Tabla1[N Doc], 0))
)))))))))))</f>
        <v>#REF!</v>
      </c>
      <c r="F239" t="e">
        <f>IF(OR($A239="",$A239=0),"",IF(B239=1,
        INDEX(Tabla1[Importe total], MATCH($A239, Tabla1[N Doc], 0)),
IF(B239=2,
        INDEX(Tabla1[Base imponible 22], MATCH($A239, Tabla1[N Doc], 0)),
IF(B239=3,
        INDEX(Tabla1[Iva 22], MATCH($A239, Tabla1[N Doc], 0)),
IF(B239=4,
        INDEX(Tabla1[Base imponible 10], MATCH($A239, Tabla1[N Doc], 0)),
IF(B239=5,
        INDEX(Tabla1[Iva 10], MATCH($A239, Tabla1[N Doc], 0)),
IF(B239=6,
        INDEX(Tabla1[Exento], MATCH($A239, Tabla1[N Doc], 0)),
IF(B239=7,
        INDEX(#REF!, MATCH($A239, Tabla1[N Doc], 0)),
IF(B239=8,
        INDEX(#REF!, MATCH($A239, Tabla1[N Doc], 0)),
IF(B239=9,
        INDEX(Tabla1[Descuentos], MATCH($A239, Tabla1[N Doc], 0)),
""))))))))))</f>
        <v>#REF!</v>
      </c>
      <c r="G239" t="e">
        <f>IF(OR($A239="",$A239=0),"",IF(OR(B239=2,B239=4,B239=6,B239=7),
    INDEX(Tabla13[Ind impuestos], MATCH($A239, Tabla13[N Doc], 0)),
""))</f>
        <v>#REF!</v>
      </c>
      <c r="J239" t="e">
        <f>IF(OR($A239="",$A239=0),"",IF(OR(B239=2,B239=4,B239=6,B239=7),
    INDEX(Tabla1[CECO], MATCH($A239, Tabla1[N Doc], 0)),
""))</f>
        <v>#REF!</v>
      </c>
      <c r="M239" t="e">
        <f>IF(C239=31,INDEX(Tabla1[Descripción], MATCH($A239, Tabla1[N Doc], 0)),"")</f>
        <v>#REF!</v>
      </c>
    </row>
    <row r="240" spans="1:13" x14ac:dyDescent="0.3">
      <c r="A240" t="e" cm="1">
        <f t="array" ref="A240">INDEX(Tabla1[N Doc], ROUNDUP((ROW()-1)/9, 0))</f>
        <v>#REF!</v>
      </c>
      <c r="B240" t="e">
        <f>IF(OR(A240="",A240=0),"",CHOOSE(
    COUNTIF($A$2:A240,A240),
    1,2,3,4,5,6,7,8,9
))</f>
        <v>#REF!</v>
      </c>
      <c r="C240" t="e">
        <f t="shared" si="3"/>
        <v>#REF!</v>
      </c>
      <c r="D240" s="7" t="e" cm="1">
        <f t="array" ref="D240">IF(OR($A240="",$A240=0),"",
IF(AND(INDEX(Formulario!$H$14:$H$100, $A240)="Si", C240&lt;&gt;31),
        VLOOKUP("cta puente",'Descripciones de gastos'!G:H, 2, FALSE),
IF(B240=1,
        INDEX(Tabla13[Titular], MATCH($A240, Tabla1[N Doc], 0)),
IF(B240=2,
        INDEX(Tabla1[Cuenta contable], MATCH($A240, Tabla1[N Doc], 0)),
IF(B240=3,
        INDEX(Tabla13[Cta Iva 22], MATCH($A240, Tabla1[N Doc], 0)),
IF(B240=4,
        INDEX(Tabla1[Cuenta contable], MATCH($A240, Tabla1[N Doc], 0)),
IF(B240=5,
        INDEX(Tabla13[Cta Iva 10], MATCH($A240, Tabla1[N Doc], 0)),
IF(B240=6,
        INDEX(Tabla1[Cuenta contable], MATCH($A240, Tabla1[N Doc], 0)),
IF(B240=7,
        INDEX(Tabla1[Cuenta contable], MATCH($A240, Tabla1[N Doc], 0)),
IF(B240=8,
        IF(INDEX(Tabla1[Tipo IVA], MATCH($A240, Tabla1[N Doc], 0))="22%",
             INDEX(Tabla13[Cta Iva 22], MATCH($A240, Tabla1[N Doc], 0)),
             INDEX(Tabla13[Cta Iva 10], MATCH($A240, Tabla1[N Doc], 0))),
IF(B240=9,
        INDEX(Tabla1[Cuenta contable], MATCH($A240, Tabla1[N Doc], 0))
)))))))))))</f>
        <v>#REF!</v>
      </c>
      <c r="F240" t="e">
        <f>IF(OR($A240="",$A240=0),"",IF(B240=1,
        INDEX(Tabla1[Importe total], MATCH($A240, Tabla1[N Doc], 0)),
IF(B240=2,
        INDEX(Tabla1[Base imponible 22], MATCH($A240, Tabla1[N Doc], 0)),
IF(B240=3,
        INDEX(Tabla1[Iva 22], MATCH($A240, Tabla1[N Doc], 0)),
IF(B240=4,
        INDEX(Tabla1[Base imponible 10], MATCH($A240, Tabla1[N Doc], 0)),
IF(B240=5,
        INDEX(Tabla1[Iva 10], MATCH($A240, Tabla1[N Doc], 0)),
IF(B240=6,
        INDEX(Tabla1[Exento], MATCH($A240, Tabla1[N Doc], 0)),
IF(B240=7,
        INDEX(#REF!, MATCH($A240, Tabla1[N Doc], 0)),
IF(B240=8,
        INDEX(#REF!, MATCH($A240, Tabla1[N Doc], 0)),
IF(B240=9,
        INDEX(Tabla1[Descuentos], MATCH($A240, Tabla1[N Doc], 0)),
""))))))))))</f>
        <v>#REF!</v>
      </c>
      <c r="G240" t="e">
        <f>IF(OR($A240="",$A240=0),"",IF(OR(B240=2,B240=4,B240=6,B240=7),
    INDEX(Tabla13[Ind impuestos], MATCH($A240, Tabla13[N Doc], 0)),
""))</f>
        <v>#REF!</v>
      </c>
      <c r="J240" t="e">
        <f>IF(OR($A240="",$A240=0),"",IF(OR(B240=2,B240=4,B240=6,B240=7),
    INDEX(Tabla1[CECO], MATCH($A240, Tabla1[N Doc], 0)),
""))</f>
        <v>#REF!</v>
      </c>
      <c r="M240" t="e">
        <f>IF(C240=31,INDEX(Tabla1[Descripción], MATCH($A240, Tabla1[N Doc], 0)),"")</f>
        <v>#REF!</v>
      </c>
    </row>
    <row r="241" spans="1:13" x14ac:dyDescent="0.3">
      <c r="A241" t="e" cm="1">
        <f t="array" ref="A241">INDEX(Tabla1[N Doc], ROUNDUP((ROW()-1)/9, 0))</f>
        <v>#REF!</v>
      </c>
      <c r="B241" t="e">
        <f>IF(OR(A241="",A241=0),"",CHOOSE(
    COUNTIF($A$2:A241,A241),
    1,2,3,4,5,6,7,8,9
))</f>
        <v>#REF!</v>
      </c>
      <c r="C241" t="e">
        <f t="shared" si="3"/>
        <v>#REF!</v>
      </c>
      <c r="D241" s="7" t="e" cm="1">
        <f t="array" ref="D241">IF(OR($A241="",$A241=0),"",
IF(AND(INDEX(Formulario!$H$14:$H$100, $A241)="Si", C241&lt;&gt;31),
        VLOOKUP("cta puente",'Descripciones de gastos'!G:H, 2, FALSE),
IF(B241=1,
        INDEX(Tabla13[Titular], MATCH($A241, Tabla1[N Doc], 0)),
IF(B241=2,
        INDEX(Tabla1[Cuenta contable], MATCH($A241, Tabla1[N Doc], 0)),
IF(B241=3,
        INDEX(Tabla13[Cta Iva 22], MATCH($A241, Tabla1[N Doc], 0)),
IF(B241=4,
        INDEX(Tabla1[Cuenta contable], MATCH($A241, Tabla1[N Doc], 0)),
IF(B241=5,
        INDEX(Tabla13[Cta Iva 10], MATCH($A241, Tabla1[N Doc], 0)),
IF(B241=6,
        INDEX(Tabla1[Cuenta contable], MATCH($A241, Tabla1[N Doc], 0)),
IF(B241=7,
        INDEX(Tabla1[Cuenta contable], MATCH($A241, Tabla1[N Doc], 0)),
IF(B241=8,
        IF(INDEX(Tabla1[Tipo IVA], MATCH($A241, Tabla1[N Doc], 0))="22%",
             INDEX(Tabla13[Cta Iva 22], MATCH($A241, Tabla1[N Doc], 0)),
             INDEX(Tabla13[Cta Iva 10], MATCH($A241, Tabla1[N Doc], 0))),
IF(B241=9,
        INDEX(Tabla1[Cuenta contable], MATCH($A241, Tabla1[N Doc], 0))
)))))))))))</f>
        <v>#REF!</v>
      </c>
      <c r="F241" t="e">
        <f>IF(OR($A241="",$A241=0),"",IF(B241=1,
        INDEX(Tabla1[Importe total], MATCH($A241, Tabla1[N Doc], 0)),
IF(B241=2,
        INDEX(Tabla1[Base imponible 22], MATCH($A241, Tabla1[N Doc], 0)),
IF(B241=3,
        INDEX(Tabla1[Iva 22], MATCH($A241, Tabla1[N Doc], 0)),
IF(B241=4,
        INDEX(Tabla1[Base imponible 10], MATCH($A241, Tabla1[N Doc], 0)),
IF(B241=5,
        INDEX(Tabla1[Iva 10], MATCH($A241, Tabla1[N Doc], 0)),
IF(B241=6,
        INDEX(Tabla1[Exento], MATCH($A241, Tabla1[N Doc], 0)),
IF(B241=7,
        INDEX(#REF!, MATCH($A241, Tabla1[N Doc], 0)),
IF(B241=8,
        INDEX(#REF!, MATCH($A241, Tabla1[N Doc], 0)),
IF(B241=9,
        INDEX(Tabla1[Descuentos], MATCH($A241, Tabla1[N Doc], 0)),
""))))))))))</f>
        <v>#REF!</v>
      </c>
      <c r="G241" t="e">
        <f>IF(OR($A241="",$A241=0),"",IF(OR(B241=2,B241=4,B241=6,B241=7),
    INDEX(Tabla13[Ind impuestos], MATCH($A241, Tabla13[N Doc], 0)),
""))</f>
        <v>#REF!</v>
      </c>
      <c r="J241" t="e">
        <f>IF(OR($A241="",$A241=0),"",IF(OR(B241=2,B241=4,B241=6,B241=7),
    INDEX(Tabla1[CECO], MATCH($A241, Tabla1[N Doc], 0)),
""))</f>
        <v>#REF!</v>
      </c>
      <c r="M241" t="e">
        <f>IF(C241=31,INDEX(Tabla1[Descripción], MATCH($A241, Tabla1[N Doc], 0)),"")</f>
        <v>#REF!</v>
      </c>
    </row>
    <row r="242" spans="1:13" x14ac:dyDescent="0.3">
      <c r="A242" t="e" cm="1">
        <f t="array" ref="A242">INDEX(Tabla1[N Doc], ROUNDUP((ROW()-1)/9, 0))</f>
        <v>#REF!</v>
      </c>
      <c r="B242" t="e">
        <f>IF(OR(A242="",A242=0),"",CHOOSE(
    COUNTIF($A$2:A242,A242),
    1,2,3,4,5,6,7,8,9
))</f>
        <v>#REF!</v>
      </c>
      <c r="C242" t="e">
        <f t="shared" si="3"/>
        <v>#REF!</v>
      </c>
      <c r="D242" s="7" t="e" cm="1">
        <f t="array" ref="D242">IF(OR($A242="",$A242=0),"",
IF(AND(INDEX(Formulario!$H$14:$H$100, $A242)="Si", C242&lt;&gt;31),
        VLOOKUP("cta puente",'Descripciones de gastos'!G:H, 2, FALSE),
IF(B242=1,
        INDEX(Tabla13[Titular], MATCH($A242, Tabla1[N Doc], 0)),
IF(B242=2,
        INDEX(Tabla1[Cuenta contable], MATCH($A242, Tabla1[N Doc], 0)),
IF(B242=3,
        INDEX(Tabla13[Cta Iva 22], MATCH($A242, Tabla1[N Doc], 0)),
IF(B242=4,
        INDEX(Tabla1[Cuenta contable], MATCH($A242, Tabla1[N Doc], 0)),
IF(B242=5,
        INDEX(Tabla13[Cta Iva 10], MATCH($A242, Tabla1[N Doc], 0)),
IF(B242=6,
        INDEX(Tabla1[Cuenta contable], MATCH($A242, Tabla1[N Doc], 0)),
IF(B242=7,
        INDEX(Tabla1[Cuenta contable], MATCH($A242, Tabla1[N Doc], 0)),
IF(B242=8,
        IF(INDEX(Tabla1[Tipo IVA], MATCH($A242, Tabla1[N Doc], 0))="22%",
             INDEX(Tabla13[Cta Iva 22], MATCH($A242, Tabla1[N Doc], 0)),
             INDEX(Tabla13[Cta Iva 10], MATCH($A242, Tabla1[N Doc], 0))),
IF(B242=9,
        INDEX(Tabla1[Cuenta contable], MATCH($A242, Tabla1[N Doc], 0))
)))))))))))</f>
        <v>#REF!</v>
      </c>
      <c r="F242" t="e">
        <f>IF(OR($A242="",$A242=0),"",IF(B242=1,
        INDEX(Tabla1[Importe total], MATCH($A242, Tabla1[N Doc], 0)),
IF(B242=2,
        INDEX(Tabla1[Base imponible 22], MATCH($A242, Tabla1[N Doc], 0)),
IF(B242=3,
        INDEX(Tabla1[Iva 22], MATCH($A242, Tabla1[N Doc], 0)),
IF(B242=4,
        INDEX(Tabla1[Base imponible 10], MATCH($A242, Tabla1[N Doc], 0)),
IF(B242=5,
        INDEX(Tabla1[Iva 10], MATCH($A242, Tabla1[N Doc], 0)),
IF(B242=6,
        INDEX(Tabla1[Exento], MATCH($A242, Tabla1[N Doc], 0)),
IF(B242=7,
        INDEX(#REF!, MATCH($A242, Tabla1[N Doc], 0)),
IF(B242=8,
        INDEX(#REF!, MATCH($A242, Tabla1[N Doc], 0)),
IF(B242=9,
        INDEX(Tabla1[Descuentos], MATCH($A242, Tabla1[N Doc], 0)),
""))))))))))</f>
        <v>#REF!</v>
      </c>
      <c r="G242" t="e">
        <f>IF(OR($A242="",$A242=0),"",IF(OR(B242=2,B242=4,B242=6,B242=7),
    INDEX(Tabla13[Ind impuestos], MATCH($A242, Tabla13[N Doc], 0)),
""))</f>
        <v>#REF!</v>
      </c>
      <c r="J242" t="e">
        <f>IF(OR($A242="",$A242=0),"",IF(OR(B242=2,B242=4,B242=6,B242=7),
    INDEX(Tabla1[CECO], MATCH($A242, Tabla1[N Doc], 0)),
""))</f>
        <v>#REF!</v>
      </c>
      <c r="M242" t="e">
        <f>IF(C242=31,INDEX(Tabla1[Descripción], MATCH($A242, Tabla1[N Doc], 0)),"")</f>
        <v>#REF!</v>
      </c>
    </row>
    <row r="243" spans="1:13" x14ac:dyDescent="0.3">
      <c r="A243" t="e" cm="1">
        <f t="array" ref="A243">INDEX(Tabla1[N Doc], ROUNDUP((ROW()-1)/9, 0))</f>
        <v>#REF!</v>
      </c>
      <c r="B243" t="e">
        <f>IF(OR(A243="",A243=0),"",CHOOSE(
    COUNTIF($A$2:A243,A243),
    1,2,3,4,5,6,7,8,9
))</f>
        <v>#REF!</v>
      </c>
      <c r="C243" t="e">
        <f t="shared" si="3"/>
        <v>#REF!</v>
      </c>
      <c r="D243" s="7" t="e" cm="1">
        <f t="array" ref="D243">IF(OR($A243="",$A243=0),"",
IF(AND(INDEX(Formulario!$H$14:$H$100, $A243)="Si", C243&lt;&gt;31),
        VLOOKUP("cta puente",'Descripciones de gastos'!G:H, 2, FALSE),
IF(B243=1,
        INDEX(Tabla13[Titular], MATCH($A243, Tabla1[N Doc], 0)),
IF(B243=2,
        INDEX(Tabla1[Cuenta contable], MATCH($A243, Tabla1[N Doc], 0)),
IF(B243=3,
        INDEX(Tabla13[Cta Iva 22], MATCH($A243, Tabla1[N Doc], 0)),
IF(B243=4,
        INDEX(Tabla1[Cuenta contable], MATCH($A243, Tabla1[N Doc], 0)),
IF(B243=5,
        INDEX(Tabla13[Cta Iva 10], MATCH($A243, Tabla1[N Doc], 0)),
IF(B243=6,
        INDEX(Tabla1[Cuenta contable], MATCH($A243, Tabla1[N Doc], 0)),
IF(B243=7,
        INDEX(Tabla1[Cuenta contable], MATCH($A243, Tabla1[N Doc], 0)),
IF(B243=8,
        IF(INDEX(Tabla1[Tipo IVA], MATCH($A243, Tabla1[N Doc], 0))="22%",
             INDEX(Tabla13[Cta Iva 22], MATCH($A243, Tabla1[N Doc], 0)),
             INDEX(Tabla13[Cta Iva 10], MATCH($A243, Tabla1[N Doc], 0))),
IF(B243=9,
        INDEX(Tabla1[Cuenta contable], MATCH($A243, Tabla1[N Doc], 0))
)))))))))))</f>
        <v>#REF!</v>
      </c>
      <c r="F243" t="e">
        <f>IF(OR($A243="",$A243=0),"",IF(B243=1,
        INDEX(Tabla1[Importe total], MATCH($A243, Tabla1[N Doc], 0)),
IF(B243=2,
        INDEX(Tabla1[Base imponible 22], MATCH($A243, Tabla1[N Doc], 0)),
IF(B243=3,
        INDEX(Tabla1[Iva 22], MATCH($A243, Tabla1[N Doc], 0)),
IF(B243=4,
        INDEX(Tabla1[Base imponible 10], MATCH($A243, Tabla1[N Doc], 0)),
IF(B243=5,
        INDEX(Tabla1[Iva 10], MATCH($A243, Tabla1[N Doc], 0)),
IF(B243=6,
        INDEX(Tabla1[Exento], MATCH($A243, Tabla1[N Doc], 0)),
IF(B243=7,
        INDEX(#REF!, MATCH($A243, Tabla1[N Doc], 0)),
IF(B243=8,
        INDEX(#REF!, MATCH($A243, Tabla1[N Doc], 0)),
IF(B243=9,
        INDEX(Tabla1[Descuentos], MATCH($A243, Tabla1[N Doc], 0)),
""))))))))))</f>
        <v>#REF!</v>
      </c>
      <c r="G243" t="e">
        <f>IF(OR($A243="",$A243=0),"",IF(OR(B243=2,B243=4,B243=6,B243=7),
    INDEX(Tabla13[Ind impuestos], MATCH($A243, Tabla13[N Doc], 0)),
""))</f>
        <v>#REF!</v>
      </c>
      <c r="J243" t="e">
        <f>IF(OR($A243="",$A243=0),"",IF(OR(B243=2,B243=4,B243=6,B243=7),
    INDEX(Tabla1[CECO], MATCH($A243, Tabla1[N Doc], 0)),
""))</f>
        <v>#REF!</v>
      </c>
      <c r="M243" t="e">
        <f>IF(C243=31,INDEX(Tabla1[Descripción], MATCH($A243, Tabla1[N Doc], 0)),"")</f>
        <v>#REF!</v>
      </c>
    </row>
    <row r="244" spans="1:13" x14ac:dyDescent="0.3">
      <c r="A244" t="e" cm="1">
        <f t="array" ref="A244">INDEX(Tabla1[N Doc], ROUNDUP((ROW()-1)/9, 0))</f>
        <v>#REF!</v>
      </c>
      <c r="B244" t="e">
        <f>IF(OR(A244="",A244=0),"",CHOOSE(
    COUNTIF($A$2:A244,A244),
    1,2,3,4,5,6,7,8,9
))</f>
        <v>#REF!</v>
      </c>
      <c r="C244" t="e">
        <f t="shared" si="3"/>
        <v>#REF!</v>
      </c>
      <c r="D244" s="7" t="e" cm="1">
        <f t="array" ref="D244">IF(OR($A244="",$A244=0),"",
IF(AND(INDEX(Formulario!$H$14:$H$100, $A244)="Si", C244&lt;&gt;31),
        VLOOKUP("cta puente",'Descripciones de gastos'!G:H, 2, FALSE),
IF(B244=1,
        INDEX(Tabla13[Titular], MATCH($A244, Tabla1[N Doc], 0)),
IF(B244=2,
        INDEX(Tabla1[Cuenta contable], MATCH($A244, Tabla1[N Doc], 0)),
IF(B244=3,
        INDEX(Tabla13[Cta Iva 22], MATCH($A244, Tabla1[N Doc], 0)),
IF(B244=4,
        INDEX(Tabla1[Cuenta contable], MATCH($A244, Tabla1[N Doc], 0)),
IF(B244=5,
        INDEX(Tabla13[Cta Iva 10], MATCH($A244, Tabla1[N Doc], 0)),
IF(B244=6,
        INDEX(Tabla1[Cuenta contable], MATCH($A244, Tabla1[N Doc], 0)),
IF(B244=7,
        INDEX(Tabla1[Cuenta contable], MATCH($A244, Tabla1[N Doc], 0)),
IF(B244=8,
        IF(INDEX(Tabla1[Tipo IVA], MATCH($A244, Tabla1[N Doc], 0))="22%",
             INDEX(Tabla13[Cta Iva 22], MATCH($A244, Tabla1[N Doc], 0)),
             INDEX(Tabla13[Cta Iva 10], MATCH($A244, Tabla1[N Doc], 0))),
IF(B244=9,
        INDEX(Tabla1[Cuenta contable], MATCH($A244, Tabla1[N Doc], 0))
)))))))))))</f>
        <v>#REF!</v>
      </c>
      <c r="F244" t="e">
        <f>IF(OR($A244="",$A244=0),"",IF(B244=1,
        INDEX(Tabla1[Importe total], MATCH($A244, Tabla1[N Doc], 0)),
IF(B244=2,
        INDEX(Tabla1[Base imponible 22], MATCH($A244, Tabla1[N Doc], 0)),
IF(B244=3,
        INDEX(Tabla1[Iva 22], MATCH($A244, Tabla1[N Doc], 0)),
IF(B244=4,
        INDEX(Tabla1[Base imponible 10], MATCH($A244, Tabla1[N Doc], 0)),
IF(B244=5,
        INDEX(Tabla1[Iva 10], MATCH($A244, Tabla1[N Doc], 0)),
IF(B244=6,
        INDEX(Tabla1[Exento], MATCH($A244, Tabla1[N Doc], 0)),
IF(B244=7,
        INDEX(#REF!, MATCH($A244, Tabla1[N Doc], 0)),
IF(B244=8,
        INDEX(#REF!, MATCH($A244, Tabla1[N Doc], 0)),
IF(B244=9,
        INDEX(Tabla1[Descuentos], MATCH($A244, Tabla1[N Doc], 0)),
""))))))))))</f>
        <v>#REF!</v>
      </c>
      <c r="G244" t="e">
        <f>IF(OR($A244="",$A244=0),"",IF(OR(B244=2,B244=4,B244=6,B244=7),
    INDEX(Tabla13[Ind impuestos], MATCH($A244, Tabla13[N Doc], 0)),
""))</f>
        <v>#REF!</v>
      </c>
      <c r="J244" t="e">
        <f>IF(OR($A244="",$A244=0),"",IF(OR(B244=2,B244=4,B244=6,B244=7),
    INDEX(Tabla1[CECO], MATCH($A244, Tabla1[N Doc], 0)),
""))</f>
        <v>#REF!</v>
      </c>
      <c r="M244" t="e">
        <f>IF(C244=31,INDEX(Tabla1[Descripción], MATCH($A244, Tabla1[N Doc], 0)),"")</f>
        <v>#REF!</v>
      </c>
    </row>
    <row r="245" spans="1:13" x14ac:dyDescent="0.3">
      <c r="A245" t="e" cm="1">
        <f t="array" ref="A245">INDEX(Tabla1[N Doc], ROUNDUP((ROW()-1)/9, 0))</f>
        <v>#REF!</v>
      </c>
      <c r="B245" t="e">
        <f>IF(OR(A245="",A245=0),"",CHOOSE(
    COUNTIF($A$2:A245,A245),
    1,2,3,4,5,6,7,8,9
))</f>
        <v>#REF!</v>
      </c>
      <c r="C245" t="e">
        <f t="shared" si="3"/>
        <v>#REF!</v>
      </c>
      <c r="D245" s="7" t="e" cm="1">
        <f t="array" ref="D245">IF(OR($A245="",$A245=0),"",
IF(AND(INDEX(Formulario!$H$14:$H$100, $A245)="Si", C245&lt;&gt;31),
        VLOOKUP("cta puente",'Descripciones de gastos'!G:H, 2, FALSE),
IF(B245=1,
        INDEX(Tabla13[Titular], MATCH($A245, Tabla1[N Doc], 0)),
IF(B245=2,
        INDEX(Tabla1[Cuenta contable], MATCH($A245, Tabla1[N Doc], 0)),
IF(B245=3,
        INDEX(Tabla13[Cta Iva 22], MATCH($A245, Tabla1[N Doc], 0)),
IF(B245=4,
        INDEX(Tabla1[Cuenta contable], MATCH($A245, Tabla1[N Doc], 0)),
IF(B245=5,
        INDEX(Tabla13[Cta Iva 10], MATCH($A245, Tabla1[N Doc], 0)),
IF(B245=6,
        INDEX(Tabla1[Cuenta contable], MATCH($A245, Tabla1[N Doc], 0)),
IF(B245=7,
        INDEX(Tabla1[Cuenta contable], MATCH($A245, Tabla1[N Doc], 0)),
IF(B245=8,
        IF(INDEX(Tabla1[Tipo IVA], MATCH($A245, Tabla1[N Doc], 0))="22%",
             INDEX(Tabla13[Cta Iva 22], MATCH($A245, Tabla1[N Doc], 0)),
             INDEX(Tabla13[Cta Iva 10], MATCH($A245, Tabla1[N Doc], 0))),
IF(B245=9,
        INDEX(Tabla1[Cuenta contable], MATCH($A245, Tabla1[N Doc], 0))
)))))))))))</f>
        <v>#REF!</v>
      </c>
      <c r="F245" t="e">
        <f>IF(OR($A245="",$A245=0),"",IF(B245=1,
        INDEX(Tabla1[Importe total], MATCH($A245, Tabla1[N Doc], 0)),
IF(B245=2,
        INDEX(Tabla1[Base imponible 22], MATCH($A245, Tabla1[N Doc], 0)),
IF(B245=3,
        INDEX(Tabla1[Iva 22], MATCH($A245, Tabla1[N Doc], 0)),
IF(B245=4,
        INDEX(Tabla1[Base imponible 10], MATCH($A245, Tabla1[N Doc], 0)),
IF(B245=5,
        INDEX(Tabla1[Iva 10], MATCH($A245, Tabla1[N Doc], 0)),
IF(B245=6,
        INDEX(Tabla1[Exento], MATCH($A245, Tabla1[N Doc], 0)),
IF(B245=7,
        INDEX(#REF!, MATCH($A245, Tabla1[N Doc], 0)),
IF(B245=8,
        INDEX(#REF!, MATCH($A245, Tabla1[N Doc], 0)),
IF(B245=9,
        INDEX(Tabla1[Descuentos], MATCH($A245, Tabla1[N Doc], 0)),
""))))))))))</f>
        <v>#REF!</v>
      </c>
      <c r="G245" t="e">
        <f>IF(OR($A245="",$A245=0),"",IF(OR(B245=2,B245=4,B245=6,B245=7),
    INDEX(Tabla13[Ind impuestos], MATCH($A245, Tabla13[N Doc], 0)),
""))</f>
        <v>#REF!</v>
      </c>
      <c r="J245" t="e">
        <f>IF(OR($A245="",$A245=0),"",IF(OR(B245=2,B245=4,B245=6,B245=7),
    INDEX(Tabla1[CECO], MATCH($A245, Tabla1[N Doc], 0)),
""))</f>
        <v>#REF!</v>
      </c>
      <c r="M245" t="e">
        <f>IF(C245=31,INDEX(Tabla1[Descripción], MATCH($A245, Tabla1[N Doc], 0)),"")</f>
        <v>#REF!</v>
      </c>
    </row>
    <row r="246" spans="1:13" x14ac:dyDescent="0.3">
      <c r="A246" t="e" cm="1">
        <f t="array" ref="A246">INDEX(Tabla1[N Doc], ROUNDUP((ROW()-1)/9, 0))</f>
        <v>#REF!</v>
      </c>
      <c r="B246" t="e">
        <f>IF(OR(A246="",A246=0),"",CHOOSE(
    COUNTIF($A$2:A246,A246),
    1,2,3,4,5,6,7,8,9
))</f>
        <v>#REF!</v>
      </c>
      <c r="C246" t="e">
        <f t="shared" si="3"/>
        <v>#REF!</v>
      </c>
      <c r="D246" s="7" t="e" cm="1">
        <f t="array" ref="D246">IF(OR($A246="",$A246=0),"",
IF(AND(INDEX(Formulario!$H$14:$H$100, $A246)="Si", C246&lt;&gt;31),
        VLOOKUP("cta puente",'Descripciones de gastos'!G:H, 2, FALSE),
IF(B246=1,
        INDEX(Tabla13[Titular], MATCH($A246, Tabla1[N Doc], 0)),
IF(B246=2,
        INDEX(Tabla1[Cuenta contable], MATCH($A246, Tabla1[N Doc], 0)),
IF(B246=3,
        INDEX(Tabla13[Cta Iva 22], MATCH($A246, Tabla1[N Doc], 0)),
IF(B246=4,
        INDEX(Tabla1[Cuenta contable], MATCH($A246, Tabla1[N Doc], 0)),
IF(B246=5,
        INDEX(Tabla13[Cta Iva 10], MATCH($A246, Tabla1[N Doc], 0)),
IF(B246=6,
        INDEX(Tabla1[Cuenta contable], MATCH($A246, Tabla1[N Doc], 0)),
IF(B246=7,
        INDEX(Tabla1[Cuenta contable], MATCH($A246, Tabla1[N Doc], 0)),
IF(B246=8,
        IF(INDEX(Tabla1[Tipo IVA], MATCH($A246, Tabla1[N Doc], 0))="22%",
             INDEX(Tabla13[Cta Iva 22], MATCH($A246, Tabla1[N Doc], 0)),
             INDEX(Tabla13[Cta Iva 10], MATCH($A246, Tabla1[N Doc], 0))),
IF(B246=9,
        INDEX(Tabla1[Cuenta contable], MATCH($A246, Tabla1[N Doc], 0))
)))))))))))</f>
        <v>#REF!</v>
      </c>
      <c r="F246" t="e">
        <f>IF(OR($A246="",$A246=0),"",IF(B246=1,
        INDEX(Tabla1[Importe total], MATCH($A246, Tabla1[N Doc], 0)),
IF(B246=2,
        INDEX(Tabla1[Base imponible 22], MATCH($A246, Tabla1[N Doc], 0)),
IF(B246=3,
        INDEX(Tabla1[Iva 22], MATCH($A246, Tabla1[N Doc], 0)),
IF(B246=4,
        INDEX(Tabla1[Base imponible 10], MATCH($A246, Tabla1[N Doc], 0)),
IF(B246=5,
        INDEX(Tabla1[Iva 10], MATCH($A246, Tabla1[N Doc], 0)),
IF(B246=6,
        INDEX(Tabla1[Exento], MATCH($A246, Tabla1[N Doc], 0)),
IF(B246=7,
        INDEX(#REF!, MATCH($A246, Tabla1[N Doc], 0)),
IF(B246=8,
        INDEX(#REF!, MATCH($A246, Tabla1[N Doc], 0)),
IF(B246=9,
        INDEX(Tabla1[Descuentos], MATCH($A246, Tabla1[N Doc], 0)),
""))))))))))</f>
        <v>#REF!</v>
      </c>
      <c r="G246" t="e">
        <f>IF(OR($A246="",$A246=0),"",IF(OR(B246=2,B246=4,B246=6,B246=7),
    INDEX(Tabla13[Ind impuestos], MATCH($A246, Tabla13[N Doc], 0)),
""))</f>
        <v>#REF!</v>
      </c>
      <c r="J246" t="e">
        <f>IF(OR($A246="",$A246=0),"",IF(OR(B246=2,B246=4,B246=6,B246=7),
    INDEX(Tabla1[CECO], MATCH($A246, Tabla1[N Doc], 0)),
""))</f>
        <v>#REF!</v>
      </c>
      <c r="M246" t="e">
        <f>IF(C246=31,INDEX(Tabla1[Descripción], MATCH($A246, Tabla1[N Doc], 0)),"")</f>
        <v>#REF!</v>
      </c>
    </row>
    <row r="247" spans="1:13" x14ac:dyDescent="0.3">
      <c r="A247" t="e" cm="1">
        <f t="array" ref="A247">INDEX(Tabla1[N Doc], ROUNDUP((ROW()-1)/9, 0))</f>
        <v>#REF!</v>
      </c>
      <c r="B247" t="e">
        <f>IF(OR(A247="",A247=0),"",CHOOSE(
    COUNTIF($A$2:A247,A247),
    1,2,3,4,5,6,7,8,9
))</f>
        <v>#REF!</v>
      </c>
      <c r="C247" t="e">
        <f t="shared" si="3"/>
        <v>#REF!</v>
      </c>
      <c r="D247" s="7" t="e" cm="1">
        <f t="array" ref="D247">IF(OR($A247="",$A247=0),"",
IF(AND(INDEX(Formulario!$H$14:$H$100, $A247)="Si", C247&lt;&gt;31),
        VLOOKUP("cta puente",'Descripciones de gastos'!G:H, 2, FALSE),
IF(B247=1,
        INDEX(Tabla13[Titular], MATCH($A247, Tabla1[N Doc], 0)),
IF(B247=2,
        INDEX(Tabla1[Cuenta contable], MATCH($A247, Tabla1[N Doc], 0)),
IF(B247=3,
        INDEX(Tabla13[Cta Iva 22], MATCH($A247, Tabla1[N Doc], 0)),
IF(B247=4,
        INDEX(Tabla1[Cuenta contable], MATCH($A247, Tabla1[N Doc], 0)),
IF(B247=5,
        INDEX(Tabla13[Cta Iva 10], MATCH($A247, Tabla1[N Doc], 0)),
IF(B247=6,
        INDEX(Tabla1[Cuenta contable], MATCH($A247, Tabla1[N Doc], 0)),
IF(B247=7,
        INDEX(Tabla1[Cuenta contable], MATCH($A247, Tabla1[N Doc], 0)),
IF(B247=8,
        IF(INDEX(Tabla1[Tipo IVA], MATCH($A247, Tabla1[N Doc], 0))="22%",
             INDEX(Tabla13[Cta Iva 22], MATCH($A247, Tabla1[N Doc], 0)),
             INDEX(Tabla13[Cta Iva 10], MATCH($A247, Tabla1[N Doc], 0))),
IF(B247=9,
        INDEX(Tabla1[Cuenta contable], MATCH($A247, Tabla1[N Doc], 0))
)))))))))))</f>
        <v>#REF!</v>
      </c>
      <c r="F247" t="e">
        <f>IF(OR($A247="",$A247=0),"",IF(B247=1,
        INDEX(Tabla1[Importe total], MATCH($A247, Tabla1[N Doc], 0)),
IF(B247=2,
        INDEX(Tabla1[Base imponible 22], MATCH($A247, Tabla1[N Doc], 0)),
IF(B247=3,
        INDEX(Tabla1[Iva 22], MATCH($A247, Tabla1[N Doc], 0)),
IF(B247=4,
        INDEX(Tabla1[Base imponible 10], MATCH($A247, Tabla1[N Doc], 0)),
IF(B247=5,
        INDEX(Tabla1[Iva 10], MATCH($A247, Tabla1[N Doc], 0)),
IF(B247=6,
        INDEX(Tabla1[Exento], MATCH($A247, Tabla1[N Doc], 0)),
IF(B247=7,
        INDEX(#REF!, MATCH($A247, Tabla1[N Doc], 0)),
IF(B247=8,
        INDEX(#REF!, MATCH($A247, Tabla1[N Doc], 0)),
IF(B247=9,
        INDEX(Tabla1[Descuentos], MATCH($A247, Tabla1[N Doc], 0)),
""))))))))))</f>
        <v>#REF!</v>
      </c>
      <c r="G247" t="e">
        <f>IF(OR($A247="",$A247=0),"",IF(OR(B247=2,B247=4,B247=6,B247=7),
    INDEX(Tabla13[Ind impuestos], MATCH($A247, Tabla13[N Doc], 0)),
""))</f>
        <v>#REF!</v>
      </c>
      <c r="J247" t="e">
        <f>IF(OR($A247="",$A247=0),"",IF(OR(B247=2,B247=4,B247=6,B247=7),
    INDEX(Tabla1[CECO], MATCH($A247, Tabla1[N Doc], 0)),
""))</f>
        <v>#REF!</v>
      </c>
      <c r="M247" t="e">
        <f>IF(C247=31,INDEX(Tabla1[Descripción], MATCH($A247, Tabla1[N Doc], 0)),"")</f>
        <v>#REF!</v>
      </c>
    </row>
    <row r="248" spans="1:13" x14ac:dyDescent="0.3">
      <c r="A248" t="e" cm="1">
        <f t="array" ref="A248">INDEX(Tabla1[N Doc], ROUNDUP((ROW()-1)/9, 0))</f>
        <v>#REF!</v>
      </c>
      <c r="B248" t="e">
        <f>IF(OR(A248="",A248=0),"",CHOOSE(
    COUNTIF($A$2:A248,A248),
    1,2,3,4,5,6,7,8,9
))</f>
        <v>#REF!</v>
      </c>
      <c r="C248" t="e">
        <f t="shared" si="3"/>
        <v>#REF!</v>
      </c>
      <c r="D248" s="7" t="e" cm="1">
        <f t="array" ref="D248">IF(OR($A248="",$A248=0),"",
IF(AND(INDEX(Formulario!$H$14:$H$100, $A248)="Si", C248&lt;&gt;31),
        VLOOKUP("cta puente",'Descripciones de gastos'!G:H, 2, FALSE),
IF(B248=1,
        INDEX(Tabla13[Titular], MATCH($A248, Tabla1[N Doc], 0)),
IF(B248=2,
        INDEX(Tabla1[Cuenta contable], MATCH($A248, Tabla1[N Doc], 0)),
IF(B248=3,
        INDEX(Tabla13[Cta Iva 22], MATCH($A248, Tabla1[N Doc], 0)),
IF(B248=4,
        INDEX(Tabla1[Cuenta contable], MATCH($A248, Tabla1[N Doc], 0)),
IF(B248=5,
        INDEX(Tabla13[Cta Iva 10], MATCH($A248, Tabla1[N Doc], 0)),
IF(B248=6,
        INDEX(Tabla1[Cuenta contable], MATCH($A248, Tabla1[N Doc], 0)),
IF(B248=7,
        INDEX(Tabla1[Cuenta contable], MATCH($A248, Tabla1[N Doc], 0)),
IF(B248=8,
        IF(INDEX(Tabla1[Tipo IVA], MATCH($A248, Tabla1[N Doc], 0))="22%",
             INDEX(Tabla13[Cta Iva 22], MATCH($A248, Tabla1[N Doc], 0)),
             INDEX(Tabla13[Cta Iva 10], MATCH($A248, Tabla1[N Doc], 0))),
IF(B248=9,
        INDEX(Tabla1[Cuenta contable], MATCH($A248, Tabla1[N Doc], 0))
)))))))))))</f>
        <v>#REF!</v>
      </c>
      <c r="F248" t="e">
        <f>IF(OR($A248="",$A248=0),"",IF(B248=1,
        INDEX(Tabla1[Importe total], MATCH($A248, Tabla1[N Doc], 0)),
IF(B248=2,
        INDEX(Tabla1[Base imponible 22], MATCH($A248, Tabla1[N Doc], 0)),
IF(B248=3,
        INDEX(Tabla1[Iva 22], MATCH($A248, Tabla1[N Doc], 0)),
IF(B248=4,
        INDEX(Tabla1[Base imponible 10], MATCH($A248, Tabla1[N Doc], 0)),
IF(B248=5,
        INDEX(Tabla1[Iva 10], MATCH($A248, Tabla1[N Doc], 0)),
IF(B248=6,
        INDEX(Tabla1[Exento], MATCH($A248, Tabla1[N Doc], 0)),
IF(B248=7,
        INDEX(#REF!, MATCH($A248, Tabla1[N Doc], 0)),
IF(B248=8,
        INDEX(#REF!, MATCH($A248, Tabla1[N Doc], 0)),
IF(B248=9,
        INDEX(Tabla1[Descuentos], MATCH($A248, Tabla1[N Doc], 0)),
""))))))))))</f>
        <v>#REF!</v>
      </c>
      <c r="G248" t="e">
        <f>IF(OR($A248="",$A248=0),"",IF(OR(B248=2,B248=4,B248=6,B248=7),
    INDEX(Tabla13[Ind impuestos], MATCH($A248, Tabla13[N Doc], 0)),
""))</f>
        <v>#REF!</v>
      </c>
      <c r="J248" t="e">
        <f>IF(OR($A248="",$A248=0),"",IF(OR(B248=2,B248=4,B248=6,B248=7),
    INDEX(Tabla1[CECO], MATCH($A248, Tabla1[N Doc], 0)),
""))</f>
        <v>#REF!</v>
      </c>
      <c r="M248" t="e">
        <f>IF(C248=31,INDEX(Tabla1[Descripción], MATCH($A248, Tabla1[N Doc], 0)),"")</f>
        <v>#REF!</v>
      </c>
    </row>
    <row r="249" spans="1:13" x14ac:dyDescent="0.3">
      <c r="A249" t="e" cm="1">
        <f t="array" ref="A249">INDEX(Tabla1[N Doc], ROUNDUP((ROW()-1)/9, 0))</f>
        <v>#REF!</v>
      </c>
      <c r="B249" t="e">
        <f>IF(OR(A249="",A249=0),"",CHOOSE(
    COUNTIF($A$2:A249,A249),
    1,2,3,4,5,6,7,8,9
))</f>
        <v>#REF!</v>
      </c>
      <c r="C249" t="e">
        <f t="shared" si="3"/>
        <v>#REF!</v>
      </c>
      <c r="D249" s="7" t="e" cm="1">
        <f t="array" ref="D249">IF(OR($A249="",$A249=0),"",
IF(AND(INDEX(Formulario!$H$14:$H$100, $A249)="Si", C249&lt;&gt;31),
        VLOOKUP("cta puente",'Descripciones de gastos'!G:H, 2, FALSE),
IF(B249=1,
        INDEX(Tabla13[Titular], MATCH($A249, Tabla1[N Doc], 0)),
IF(B249=2,
        INDEX(Tabla1[Cuenta contable], MATCH($A249, Tabla1[N Doc], 0)),
IF(B249=3,
        INDEX(Tabla13[Cta Iva 22], MATCH($A249, Tabla1[N Doc], 0)),
IF(B249=4,
        INDEX(Tabla1[Cuenta contable], MATCH($A249, Tabla1[N Doc], 0)),
IF(B249=5,
        INDEX(Tabla13[Cta Iva 10], MATCH($A249, Tabla1[N Doc], 0)),
IF(B249=6,
        INDEX(Tabla1[Cuenta contable], MATCH($A249, Tabla1[N Doc], 0)),
IF(B249=7,
        INDEX(Tabla1[Cuenta contable], MATCH($A249, Tabla1[N Doc], 0)),
IF(B249=8,
        IF(INDEX(Tabla1[Tipo IVA], MATCH($A249, Tabla1[N Doc], 0))="22%",
             INDEX(Tabla13[Cta Iva 22], MATCH($A249, Tabla1[N Doc], 0)),
             INDEX(Tabla13[Cta Iva 10], MATCH($A249, Tabla1[N Doc], 0))),
IF(B249=9,
        INDEX(Tabla1[Cuenta contable], MATCH($A249, Tabla1[N Doc], 0))
)))))))))))</f>
        <v>#REF!</v>
      </c>
      <c r="F249" t="e">
        <f>IF(OR($A249="",$A249=0),"",IF(B249=1,
        INDEX(Tabla1[Importe total], MATCH($A249, Tabla1[N Doc], 0)),
IF(B249=2,
        INDEX(Tabla1[Base imponible 22], MATCH($A249, Tabla1[N Doc], 0)),
IF(B249=3,
        INDEX(Tabla1[Iva 22], MATCH($A249, Tabla1[N Doc], 0)),
IF(B249=4,
        INDEX(Tabla1[Base imponible 10], MATCH($A249, Tabla1[N Doc], 0)),
IF(B249=5,
        INDEX(Tabla1[Iva 10], MATCH($A249, Tabla1[N Doc], 0)),
IF(B249=6,
        INDEX(Tabla1[Exento], MATCH($A249, Tabla1[N Doc], 0)),
IF(B249=7,
        INDEX(#REF!, MATCH($A249, Tabla1[N Doc], 0)),
IF(B249=8,
        INDEX(#REF!, MATCH($A249, Tabla1[N Doc], 0)),
IF(B249=9,
        INDEX(Tabla1[Descuentos], MATCH($A249, Tabla1[N Doc], 0)),
""))))))))))</f>
        <v>#REF!</v>
      </c>
      <c r="G249" t="e">
        <f>IF(OR($A249="",$A249=0),"",IF(OR(B249=2,B249=4,B249=6,B249=7),
    INDEX(Tabla13[Ind impuestos], MATCH($A249, Tabla13[N Doc], 0)),
""))</f>
        <v>#REF!</v>
      </c>
      <c r="J249" t="e">
        <f>IF(OR($A249="",$A249=0),"",IF(OR(B249=2,B249=4,B249=6,B249=7),
    INDEX(Tabla1[CECO], MATCH($A249, Tabla1[N Doc], 0)),
""))</f>
        <v>#REF!</v>
      </c>
      <c r="M249" t="e">
        <f>IF(C249=31,INDEX(Tabla1[Descripción], MATCH($A249, Tabla1[N Doc], 0)),"")</f>
        <v>#REF!</v>
      </c>
    </row>
    <row r="250" spans="1:13" x14ac:dyDescent="0.3">
      <c r="A250" t="e" cm="1">
        <f t="array" ref="A250">INDEX(Tabla1[N Doc], ROUNDUP((ROW()-1)/9, 0))</f>
        <v>#REF!</v>
      </c>
      <c r="B250" t="e">
        <f>IF(OR(A250="",A250=0),"",CHOOSE(
    COUNTIF($A$2:A250,A250),
    1,2,3,4,5,6,7,8,9
))</f>
        <v>#REF!</v>
      </c>
      <c r="C250" t="e">
        <f t="shared" si="3"/>
        <v>#REF!</v>
      </c>
      <c r="D250" s="7" t="e" cm="1">
        <f t="array" ref="D250">IF(OR($A250="",$A250=0),"",
IF(AND(INDEX(Formulario!$H$14:$H$100, $A250)="Si", C250&lt;&gt;31),
        VLOOKUP("cta puente",'Descripciones de gastos'!G:H, 2, FALSE),
IF(B250=1,
        INDEX(Tabla13[Titular], MATCH($A250, Tabla1[N Doc], 0)),
IF(B250=2,
        INDEX(Tabla1[Cuenta contable], MATCH($A250, Tabla1[N Doc], 0)),
IF(B250=3,
        INDEX(Tabla13[Cta Iva 22], MATCH($A250, Tabla1[N Doc], 0)),
IF(B250=4,
        INDEX(Tabla1[Cuenta contable], MATCH($A250, Tabla1[N Doc], 0)),
IF(B250=5,
        INDEX(Tabla13[Cta Iva 10], MATCH($A250, Tabla1[N Doc], 0)),
IF(B250=6,
        INDEX(Tabla1[Cuenta contable], MATCH($A250, Tabla1[N Doc], 0)),
IF(B250=7,
        INDEX(Tabla1[Cuenta contable], MATCH($A250, Tabla1[N Doc], 0)),
IF(B250=8,
        IF(INDEX(Tabla1[Tipo IVA], MATCH($A250, Tabla1[N Doc], 0))="22%",
             INDEX(Tabla13[Cta Iva 22], MATCH($A250, Tabla1[N Doc], 0)),
             INDEX(Tabla13[Cta Iva 10], MATCH($A250, Tabla1[N Doc], 0))),
IF(B250=9,
        INDEX(Tabla1[Cuenta contable], MATCH($A250, Tabla1[N Doc], 0))
)))))))))))</f>
        <v>#REF!</v>
      </c>
      <c r="F250" t="e">
        <f>IF(OR($A250="",$A250=0),"",IF(B250=1,
        INDEX(Tabla1[Importe total], MATCH($A250, Tabla1[N Doc], 0)),
IF(B250=2,
        INDEX(Tabla1[Base imponible 22], MATCH($A250, Tabla1[N Doc], 0)),
IF(B250=3,
        INDEX(Tabla1[Iva 22], MATCH($A250, Tabla1[N Doc], 0)),
IF(B250=4,
        INDEX(Tabla1[Base imponible 10], MATCH($A250, Tabla1[N Doc], 0)),
IF(B250=5,
        INDEX(Tabla1[Iva 10], MATCH($A250, Tabla1[N Doc], 0)),
IF(B250=6,
        INDEX(Tabla1[Exento], MATCH($A250, Tabla1[N Doc], 0)),
IF(B250=7,
        INDEX(#REF!, MATCH($A250, Tabla1[N Doc], 0)),
IF(B250=8,
        INDEX(#REF!, MATCH($A250, Tabla1[N Doc], 0)),
IF(B250=9,
        INDEX(Tabla1[Descuentos], MATCH($A250, Tabla1[N Doc], 0)),
""))))))))))</f>
        <v>#REF!</v>
      </c>
      <c r="G250" t="e">
        <f>IF(OR($A250="",$A250=0),"",IF(OR(B250=2,B250=4,B250=6,B250=7),
    INDEX(Tabla13[Ind impuestos], MATCH($A250, Tabla13[N Doc], 0)),
""))</f>
        <v>#REF!</v>
      </c>
      <c r="J250" t="e">
        <f>IF(OR($A250="",$A250=0),"",IF(OR(B250=2,B250=4,B250=6,B250=7),
    INDEX(Tabla1[CECO], MATCH($A250, Tabla1[N Doc], 0)),
""))</f>
        <v>#REF!</v>
      </c>
      <c r="M250" t="e">
        <f>IF(C250=31,INDEX(Tabla1[Descripción], MATCH($A250, Tabla1[N Doc], 0)),"")</f>
        <v>#REF!</v>
      </c>
    </row>
    <row r="251" spans="1:13" x14ac:dyDescent="0.3">
      <c r="A251" t="e" cm="1">
        <f t="array" ref="A251">INDEX(Tabla1[N Doc], ROUNDUP((ROW()-1)/9, 0))</f>
        <v>#REF!</v>
      </c>
      <c r="B251" t="e">
        <f>IF(OR(A251="",A251=0),"",CHOOSE(
    COUNTIF($A$2:A251,A251),
    1,2,3,4,5,6,7,8,9
))</f>
        <v>#REF!</v>
      </c>
      <c r="C251" t="e">
        <f t="shared" si="3"/>
        <v>#REF!</v>
      </c>
      <c r="D251" s="7" t="e" cm="1">
        <f t="array" ref="D251">IF(OR($A251="",$A251=0),"",
IF(AND(INDEX(Formulario!$H$14:$H$100, $A251)="Si", C251&lt;&gt;31),
        VLOOKUP("cta puente",'Descripciones de gastos'!G:H, 2, FALSE),
IF(B251=1,
        INDEX(Tabla13[Titular], MATCH($A251, Tabla1[N Doc], 0)),
IF(B251=2,
        INDEX(Tabla1[Cuenta contable], MATCH($A251, Tabla1[N Doc], 0)),
IF(B251=3,
        INDEX(Tabla13[Cta Iva 22], MATCH($A251, Tabla1[N Doc], 0)),
IF(B251=4,
        INDEX(Tabla1[Cuenta contable], MATCH($A251, Tabla1[N Doc], 0)),
IF(B251=5,
        INDEX(Tabla13[Cta Iva 10], MATCH($A251, Tabla1[N Doc], 0)),
IF(B251=6,
        INDEX(Tabla1[Cuenta contable], MATCH($A251, Tabla1[N Doc], 0)),
IF(B251=7,
        INDEX(Tabla1[Cuenta contable], MATCH($A251, Tabla1[N Doc], 0)),
IF(B251=8,
        IF(INDEX(Tabla1[Tipo IVA], MATCH($A251, Tabla1[N Doc], 0))="22%",
             INDEX(Tabla13[Cta Iva 22], MATCH($A251, Tabla1[N Doc], 0)),
             INDEX(Tabla13[Cta Iva 10], MATCH($A251, Tabla1[N Doc], 0))),
IF(B251=9,
        INDEX(Tabla1[Cuenta contable], MATCH($A251, Tabla1[N Doc], 0))
)))))))))))</f>
        <v>#REF!</v>
      </c>
      <c r="F251" t="e">
        <f>IF(OR($A251="",$A251=0),"",IF(B251=1,
        INDEX(Tabla1[Importe total], MATCH($A251, Tabla1[N Doc], 0)),
IF(B251=2,
        INDEX(Tabla1[Base imponible 22], MATCH($A251, Tabla1[N Doc], 0)),
IF(B251=3,
        INDEX(Tabla1[Iva 22], MATCH($A251, Tabla1[N Doc], 0)),
IF(B251=4,
        INDEX(Tabla1[Base imponible 10], MATCH($A251, Tabla1[N Doc], 0)),
IF(B251=5,
        INDEX(Tabla1[Iva 10], MATCH($A251, Tabla1[N Doc], 0)),
IF(B251=6,
        INDEX(Tabla1[Exento], MATCH($A251, Tabla1[N Doc], 0)),
IF(B251=7,
        INDEX(#REF!, MATCH($A251, Tabla1[N Doc], 0)),
IF(B251=8,
        INDEX(#REF!, MATCH($A251, Tabla1[N Doc], 0)),
IF(B251=9,
        INDEX(Tabla1[Descuentos], MATCH($A251, Tabla1[N Doc], 0)),
""))))))))))</f>
        <v>#REF!</v>
      </c>
      <c r="G251" t="e">
        <f>IF(OR($A251="",$A251=0),"",IF(OR(B251=2,B251=4,B251=6,B251=7),
    INDEX(Tabla13[Ind impuestos], MATCH($A251, Tabla13[N Doc], 0)),
""))</f>
        <v>#REF!</v>
      </c>
      <c r="J251" t="e">
        <f>IF(OR($A251="",$A251=0),"",IF(OR(B251=2,B251=4,B251=6,B251=7),
    INDEX(Tabla1[CECO], MATCH($A251, Tabla1[N Doc], 0)),
""))</f>
        <v>#REF!</v>
      </c>
      <c r="M251" t="e">
        <f>IF(C251=31,INDEX(Tabla1[Descripción], MATCH($A251, Tabla1[N Doc], 0)),"")</f>
        <v>#REF!</v>
      </c>
    </row>
    <row r="252" spans="1:13" x14ac:dyDescent="0.3">
      <c r="A252" t="e" cm="1">
        <f t="array" ref="A252">INDEX(Tabla1[N Doc], ROUNDUP((ROW()-1)/9, 0))</f>
        <v>#REF!</v>
      </c>
      <c r="B252" t="e">
        <f>IF(OR(A252="",A252=0),"",CHOOSE(
    COUNTIF($A$2:A252,A252),
    1,2,3,4,5,6,7,8,9
))</f>
        <v>#REF!</v>
      </c>
      <c r="C252" t="e">
        <f t="shared" si="3"/>
        <v>#REF!</v>
      </c>
      <c r="D252" s="7" t="e" cm="1">
        <f t="array" ref="D252">IF(OR($A252="",$A252=0),"",
IF(AND(INDEX(Formulario!$H$14:$H$100, $A252)="Si", C252&lt;&gt;31),
        VLOOKUP("cta puente",'Descripciones de gastos'!G:H, 2, FALSE),
IF(B252=1,
        INDEX(Tabla13[Titular], MATCH($A252, Tabla1[N Doc], 0)),
IF(B252=2,
        INDEX(Tabla1[Cuenta contable], MATCH($A252, Tabla1[N Doc], 0)),
IF(B252=3,
        INDEX(Tabla13[Cta Iva 22], MATCH($A252, Tabla1[N Doc], 0)),
IF(B252=4,
        INDEX(Tabla1[Cuenta contable], MATCH($A252, Tabla1[N Doc], 0)),
IF(B252=5,
        INDEX(Tabla13[Cta Iva 10], MATCH($A252, Tabla1[N Doc], 0)),
IF(B252=6,
        INDEX(Tabla1[Cuenta contable], MATCH($A252, Tabla1[N Doc], 0)),
IF(B252=7,
        INDEX(Tabla1[Cuenta contable], MATCH($A252, Tabla1[N Doc], 0)),
IF(B252=8,
        IF(INDEX(Tabla1[Tipo IVA], MATCH($A252, Tabla1[N Doc], 0))="22%",
             INDEX(Tabla13[Cta Iva 22], MATCH($A252, Tabla1[N Doc], 0)),
             INDEX(Tabla13[Cta Iva 10], MATCH($A252, Tabla1[N Doc], 0))),
IF(B252=9,
        INDEX(Tabla1[Cuenta contable], MATCH($A252, Tabla1[N Doc], 0))
)))))))))))</f>
        <v>#REF!</v>
      </c>
      <c r="F252" t="e">
        <f>IF(OR($A252="",$A252=0),"",IF(B252=1,
        INDEX(Tabla1[Importe total], MATCH($A252, Tabla1[N Doc], 0)),
IF(B252=2,
        INDEX(Tabla1[Base imponible 22], MATCH($A252, Tabla1[N Doc], 0)),
IF(B252=3,
        INDEX(Tabla1[Iva 22], MATCH($A252, Tabla1[N Doc], 0)),
IF(B252=4,
        INDEX(Tabla1[Base imponible 10], MATCH($A252, Tabla1[N Doc], 0)),
IF(B252=5,
        INDEX(Tabla1[Iva 10], MATCH($A252, Tabla1[N Doc], 0)),
IF(B252=6,
        INDEX(Tabla1[Exento], MATCH($A252, Tabla1[N Doc], 0)),
IF(B252=7,
        INDEX(#REF!, MATCH($A252, Tabla1[N Doc], 0)),
IF(B252=8,
        INDEX(#REF!, MATCH($A252, Tabla1[N Doc], 0)),
IF(B252=9,
        INDEX(Tabla1[Descuentos], MATCH($A252, Tabla1[N Doc], 0)),
""))))))))))</f>
        <v>#REF!</v>
      </c>
      <c r="G252" t="e">
        <f>IF(OR($A252="",$A252=0),"",IF(OR(B252=2,B252=4,B252=6,B252=7),
    INDEX(Tabla13[Ind impuestos], MATCH($A252, Tabla13[N Doc], 0)),
""))</f>
        <v>#REF!</v>
      </c>
      <c r="J252" t="e">
        <f>IF(OR($A252="",$A252=0),"",IF(OR(B252=2,B252=4,B252=6,B252=7),
    INDEX(Tabla1[CECO], MATCH($A252, Tabla1[N Doc], 0)),
""))</f>
        <v>#REF!</v>
      </c>
      <c r="M252" t="e">
        <f>IF(C252=31,INDEX(Tabla1[Descripción], MATCH($A252, Tabla1[N Doc], 0)),"")</f>
        <v>#REF!</v>
      </c>
    </row>
    <row r="253" spans="1:13" x14ac:dyDescent="0.3">
      <c r="A253" t="e" cm="1">
        <f t="array" ref="A253">INDEX(Tabla1[N Doc], ROUNDUP((ROW()-1)/9, 0))</f>
        <v>#REF!</v>
      </c>
      <c r="B253" t="e">
        <f>IF(OR(A253="",A253=0),"",CHOOSE(
    COUNTIF($A$2:A253,A253),
    1,2,3,4,5,6,7,8,9
))</f>
        <v>#REF!</v>
      </c>
      <c r="C253" t="e">
        <f t="shared" si="3"/>
        <v>#REF!</v>
      </c>
      <c r="D253" s="7" t="e" cm="1">
        <f t="array" ref="D253">IF(OR($A253="",$A253=0),"",
IF(AND(INDEX(Formulario!$H$14:$H$100, $A253)="Si", C253&lt;&gt;31),
        VLOOKUP("cta puente",'Descripciones de gastos'!G:H, 2, FALSE),
IF(B253=1,
        INDEX(Tabla13[Titular], MATCH($A253, Tabla1[N Doc], 0)),
IF(B253=2,
        INDEX(Tabla1[Cuenta contable], MATCH($A253, Tabla1[N Doc], 0)),
IF(B253=3,
        INDEX(Tabla13[Cta Iva 22], MATCH($A253, Tabla1[N Doc], 0)),
IF(B253=4,
        INDEX(Tabla1[Cuenta contable], MATCH($A253, Tabla1[N Doc], 0)),
IF(B253=5,
        INDEX(Tabla13[Cta Iva 10], MATCH($A253, Tabla1[N Doc], 0)),
IF(B253=6,
        INDEX(Tabla1[Cuenta contable], MATCH($A253, Tabla1[N Doc], 0)),
IF(B253=7,
        INDEX(Tabla1[Cuenta contable], MATCH($A253, Tabla1[N Doc], 0)),
IF(B253=8,
        IF(INDEX(Tabla1[Tipo IVA], MATCH($A253, Tabla1[N Doc], 0))="22%",
             INDEX(Tabla13[Cta Iva 22], MATCH($A253, Tabla1[N Doc], 0)),
             INDEX(Tabla13[Cta Iva 10], MATCH($A253, Tabla1[N Doc], 0))),
IF(B253=9,
        INDEX(Tabla1[Cuenta contable], MATCH($A253, Tabla1[N Doc], 0))
)))))))))))</f>
        <v>#REF!</v>
      </c>
      <c r="F253" t="e">
        <f>IF(OR($A253="",$A253=0),"",IF(B253=1,
        INDEX(Tabla1[Importe total], MATCH($A253, Tabla1[N Doc], 0)),
IF(B253=2,
        INDEX(Tabla1[Base imponible 22], MATCH($A253, Tabla1[N Doc], 0)),
IF(B253=3,
        INDEX(Tabla1[Iva 22], MATCH($A253, Tabla1[N Doc], 0)),
IF(B253=4,
        INDEX(Tabla1[Base imponible 10], MATCH($A253, Tabla1[N Doc], 0)),
IF(B253=5,
        INDEX(Tabla1[Iva 10], MATCH($A253, Tabla1[N Doc], 0)),
IF(B253=6,
        INDEX(Tabla1[Exento], MATCH($A253, Tabla1[N Doc], 0)),
IF(B253=7,
        INDEX(#REF!, MATCH($A253, Tabla1[N Doc], 0)),
IF(B253=8,
        INDEX(#REF!, MATCH($A253, Tabla1[N Doc], 0)),
IF(B253=9,
        INDEX(Tabla1[Descuentos], MATCH($A253, Tabla1[N Doc], 0)),
""))))))))))</f>
        <v>#REF!</v>
      </c>
      <c r="G253" t="e">
        <f>IF(OR($A253="",$A253=0),"",IF(OR(B253=2,B253=4,B253=6,B253=7),
    INDEX(Tabla13[Ind impuestos], MATCH($A253, Tabla13[N Doc], 0)),
""))</f>
        <v>#REF!</v>
      </c>
      <c r="J253" t="e">
        <f>IF(OR($A253="",$A253=0),"",IF(OR(B253=2,B253=4,B253=6,B253=7),
    INDEX(Tabla1[CECO], MATCH($A253, Tabla1[N Doc], 0)),
""))</f>
        <v>#REF!</v>
      </c>
      <c r="M253" t="e">
        <f>IF(C253=31,INDEX(Tabla1[Descripción], MATCH($A253, Tabla1[N Doc], 0)),"")</f>
        <v>#REF!</v>
      </c>
    </row>
    <row r="254" spans="1:13" x14ac:dyDescent="0.3">
      <c r="A254" t="e" cm="1">
        <f t="array" ref="A254">INDEX(Tabla1[N Doc], ROUNDUP((ROW()-1)/9, 0))</f>
        <v>#REF!</v>
      </c>
      <c r="B254" t="e">
        <f>IF(OR(A254="",A254=0),"",CHOOSE(
    COUNTIF($A$2:A254,A254),
    1,2,3,4,5,6,7,8,9
))</f>
        <v>#REF!</v>
      </c>
      <c r="C254" t="e">
        <f t="shared" si="3"/>
        <v>#REF!</v>
      </c>
      <c r="D254" s="7" t="e" cm="1">
        <f t="array" ref="D254">IF(OR($A254="",$A254=0),"",
IF(AND(INDEX(Formulario!$H$14:$H$100, $A254)="Si", C254&lt;&gt;31),
        VLOOKUP("cta puente",'Descripciones de gastos'!G:H, 2, FALSE),
IF(B254=1,
        INDEX(Tabla13[Titular], MATCH($A254, Tabla1[N Doc], 0)),
IF(B254=2,
        INDEX(Tabla1[Cuenta contable], MATCH($A254, Tabla1[N Doc], 0)),
IF(B254=3,
        INDEX(Tabla13[Cta Iva 22], MATCH($A254, Tabla1[N Doc], 0)),
IF(B254=4,
        INDEX(Tabla1[Cuenta contable], MATCH($A254, Tabla1[N Doc], 0)),
IF(B254=5,
        INDEX(Tabla13[Cta Iva 10], MATCH($A254, Tabla1[N Doc], 0)),
IF(B254=6,
        INDEX(Tabla1[Cuenta contable], MATCH($A254, Tabla1[N Doc], 0)),
IF(B254=7,
        INDEX(Tabla1[Cuenta contable], MATCH($A254, Tabla1[N Doc], 0)),
IF(B254=8,
        IF(INDEX(Tabla1[Tipo IVA], MATCH($A254, Tabla1[N Doc], 0))="22%",
             INDEX(Tabla13[Cta Iva 22], MATCH($A254, Tabla1[N Doc], 0)),
             INDEX(Tabla13[Cta Iva 10], MATCH($A254, Tabla1[N Doc], 0))),
IF(B254=9,
        INDEX(Tabla1[Cuenta contable], MATCH($A254, Tabla1[N Doc], 0))
)))))))))))</f>
        <v>#REF!</v>
      </c>
      <c r="F254" t="e">
        <f>IF(OR($A254="",$A254=0),"",IF(B254=1,
        INDEX(Tabla1[Importe total], MATCH($A254, Tabla1[N Doc], 0)),
IF(B254=2,
        INDEX(Tabla1[Base imponible 22], MATCH($A254, Tabla1[N Doc], 0)),
IF(B254=3,
        INDEX(Tabla1[Iva 22], MATCH($A254, Tabla1[N Doc], 0)),
IF(B254=4,
        INDEX(Tabla1[Base imponible 10], MATCH($A254, Tabla1[N Doc], 0)),
IF(B254=5,
        INDEX(Tabla1[Iva 10], MATCH($A254, Tabla1[N Doc], 0)),
IF(B254=6,
        INDEX(Tabla1[Exento], MATCH($A254, Tabla1[N Doc], 0)),
IF(B254=7,
        INDEX(#REF!, MATCH($A254, Tabla1[N Doc], 0)),
IF(B254=8,
        INDEX(#REF!, MATCH($A254, Tabla1[N Doc], 0)),
IF(B254=9,
        INDEX(Tabla1[Descuentos], MATCH($A254, Tabla1[N Doc], 0)),
""))))))))))</f>
        <v>#REF!</v>
      </c>
      <c r="G254" t="e">
        <f>IF(OR($A254="",$A254=0),"",IF(OR(B254=2,B254=4,B254=6,B254=7),
    INDEX(Tabla13[Ind impuestos], MATCH($A254, Tabla13[N Doc], 0)),
""))</f>
        <v>#REF!</v>
      </c>
      <c r="J254" t="e">
        <f>IF(OR($A254="",$A254=0),"",IF(OR(B254=2,B254=4,B254=6,B254=7),
    INDEX(Tabla1[CECO], MATCH($A254, Tabla1[N Doc], 0)),
""))</f>
        <v>#REF!</v>
      </c>
      <c r="M254" t="e">
        <f>IF(C254=31,INDEX(Tabla1[Descripción], MATCH($A254, Tabla1[N Doc], 0)),"")</f>
        <v>#REF!</v>
      </c>
    </row>
    <row r="255" spans="1:13" x14ac:dyDescent="0.3">
      <c r="A255" t="e" cm="1">
        <f t="array" ref="A255">INDEX(Tabla1[N Doc], ROUNDUP((ROW()-1)/9, 0))</f>
        <v>#REF!</v>
      </c>
      <c r="B255" t="e">
        <f>IF(OR(A255="",A255=0),"",CHOOSE(
    COUNTIF($A$2:A255,A255),
    1,2,3,4,5,6,7,8,9
))</f>
        <v>#REF!</v>
      </c>
      <c r="C255" t="e">
        <f t="shared" si="3"/>
        <v>#REF!</v>
      </c>
      <c r="D255" s="7" t="e" cm="1">
        <f t="array" ref="D255">IF(OR($A255="",$A255=0),"",
IF(AND(INDEX(Formulario!$H$14:$H$100, $A255)="Si", C255&lt;&gt;31),
        VLOOKUP("cta puente",'Descripciones de gastos'!G:H, 2, FALSE),
IF(B255=1,
        INDEX(Tabla13[Titular], MATCH($A255, Tabla1[N Doc], 0)),
IF(B255=2,
        INDEX(Tabla1[Cuenta contable], MATCH($A255, Tabla1[N Doc], 0)),
IF(B255=3,
        INDEX(Tabla13[Cta Iva 22], MATCH($A255, Tabla1[N Doc], 0)),
IF(B255=4,
        INDEX(Tabla1[Cuenta contable], MATCH($A255, Tabla1[N Doc], 0)),
IF(B255=5,
        INDEX(Tabla13[Cta Iva 10], MATCH($A255, Tabla1[N Doc], 0)),
IF(B255=6,
        INDEX(Tabla1[Cuenta contable], MATCH($A255, Tabla1[N Doc], 0)),
IF(B255=7,
        INDEX(Tabla1[Cuenta contable], MATCH($A255, Tabla1[N Doc], 0)),
IF(B255=8,
        IF(INDEX(Tabla1[Tipo IVA], MATCH($A255, Tabla1[N Doc], 0))="22%",
             INDEX(Tabla13[Cta Iva 22], MATCH($A255, Tabla1[N Doc], 0)),
             INDEX(Tabla13[Cta Iva 10], MATCH($A255, Tabla1[N Doc], 0))),
IF(B255=9,
        INDEX(Tabla1[Cuenta contable], MATCH($A255, Tabla1[N Doc], 0))
)))))))))))</f>
        <v>#REF!</v>
      </c>
      <c r="F255" t="e">
        <f>IF(OR($A255="",$A255=0),"",IF(B255=1,
        INDEX(Tabla1[Importe total], MATCH($A255, Tabla1[N Doc], 0)),
IF(B255=2,
        INDEX(Tabla1[Base imponible 22], MATCH($A255, Tabla1[N Doc], 0)),
IF(B255=3,
        INDEX(Tabla1[Iva 22], MATCH($A255, Tabla1[N Doc], 0)),
IF(B255=4,
        INDEX(Tabla1[Base imponible 10], MATCH($A255, Tabla1[N Doc], 0)),
IF(B255=5,
        INDEX(Tabla1[Iva 10], MATCH($A255, Tabla1[N Doc], 0)),
IF(B255=6,
        INDEX(Tabla1[Exento], MATCH($A255, Tabla1[N Doc], 0)),
IF(B255=7,
        INDEX(#REF!, MATCH($A255, Tabla1[N Doc], 0)),
IF(B255=8,
        INDEX(#REF!, MATCH($A255, Tabla1[N Doc], 0)),
IF(B255=9,
        INDEX(Tabla1[Descuentos], MATCH($A255, Tabla1[N Doc], 0)),
""))))))))))</f>
        <v>#REF!</v>
      </c>
      <c r="G255" t="e">
        <f>IF(OR($A255="",$A255=0),"",IF(OR(B255=2,B255=4,B255=6,B255=7),
    INDEX(Tabla13[Ind impuestos], MATCH($A255, Tabla13[N Doc], 0)),
""))</f>
        <v>#REF!</v>
      </c>
      <c r="J255" t="e">
        <f>IF(OR($A255="",$A255=0),"",IF(OR(B255=2,B255=4,B255=6,B255=7),
    INDEX(Tabla1[CECO], MATCH($A255, Tabla1[N Doc], 0)),
""))</f>
        <v>#REF!</v>
      </c>
      <c r="M255" t="e">
        <f>IF(C255=31,INDEX(Tabla1[Descripción], MATCH($A255, Tabla1[N Doc], 0)),"")</f>
        <v>#REF!</v>
      </c>
    </row>
    <row r="256" spans="1:13" x14ac:dyDescent="0.3">
      <c r="A256" t="e" cm="1">
        <f t="array" ref="A256">INDEX(Tabla1[N Doc], ROUNDUP((ROW()-1)/9, 0))</f>
        <v>#REF!</v>
      </c>
      <c r="B256" t="e">
        <f>IF(OR(A256="",A256=0),"",CHOOSE(
    COUNTIF($A$2:A256,A256),
    1,2,3,4,5,6,7,8,9
))</f>
        <v>#REF!</v>
      </c>
      <c r="C256" t="e">
        <f t="shared" si="3"/>
        <v>#REF!</v>
      </c>
      <c r="D256" s="7" t="e" cm="1">
        <f t="array" ref="D256">IF(OR($A256="",$A256=0),"",
IF(AND(INDEX(Formulario!$H$14:$H$100, $A256)="Si", C256&lt;&gt;31),
        VLOOKUP("cta puente",'Descripciones de gastos'!G:H, 2, FALSE),
IF(B256=1,
        INDEX(Tabla13[Titular], MATCH($A256, Tabla1[N Doc], 0)),
IF(B256=2,
        INDEX(Tabla1[Cuenta contable], MATCH($A256, Tabla1[N Doc], 0)),
IF(B256=3,
        INDEX(Tabla13[Cta Iva 22], MATCH($A256, Tabla1[N Doc], 0)),
IF(B256=4,
        INDEX(Tabla1[Cuenta contable], MATCH($A256, Tabla1[N Doc], 0)),
IF(B256=5,
        INDEX(Tabla13[Cta Iva 10], MATCH($A256, Tabla1[N Doc], 0)),
IF(B256=6,
        INDEX(Tabla1[Cuenta contable], MATCH($A256, Tabla1[N Doc], 0)),
IF(B256=7,
        INDEX(Tabla1[Cuenta contable], MATCH($A256, Tabla1[N Doc], 0)),
IF(B256=8,
        IF(INDEX(Tabla1[Tipo IVA], MATCH($A256, Tabla1[N Doc], 0))="22%",
             INDEX(Tabla13[Cta Iva 22], MATCH($A256, Tabla1[N Doc], 0)),
             INDEX(Tabla13[Cta Iva 10], MATCH($A256, Tabla1[N Doc], 0))),
IF(B256=9,
        INDEX(Tabla1[Cuenta contable], MATCH($A256, Tabla1[N Doc], 0))
)))))))))))</f>
        <v>#REF!</v>
      </c>
      <c r="F256" t="e">
        <f>IF(OR($A256="",$A256=0),"",IF(B256=1,
        INDEX(Tabla1[Importe total], MATCH($A256, Tabla1[N Doc], 0)),
IF(B256=2,
        INDEX(Tabla1[Base imponible 22], MATCH($A256, Tabla1[N Doc], 0)),
IF(B256=3,
        INDEX(Tabla1[Iva 22], MATCH($A256, Tabla1[N Doc], 0)),
IF(B256=4,
        INDEX(Tabla1[Base imponible 10], MATCH($A256, Tabla1[N Doc], 0)),
IF(B256=5,
        INDEX(Tabla1[Iva 10], MATCH($A256, Tabla1[N Doc], 0)),
IF(B256=6,
        INDEX(Tabla1[Exento], MATCH($A256, Tabla1[N Doc], 0)),
IF(B256=7,
        INDEX(#REF!, MATCH($A256, Tabla1[N Doc], 0)),
IF(B256=8,
        INDEX(#REF!, MATCH($A256, Tabla1[N Doc], 0)),
IF(B256=9,
        INDEX(Tabla1[Descuentos], MATCH($A256, Tabla1[N Doc], 0)),
""))))))))))</f>
        <v>#REF!</v>
      </c>
      <c r="G256" t="e">
        <f>IF(OR($A256="",$A256=0),"",IF(OR(B256=2,B256=4,B256=6,B256=7),
    INDEX(Tabla13[Ind impuestos], MATCH($A256, Tabla13[N Doc], 0)),
""))</f>
        <v>#REF!</v>
      </c>
      <c r="J256" t="e">
        <f>IF(OR($A256="",$A256=0),"",IF(OR(B256=2,B256=4,B256=6,B256=7),
    INDEX(Tabla1[CECO], MATCH($A256, Tabla1[N Doc], 0)),
""))</f>
        <v>#REF!</v>
      </c>
      <c r="M256" t="e">
        <f>IF(C256=31,INDEX(Tabla1[Descripción], MATCH($A256, Tabla1[N Doc], 0)),"")</f>
        <v>#REF!</v>
      </c>
    </row>
    <row r="257" spans="1:13" x14ac:dyDescent="0.3">
      <c r="A257" t="e" cm="1">
        <f t="array" ref="A257">INDEX(Tabla1[N Doc], ROUNDUP((ROW()-1)/9, 0))</f>
        <v>#REF!</v>
      </c>
      <c r="B257" t="e">
        <f>IF(OR(A257="",A257=0),"",CHOOSE(
    COUNTIF($A$2:A257,A257),
    1,2,3,4,5,6,7,8,9
))</f>
        <v>#REF!</v>
      </c>
      <c r="C257" t="e">
        <f t="shared" si="3"/>
        <v>#REF!</v>
      </c>
      <c r="D257" s="7" t="e" cm="1">
        <f t="array" ref="D257">IF(OR($A257="",$A257=0),"",
IF(AND(INDEX(Formulario!$H$14:$H$100, $A257)="Si", C257&lt;&gt;31),
        VLOOKUP("cta puente",'Descripciones de gastos'!G:H, 2, FALSE),
IF(B257=1,
        INDEX(Tabla13[Titular], MATCH($A257, Tabla1[N Doc], 0)),
IF(B257=2,
        INDEX(Tabla1[Cuenta contable], MATCH($A257, Tabla1[N Doc], 0)),
IF(B257=3,
        INDEX(Tabla13[Cta Iva 22], MATCH($A257, Tabla1[N Doc], 0)),
IF(B257=4,
        INDEX(Tabla1[Cuenta contable], MATCH($A257, Tabla1[N Doc], 0)),
IF(B257=5,
        INDEX(Tabla13[Cta Iva 10], MATCH($A257, Tabla1[N Doc], 0)),
IF(B257=6,
        INDEX(Tabla1[Cuenta contable], MATCH($A257, Tabla1[N Doc], 0)),
IF(B257=7,
        INDEX(Tabla1[Cuenta contable], MATCH($A257, Tabla1[N Doc], 0)),
IF(B257=8,
        IF(INDEX(Tabla1[Tipo IVA], MATCH($A257, Tabla1[N Doc], 0))="22%",
             INDEX(Tabla13[Cta Iva 22], MATCH($A257, Tabla1[N Doc], 0)),
             INDEX(Tabla13[Cta Iva 10], MATCH($A257, Tabla1[N Doc], 0))),
IF(B257=9,
        INDEX(Tabla1[Cuenta contable], MATCH($A257, Tabla1[N Doc], 0))
)))))))))))</f>
        <v>#REF!</v>
      </c>
      <c r="F257" t="e">
        <f>IF(OR($A257="",$A257=0),"",IF(B257=1,
        INDEX(Tabla1[Importe total], MATCH($A257, Tabla1[N Doc], 0)),
IF(B257=2,
        INDEX(Tabla1[Base imponible 22], MATCH($A257, Tabla1[N Doc], 0)),
IF(B257=3,
        INDEX(Tabla1[Iva 22], MATCH($A257, Tabla1[N Doc], 0)),
IF(B257=4,
        INDEX(Tabla1[Base imponible 10], MATCH($A257, Tabla1[N Doc], 0)),
IF(B257=5,
        INDEX(Tabla1[Iva 10], MATCH($A257, Tabla1[N Doc], 0)),
IF(B257=6,
        INDEX(Tabla1[Exento], MATCH($A257, Tabla1[N Doc], 0)),
IF(B257=7,
        INDEX(#REF!, MATCH($A257, Tabla1[N Doc], 0)),
IF(B257=8,
        INDEX(#REF!, MATCH($A257, Tabla1[N Doc], 0)),
IF(B257=9,
        INDEX(Tabla1[Descuentos], MATCH($A257, Tabla1[N Doc], 0)),
""))))))))))</f>
        <v>#REF!</v>
      </c>
      <c r="G257" t="e">
        <f>IF(OR($A257="",$A257=0),"",IF(OR(B257=2,B257=4,B257=6,B257=7),
    INDEX(Tabla13[Ind impuestos], MATCH($A257, Tabla13[N Doc], 0)),
""))</f>
        <v>#REF!</v>
      </c>
      <c r="J257" t="e">
        <f>IF(OR($A257="",$A257=0),"",IF(OR(B257=2,B257=4,B257=6,B257=7),
    INDEX(Tabla1[CECO], MATCH($A257, Tabla1[N Doc], 0)),
""))</f>
        <v>#REF!</v>
      </c>
      <c r="M257" t="e">
        <f>IF(C257=31,INDEX(Tabla1[Descripción], MATCH($A257, Tabla1[N Doc], 0)),"")</f>
        <v>#REF!</v>
      </c>
    </row>
    <row r="258" spans="1:13" x14ac:dyDescent="0.3">
      <c r="A258" t="e" cm="1">
        <f t="array" ref="A258">INDEX(Tabla1[N Doc], ROUNDUP((ROW()-1)/9, 0))</f>
        <v>#REF!</v>
      </c>
      <c r="B258" t="e">
        <f>IF(OR(A258="",A258=0),"",CHOOSE(
    COUNTIF($A$2:A258,A258),
    1,2,3,4,5,6,7,8,9
))</f>
        <v>#REF!</v>
      </c>
      <c r="C258" t="e">
        <f t="shared" si="3"/>
        <v>#REF!</v>
      </c>
      <c r="D258" s="7" t="e" cm="1">
        <f t="array" ref="D258">IF(OR($A258="",$A258=0),"",
IF(AND(INDEX(Formulario!$H$14:$H$100, $A258)="Si", C258&lt;&gt;31),
        VLOOKUP("cta puente",'Descripciones de gastos'!G:H, 2, FALSE),
IF(B258=1,
        INDEX(Tabla13[Titular], MATCH($A258, Tabla1[N Doc], 0)),
IF(B258=2,
        INDEX(Tabla1[Cuenta contable], MATCH($A258, Tabla1[N Doc], 0)),
IF(B258=3,
        INDEX(Tabla13[Cta Iva 22], MATCH($A258, Tabla1[N Doc], 0)),
IF(B258=4,
        INDEX(Tabla1[Cuenta contable], MATCH($A258, Tabla1[N Doc], 0)),
IF(B258=5,
        INDEX(Tabla13[Cta Iva 10], MATCH($A258, Tabla1[N Doc], 0)),
IF(B258=6,
        INDEX(Tabla1[Cuenta contable], MATCH($A258, Tabla1[N Doc], 0)),
IF(B258=7,
        INDEX(Tabla1[Cuenta contable], MATCH($A258, Tabla1[N Doc], 0)),
IF(B258=8,
        IF(INDEX(Tabla1[Tipo IVA], MATCH($A258, Tabla1[N Doc], 0))="22%",
             INDEX(Tabla13[Cta Iva 22], MATCH($A258, Tabla1[N Doc], 0)),
             INDEX(Tabla13[Cta Iva 10], MATCH($A258, Tabla1[N Doc], 0))),
IF(B258=9,
        INDEX(Tabla1[Cuenta contable], MATCH($A258, Tabla1[N Doc], 0))
)))))))))))</f>
        <v>#REF!</v>
      </c>
      <c r="F258" t="e">
        <f>IF(OR($A258="",$A258=0),"",IF(B258=1,
        INDEX(Tabla1[Importe total], MATCH($A258, Tabla1[N Doc], 0)),
IF(B258=2,
        INDEX(Tabla1[Base imponible 22], MATCH($A258, Tabla1[N Doc], 0)),
IF(B258=3,
        INDEX(Tabla1[Iva 22], MATCH($A258, Tabla1[N Doc], 0)),
IF(B258=4,
        INDEX(Tabla1[Base imponible 10], MATCH($A258, Tabla1[N Doc], 0)),
IF(B258=5,
        INDEX(Tabla1[Iva 10], MATCH($A258, Tabla1[N Doc], 0)),
IF(B258=6,
        INDEX(Tabla1[Exento], MATCH($A258, Tabla1[N Doc], 0)),
IF(B258=7,
        INDEX(#REF!, MATCH($A258, Tabla1[N Doc], 0)),
IF(B258=8,
        INDEX(#REF!, MATCH($A258, Tabla1[N Doc], 0)),
IF(B258=9,
        INDEX(Tabla1[Descuentos], MATCH($A258, Tabla1[N Doc], 0)),
""))))))))))</f>
        <v>#REF!</v>
      </c>
      <c r="G258" t="e">
        <f>IF(OR($A258="",$A258=0),"",IF(OR(B258=2,B258=4,B258=6,B258=7),
    INDEX(Tabla13[Ind impuestos], MATCH($A258, Tabla13[N Doc], 0)),
""))</f>
        <v>#REF!</v>
      </c>
      <c r="J258" t="e">
        <f>IF(OR($A258="",$A258=0),"",IF(OR(B258=2,B258=4,B258=6,B258=7),
    INDEX(Tabla1[CECO], MATCH($A258, Tabla1[N Doc], 0)),
""))</f>
        <v>#REF!</v>
      </c>
      <c r="M258" t="e">
        <f>IF(C258=31,INDEX(Tabla1[Descripción], MATCH($A258, Tabla1[N Doc], 0)),"")</f>
        <v>#REF!</v>
      </c>
    </row>
    <row r="259" spans="1:13" x14ac:dyDescent="0.3">
      <c r="A259" t="e" cm="1">
        <f t="array" ref="A259">INDEX(Tabla1[N Doc], ROUNDUP((ROW()-1)/9, 0))</f>
        <v>#REF!</v>
      </c>
      <c r="B259" t="e">
        <f>IF(OR(A259="",A259=0),"",CHOOSE(
    COUNTIF($A$2:A259,A259),
    1,2,3,4,5,6,7,8,9
))</f>
        <v>#REF!</v>
      </c>
      <c r="C259" t="e">
        <f t="shared" ref="C259:C322" si="4">IF(A259="","",IF(B259=1,31,IF(B259=9,50,40)))</f>
        <v>#REF!</v>
      </c>
      <c r="D259" s="7" t="e" cm="1">
        <f t="array" ref="D259">IF(OR($A259="",$A259=0),"",
IF(AND(INDEX(Formulario!$H$14:$H$100, $A259)="Si", C259&lt;&gt;31),
        VLOOKUP("cta puente",'Descripciones de gastos'!G:H, 2, FALSE),
IF(B259=1,
        INDEX(Tabla13[Titular], MATCH($A259, Tabla1[N Doc], 0)),
IF(B259=2,
        INDEX(Tabla1[Cuenta contable], MATCH($A259, Tabla1[N Doc], 0)),
IF(B259=3,
        INDEX(Tabla13[Cta Iva 22], MATCH($A259, Tabla1[N Doc], 0)),
IF(B259=4,
        INDEX(Tabla1[Cuenta contable], MATCH($A259, Tabla1[N Doc], 0)),
IF(B259=5,
        INDEX(Tabla13[Cta Iva 10], MATCH($A259, Tabla1[N Doc], 0)),
IF(B259=6,
        INDEX(Tabla1[Cuenta contable], MATCH($A259, Tabla1[N Doc], 0)),
IF(B259=7,
        INDEX(Tabla1[Cuenta contable], MATCH($A259, Tabla1[N Doc], 0)),
IF(B259=8,
        IF(INDEX(Tabla1[Tipo IVA], MATCH($A259, Tabla1[N Doc], 0))="22%",
             INDEX(Tabla13[Cta Iva 22], MATCH($A259, Tabla1[N Doc], 0)),
             INDEX(Tabla13[Cta Iva 10], MATCH($A259, Tabla1[N Doc], 0))),
IF(B259=9,
        INDEX(Tabla1[Cuenta contable], MATCH($A259, Tabla1[N Doc], 0))
)))))))))))</f>
        <v>#REF!</v>
      </c>
      <c r="F259" t="e">
        <f>IF(OR($A259="",$A259=0),"",IF(B259=1,
        INDEX(Tabla1[Importe total], MATCH($A259, Tabla1[N Doc], 0)),
IF(B259=2,
        INDEX(Tabla1[Base imponible 22], MATCH($A259, Tabla1[N Doc], 0)),
IF(B259=3,
        INDEX(Tabla1[Iva 22], MATCH($A259, Tabla1[N Doc], 0)),
IF(B259=4,
        INDEX(Tabla1[Base imponible 10], MATCH($A259, Tabla1[N Doc], 0)),
IF(B259=5,
        INDEX(Tabla1[Iva 10], MATCH($A259, Tabla1[N Doc], 0)),
IF(B259=6,
        INDEX(Tabla1[Exento], MATCH($A259, Tabla1[N Doc], 0)),
IF(B259=7,
        INDEX(#REF!, MATCH($A259, Tabla1[N Doc], 0)),
IF(B259=8,
        INDEX(#REF!, MATCH($A259, Tabla1[N Doc], 0)),
IF(B259=9,
        INDEX(Tabla1[Descuentos], MATCH($A259, Tabla1[N Doc], 0)),
""))))))))))</f>
        <v>#REF!</v>
      </c>
      <c r="G259" t="e">
        <f>IF(OR($A259="",$A259=0),"",IF(OR(B259=2,B259=4,B259=6,B259=7),
    INDEX(Tabla13[Ind impuestos], MATCH($A259, Tabla13[N Doc], 0)),
""))</f>
        <v>#REF!</v>
      </c>
      <c r="J259" t="e">
        <f>IF(OR($A259="",$A259=0),"",IF(OR(B259=2,B259=4,B259=6,B259=7),
    INDEX(Tabla1[CECO], MATCH($A259, Tabla1[N Doc], 0)),
""))</f>
        <v>#REF!</v>
      </c>
      <c r="M259" t="e">
        <f>IF(C259=31,INDEX(Tabla1[Descripción], MATCH($A259, Tabla1[N Doc], 0)),"")</f>
        <v>#REF!</v>
      </c>
    </row>
    <row r="260" spans="1:13" x14ac:dyDescent="0.3">
      <c r="A260" t="e" cm="1">
        <f t="array" ref="A260">INDEX(Tabla1[N Doc], ROUNDUP((ROW()-1)/9, 0))</f>
        <v>#REF!</v>
      </c>
      <c r="B260" t="e">
        <f>IF(OR(A260="",A260=0),"",CHOOSE(
    COUNTIF($A$2:A260,A260),
    1,2,3,4,5,6,7,8,9
))</f>
        <v>#REF!</v>
      </c>
      <c r="C260" t="e">
        <f t="shared" si="4"/>
        <v>#REF!</v>
      </c>
      <c r="D260" s="7" t="e" cm="1">
        <f t="array" ref="D260">IF(OR($A260="",$A260=0),"",
IF(AND(INDEX(Formulario!$H$14:$H$100, $A260)="Si", C260&lt;&gt;31),
        VLOOKUP("cta puente",'Descripciones de gastos'!G:H, 2, FALSE),
IF(B260=1,
        INDEX(Tabla13[Titular], MATCH($A260, Tabla1[N Doc], 0)),
IF(B260=2,
        INDEX(Tabla1[Cuenta contable], MATCH($A260, Tabla1[N Doc], 0)),
IF(B260=3,
        INDEX(Tabla13[Cta Iva 22], MATCH($A260, Tabla1[N Doc], 0)),
IF(B260=4,
        INDEX(Tabla1[Cuenta contable], MATCH($A260, Tabla1[N Doc], 0)),
IF(B260=5,
        INDEX(Tabla13[Cta Iva 10], MATCH($A260, Tabla1[N Doc], 0)),
IF(B260=6,
        INDEX(Tabla1[Cuenta contable], MATCH($A260, Tabla1[N Doc], 0)),
IF(B260=7,
        INDEX(Tabla1[Cuenta contable], MATCH($A260, Tabla1[N Doc], 0)),
IF(B260=8,
        IF(INDEX(Tabla1[Tipo IVA], MATCH($A260, Tabla1[N Doc], 0))="22%",
             INDEX(Tabla13[Cta Iva 22], MATCH($A260, Tabla1[N Doc], 0)),
             INDEX(Tabla13[Cta Iva 10], MATCH($A260, Tabla1[N Doc], 0))),
IF(B260=9,
        INDEX(Tabla1[Cuenta contable], MATCH($A260, Tabla1[N Doc], 0))
)))))))))))</f>
        <v>#REF!</v>
      </c>
      <c r="F260" t="e">
        <f>IF(OR($A260="",$A260=0),"",IF(B260=1,
        INDEX(Tabla1[Importe total], MATCH($A260, Tabla1[N Doc], 0)),
IF(B260=2,
        INDEX(Tabla1[Base imponible 22], MATCH($A260, Tabla1[N Doc], 0)),
IF(B260=3,
        INDEX(Tabla1[Iva 22], MATCH($A260, Tabla1[N Doc], 0)),
IF(B260=4,
        INDEX(Tabla1[Base imponible 10], MATCH($A260, Tabla1[N Doc], 0)),
IF(B260=5,
        INDEX(Tabla1[Iva 10], MATCH($A260, Tabla1[N Doc], 0)),
IF(B260=6,
        INDEX(Tabla1[Exento], MATCH($A260, Tabla1[N Doc], 0)),
IF(B260=7,
        INDEX(#REF!, MATCH($A260, Tabla1[N Doc], 0)),
IF(B260=8,
        INDEX(#REF!, MATCH($A260, Tabla1[N Doc], 0)),
IF(B260=9,
        INDEX(Tabla1[Descuentos], MATCH($A260, Tabla1[N Doc], 0)),
""))))))))))</f>
        <v>#REF!</v>
      </c>
      <c r="G260" t="e">
        <f>IF(OR($A260="",$A260=0),"",IF(OR(B260=2,B260=4,B260=6,B260=7),
    INDEX(Tabla13[Ind impuestos], MATCH($A260, Tabla13[N Doc], 0)),
""))</f>
        <v>#REF!</v>
      </c>
      <c r="J260" t="e">
        <f>IF(OR($A260="",$A260=0),"",IF(OR(B260=2,B260=4,B260=6,B260=7),
    INDEX(Tabla1[CECO], MATCH($A260, Tabla1[N Doc], 0)),
""))</f>
        <v>#REF!</v>
      </c>
      <c r="M260" t="e">
        <f>IF(C260=31,INDEX(Tabla1[Descripción], MATCH($A260, Tabla1[N Doc], 0)),"")</f>
        <v>#REF!</v>
      </c>
    </row>
    <row r="261" spans="1:13" x14ac:dyDescent="0.3">
      <c r="A261" t="e" cm="1">
        <f t="array" ref="A261">INDEX(Tabla1[N Doc], ROUNDUP((ROW()-1)/9, 0))</f>
        <v>#REF!</v>
      </c>
      <c r="B261" t="e">
        <f>IF(OR(A261="",A261=0),"",CHOOSE(
    COUNTIF($A$2:A261,A261),
    1,2,3,4,5,6,7,8,9
))</f>
        <v>#REF!</v>
      </c>
      <c r="C261" t="e">
        <f t="shared" si="4"/>
        <v>#REF!</v>
      </c>
      <c r="D261" s="7" t="e" cm="1">
        <f t="array" ref="D261">IF(OR($A261="",$A261=0),"",
IF(AND(INDEX(Formulario!$H$14:$H$100, $A261)="Si", C261&lt;&gt;31),
        VLOOKUP("cta puente",'Descripciones de gastos'!G:H, 2, FALSE),
IF(B261=1,
        INDEX(Tabla13[Titular], MATCH($A261, Tabla1[N Doc], 0)),
IF(B261=2,
        INDEX(Tabla1[Cuenta contable], MATCH($A261, Tabla1[N Doc], 0)),
IF(B261=3,
        INDEX(Tabla13[Cta Iva 22], MATCH($A261, Tabla1[N Doc], 0)),
IF(B261=4,
        INDEX(Tabla1[Cuenta contable], MATCH($A261, Tabla1[N Doc], 0)),
IF(B261=5,
        INDEX(Tabla13[Cta Iva 10], MATCH($A261, Tabla1[N Doc], 0)),
IF(B261=6,
        INDEX(Tabla1[Cuenta contable], MATCH($A261, Tabla1[N Doc], 0)),
IF(B261=7,
        INDEX(Tabla1[Cuenta contable], MATCH($A261, Tabla1[N Doc], 0)),
IF(B261=8,
        IF(INDEX(Tabla1[Tipo IVA], MATCH($A261, Tabla1[N Doc], 0))="22%",
             INDEX(Tabla13[Cta Iva 22], MATCH($A261, Tabla1[N Doc], 0)),
             INDEX(Tabla13[Cta Iva 10], MATCH($A261, Tabla1[N Doc], 0))),
IF(B261=9,
        INDEX(Tabla1[Cuenta contable], MATCH($A261, Tabla1[N Doc], 0))
)))))))))))</f>
        <v>#REF!</v>
      </c>
      <c r="F261" t="e">
        <f>IF(OR($A261="",$A261=0),"",IF(B261=1,
        INDEX(Tabla1[Importe total], MATCH($A261, Tabla1[N Doc], 0)),
IF(B261=2,
        INDEX(Tabla1[Base imponible 22], MATCH($A261, Tabla1[N Doc], 0)),
IF(B261=3,
        INDEX(Tabla1[Iva 22], MATCH($A261, Tabla1[N Doc], 0)),
IF(B261=4,
        INDEX(Tabla1[Base imponible 10], MATCH($A261, Tabla1[N Doc], 0)),
IF(B261=5,
        INDEX(Tabla1[Iva 10], MATCH($A261, Tabla1[N Doc], 0)),
IF(B261=6,
        INDEX(Tabla1[Exento], MATCH($A261, Tabla1[N Doc], 0)),
IF(B261=7,
        INDEX(#REF!, MATCH($A261, Tabla1[N Doc], 0)),
IF(B261=8,
        INDEX(#REF!, MATCH($A261, Tabla1[N Doc], 0)),
IF(B261=9,
        INDEX(Tabla1[Descuentos], MATCH($A261, Tabla1[N Doc], 0)),
""))))))))))</f>
        <v>#REF!</v>
      </c>
      <c r="G261" t="e">
        <f>IF(OR($A261="",$A261=0),"",IF(OR(B261=2,B261=4,B261=6,B261=7),
    INDEX(Tabla13[Ind impuestos], MATCH($A261, Tabla13[N Doc], 0)),
""))</f>
        <v>#REF!</v>
      </c>
      <c r="J261" t="e">
        <f>IF(OR($A261="",$A261=0),"",IF(OR(B261=2,B261=4,B261=6,B261=7),
    INDEX(Tabla1[CECO], MATCH($A261, Tabla1[N Doc], 0)),
""))</f>
        <v>#REF!</v>
      </c>
      <c r="M261" t="e">
        <f>IF(C261=31,INDEX(Tabla1[Descripción], MATCH($A261, Tabla1[N Doc], 0)),"")</f>
        <v>#REF!</v>
      </c>
    </row>
    <row r="262" spans="1:13" x14ac:dyDescent="0.3">
      <c r="A262" t="e" cm="1">
        <f t="array" ref="A262">INDEX(Tabla1[N Doc], ROUNDUP((ROW()-1)/9, 0))</f>
        <v>#REF!</v>
      </c>
      <c r="B262" t="e">
        <f>IF(OR(A262="",A262=0),"",CHOOSE(
    COUNTIF($A$2:A262,A262),
    1,2,3,4,5,6,7,8,9
))</f>
        <v>#REF!</v>
      </c>
      <c r="C262" t="e">
        <f t="shared" si="4"/>
        <v>#REF!</v>
      </c>
      <c r="D262" s="7" t="e" cm="1">
        <f t="array" ref="D262">IF(OR($A262="",$A262=0),"",
IF(AND(INDEX(Formulario!$H$14:$H$100, $A262)="Si", C262&lt;&gt;31),
        VLOOKUP("cta puente",'Descripciones de gastos'!G:H, 2, FALSE),
IF(B262=1,
        INDEX(Tabla13[Titular], MATCH($A262, Tabla1[N Doc], 0)),
IF(B262=2,
        INDEX(Tabla1[Cuenta contable], MATCH($A262, Tabla1[N Doc], 0)),
IF(B262=3,
        INDEX(Tabla13[Cta Iva 22], MATCH($A262, Tabla1[N Doc], 0)),
IF(B262=4,
        INDEX(Tabla1[Cuenta contable], MATCH($A262, Tabla1[N Doc], 0)),
IF(B262=5,
        INDEX(Tabla13[Cta Iva 10], MATCH($A262, Tabla1[N Doc], 0)),
IF(B262=6,
        INDEX(Tabla1[Cuenta contable], MATCH($A262, Tabla1[N Doc], 0)),
IF(B262=7,
        INDEX(Tabla1[Cuenta contable], MATCH($A262, Tabla1[N Doc], 0)),
IF(B262=8,
        IF(INDEX(Tabla1[Tipo IVA], MATCH($A262, Tabla1[N Doc], 0))="22%",
             INDEX(Tabla13[Cta Iva 22], MATCH($A262, Tabla1[N Doc], 0)),
             INDEX(Tabla13[Cta Iva 10], MATCH($A262, Tabla1[N Doc], 0))),
IF(B262=9,
        INDEX(Tabla1[Cuenta contable], MATCH($A262, Tabla1[N Doc], 0))
)))))))))))</f>
        <v>#REF!</v>
      </c>
      <c r="F262" t="e">
        <f>IF(OR($A262="",$A262=0),"",IF(B262=1,
        INDEX(Tabla1[Importe total], MATCH($A262, Tabla1[N Doc], 0)),
IF(B262=2,
        INDEX(Tabla1[Base imponible 22], MATCH($A262, Tabla1[N Doc], 0)),
IF(B262=3,
        INDEX(Tabla1[Iva 22], MATCH($A262, Tabla1[N Doc], 0)),
IF(B262=4,
        INDEX(Tabla1[Base imponible 10], MATCH($A262, Tabla1[N Doc], 0)),
IF(B262=5,
        INDEX(Tabla1[Iva 10], MATCH($A262, Tabla1[N Doc], 0)),
IF(B262=6,
        INDEX(Tabla1[Exento], MATCH($A262, Tabla1[N Doc], 0)),
IF(B262=7,
        INDEX(#REF!, MATCH($A262, Tabla1[N Doc], 0)),
IF(B262=8,
        INDEX(#REF!, MATCH($A262, Tabla1[N Doc], 0)),
IF(B262=9,
        INDEX(Tabla1[Descuentos], MATCH($A262, Tabla1[N Doc], 0)),
""))))))))))</f>
        <v>#REF!</v>
      </c>
      <c r="G262" t="e">
        <f>IF(OR($A262="",$A262=0),"",IF(OR(B262=2,B262=4,B262=6,B262=7),
    INDEX(Tabla13[Ind impuestos], MATCH($A262, Tabla13[N Doc], 0)),
""))</f>
        <v>#REF!</v>
      </c>
      <c r="J262" t="e">
        <f>IF(OR($A262="",$A262=0),"",IF(OR(B262=2,B262=4,B262=6,B262=7),
    INDEX(Tabla1[CECO], MATCH($A262, Tabla1[N Doc], 0)),
""))</f>
        <v>#REF!</v>
      </c>
      <c r="M262" t="e">
        <f>IF(C262=31,INDEX(Tabla1[Descripción], MATCH($A262, Tabla1[N Doc], 0)),"")</f>
        <v>#REF!</v>
      </c>
    </row>
    <row r="263" spans="1:13" x14ac:dyDescent="0.3">
      <c r="A263" t="e" cm="1">
        <f t="array" ref="A263">INDEX(Tabla1[N Doc], ROUNDUP((ROW()-1)/9, 0))</f>
        <v>#REF!</v>
      </c>
      <c r="B263" t="e">
        <f>IF(OR(A263="",A263=0),"",CHOOSE(
    COUNTIF($A$2:A263,A263),
    1,2,3,4,5,6,7,8,9
))</f>
        <v>#REF!</v>
      </c>
      <c r="C263" t="e">
        <f t="shared" si="4"/>
        <v>#REF!</v>
      </c>
      <c r="D263" s="7" t="e" cm="1">
        <f t="array" ref="D263">IF(OR($A263="",$A263=0),"",
IF(AND(INDEX(Formulario!$H$14:$H$100, $A263)="Si", C263&lt;&gt;31),
        VLOOKUP("cta puente",'Descripciones de gastos'!G:H, 2, FALSE),
IF(B263=1,
        INDEX(Tabla13[Titular], MATCH($A263, Tabla1[N Doc], 0)),
IF(B263=2,
        INDEX(Tabla1[Cuenta contable], MATCH($A263, Tabla1[N Doc], 0)),
IF(B263=3,
        INDEX(Tabla13[Cta Iva 22], MATCH($A263, Tabla1[N Doc], 0)),
IF(B263=4,
        INDEX(Tabla1[Cuenta contable], MATCH($A263, Tabla1[N Doc], 0)),
IF(B263=5,
        INDEX(Tabla13[Cta Iva 10], MATCH($A263, Tabla1[N Doc], 0)),
IF(B263=6,
        INDEX(Tabla1[Cuenta contable], MATCH($A263, Tabla1[N Doc], 0)),
IF(B263=7,
        INDEX(Tabla1[Cuenta contable], MATCH($A263, Tabla1[N Doc], 0)),
IF(B263=8,
        IF(INDEX(Tabla1[Tipo IVA], MATCH($A263, Tabla1[N Doc], 0))="22%",
             INDEX(Tabla13[Cta Iva 22], MATCH($A263, Tabla1[N Doc], 0)),
             INDEX(Tabla13[Cta Iva 10], MATCH($A263, Tabla1[N Doc], 0))),
IF(B263=9,
        INDEX(Tabla1[Cuenta contable], MATCH($A263, Tabla1[N Doc], 0))
)))))))))))</f>
        <v>#REF!</v>
      </c>
      <c r="F263" t="e">
        <f>IF(OR($A263="",$A263=0),"",IF(B263=1,
        INDEX(Tabla1[Importe total], MATCH($A263, Tabla1[N Doc], 0)),
IF(B263=2,
        INDEX(Tabla1[Base imponible 22], MATCH($A263, Tabla1[N Doc], 0)),
IF(B263=3,
        INDEX(Tabla1[Iva 22], MATCH($A263, Tabla1[N Doc], 0)),
IF(B263=4,
        INDEX(Tabla1[Base imponible 10], MATCH($A263, Tabla1[N Doc], 0)),
IF(B263=5,
        INDEX(Tabla1[Iva 10], MATCH($A263, Tabla1[N Doc], 0)),
IF(B263=6,
        INDEX(Tabla1[Exento], MATCH($A263, Tabla1[N Doc], 0)),
IF(B263=7,
        INDEX(#REF!, MATCH($A263, Tabla1[N Doc], 0)),
IF(B263=8,
        INDEX(#REF!, MATCH($A263, Tabla1[N Doc], 0)),
IF(B263=9,
        INDEX(Tabla1[Descuentos], MATCH($A263, Tabla1[N Doc], 0)),
""))))))))))</f>
        <v>#REF!</v>
      </c>
      <c r="G263" t="e">
        <f>IF(OR($A263="",$A263=0),"",IF(OR(B263=2,B263=4,B263=6,B263=7),
    INDEX(Tabla13[Ind impuestos], MATCH($A263, Tabla13[N Doc], 0)),
""))</f>
        <v>#REF!</v>
      </c>
      <c r="J263" t="e">
        <f>IF(OR($A263="",$A263=0),"",IF(OR(B263=2,B263=4,B263=6,B263=7),
    INDEX(Tabla1[CECO], MATCH($A263, Tabla1[N Doc], 0)),
""))</f>
        <v>#REF!</v>
      </c>
      <c r="M263" t="e">
        <f>IF(C263=31,INDEX(Tabla1[Descripción], MATCH($A263, Tabla1[N Doc], 0)),"")</f>
        <v>#REF!</v>
      </c>
    </row>
    <row r="264" spans="1:13" x14ac:dyDescent="0.3">
      <c r="A264" t="e" cm="1">
        <f t="array" ref="A264">INDEX(Tabla1[N Doc], ROUNDUP((ROW()-1)/9, 0))</f>
        <v>#REF!</v>
      </c>
      <c r="B264" t="e">
        <f>IF(OR(A264="",A264=0),"",CHOOSE(
    COUNTIF($A$2:A264,A264),
    1,2,3,4,5,6,7,8,9
))</f>
        <v>#REF!</v>
      </c>
      <c r="C264" t="e">
        <f t="shared" si="4"/>
        <v>#REF!</v>
      </c>
      <c r="D264" s="7" t="e" cm="1">
        <f t="array" ref="D264">IF(OR($A264="",$A264=0),"",
IF(AND(INDEX(Formulario!$H$14:$H$100, $A264)="Si", C264&lt;&gt;31),
        VLOOKUP("cta puente",'Descripciones de gastos'!G:H, 2, FALSE),
IF(B264=1,
        INDEX(Tabla13[Titular], MATCH($A264, Tabla1[N Doc], 0)),
IF(B264=2,
        INDEX(Tabla1[Cuenta contable], MATCH($A264, Tabla1[N Doc], 0)),
IF(B264=3,
        INDEX(Tabla13[Cta Iva 22], MATCH($A264, Tabla1[N Doc], 0)),
IF(B264=4,
        INDEX(Tabla1[Cuenta contable], MATCH($A264, Tabla1[N Doc], 0)),
IF(B264=5,
        INDEX(Tabla13[Cta Iva 10], MATCH($A264, Tabla1[N Doc], 0)),
IF(B264=6,
        INDEX(Tabla1[Cuenta contable], MATCH($A264, Tabla1[N Doc], 0)),
IF(B264=7,
        INDEX(Tabla1[Cuenta contable], MATCH($A264, Tabla1[N Doc], 0)),
IF(B264=8,
        IF(INDEX(Tabla1[Tipo IVA], MATCH($A264, Tabla1[N Doc], 0))="22%",
             INDEX(Tabla13[Cta Iva 22], MATCH($A264, Tabla1[N Doc], 0)),
             INDEX(Tabla13[Cta Iva 10], MATCH($A264, Tabla1[N Doc], 0))),
IF(B264=9,
        INDEX(Tabla1[Cuenta contable], MATCH($A264, Tabla1[N Doc], 0))
)))))))))))</f>
        <v>#REF!</v>
      </c>
      <c r="F264" t="e">
        <f>IF(OR($A264="",$A264=0),"",IF(B264=1,
        INDEX(Tabla1[Importe total], MATCH($A264, Tabla1[N Doc], 0)),
IF(B264=2,
        INDEX(Tabla1[Base imponible 22], MATCH($A264, Tabla1[N Doc], 0)),
IF(B264=3,
        INDEX(Tabla1[Iva 22], MATCH($A264, Tabla1[N Doc], 0)),
IF(B264=4,
        INDEX(Tabla1[Base imponible 10], MATCH($A264, Tabla1[N Doc], 0)),
IF(B264=5,
        INDEX(Tabla1[Iva 10], MATCH($A264, Tabla1[N Doc], 0)),
IF(B264=6,
        INDEX(Tabla1[Exento], MATCH($A264, Tabla1[N Doc], 0)),
IF(B264=7,
        INDEX(#REF!, MATCH($A264, Tabla1[N Doc], 0)),
IF(B264=8,
        INDEX(#REF!, MATCH($A264, Tabla1[N Doc], 0)),
IF(B264=9,
        INDEX(Tabla1[Descuentos], MATCH($A264, Tabla1[N Doc], 0)),
""))))))))))</f>
        <v>#REF!</v>
      </c>
      <c r="G264" t="e">
        <f>IF(OR($A264="",$A264=0),"",IF(OR(B264=2,B264=4,B264=6,B264=7),
    INDEX(Tabla13[Ind impuestos], MATCH($A264, Tabla13[N Doc], 0)),
""))</f>
        <v>#REF!</v>
      </c>
      <c r="J264" t="e">
        <f>IF(OR($A264="",$A264=0),"",IF(OR(B264=2,B264=4,B264=6,B264=7),
    INDEX(Tabla1[CECO], MATCH($A264, Tabla1[N Doc], 0)),
""))</f>
        <v>#REF!</v>
      </c>
      <c r="M264" t="e">
        <f>IF(C264=31,INDEX(Tabla1[Descripción], MATCH($A264, Tabla1[N Doc], 0)),"")</f>
        <v>#REF!</v>
      </c>
    </row>
    <row r="265" spans="1:13" x14ac:dyDescent="0.3">
      <c r="A265" t="e" cm="1">
        <f t="array" ref="A265">INDEX(Tabla1[N Doc], ROUNDUP((ROW()-1)/9, 0))</f>
        <v>#REF!</v>
      </c>
      <c r="B265" t="e">
        <f>IF(OR(A265="",A265=0),"",CHOOSE(
    COUNTIF($A$2:A265,A265),
    1,2,3,4,5,6,7,8,9
))</f>
        <v>#REF!</v>
      </c>
      <c r="C265" t="e">
        <f t="shared" si="4"/>
        <v>#REF!</v>
      </c>
      <c r="D265" s="7" t="e" cm="1">
        <f t="array" ref="D265">IF(OR($A265="",$A265=0),"",
IF(AND(INDEX(Formulario!$H$14:$H$100, $A265)="Si", C265&lt;&gt;31),
        VLOOKUP("cta puente",'Descripciones de gastos'!G:H, 2, FALSE),
IF(B265=1,
        INDEX(Tabla13[Titular], MATCH($A265, Tabla1[N Doc], 0)),
IF(B265=2,
        INDEX(Tabla1[Cuenta contable], MATCH($A265, Tabla1[N Doc], 0)),
IF(B265=3,
        INDEX(Tabla13[Cta Iva 22], MATCH($A265, Tabla1[N Doc], 0)),
IF(B265=4,
        INDEX(Tabla1[Cuenta contable], MATCH($A265, Tabla1[N Doc], 0)),
IF(B265=5,
        INDEX(Tabla13[Cta Iva 10], MATCH($A265, Tabla1[N Doc], 0)),
IF(B265=6,
        INDEX(Tabla1[Cuenta contable], MATCH($A265, Tabla1[N Doc], 0)),
IF(B265=7,
        INDEX(Tabla1[Cuenta contable], MATCH($A265, Tabla1[N Doc], 0)),
IF(B265=8,
        IF(INDEX(Tabla1[Tipo IVA], MATCH($A265, Tabla1[N Doc], 0))="22%",
             INDEX(Tabla13[Cta Iva 22], MATCH($A265, Tabla1[N Doc], 0)),
             INDEX(Tabla13[Cta Iva 10], MATCH($A265, Tabla1[N Doc], 0))),
IF(B265=9,
        INDEX(Tabla1[Cuenta contable], MATCH($A265, Tabla1[N Doc], 0))
)))))))))))</f>
        <v>#REF!</v>
      </c>
      <c r="F265" t="e">
        <f>IF(OR($A265="",$A265=0),"",IF(B265=1,
        INDEX(Tabla1[Importe total], MATCH($A265, Tabla1[N Doc], 0)),
IF(B265=2,
        INDEX(Tabla1[Base imponible 22], MATCH($A265, Tabla1[N Doc], 0)),
IF(B265=3,
        INDEX(Tabla1[Iva 22], MATCH($A265, Tabla1[N Doc], 0)),
IF(B265=4,
        INDEX(Tabla1[Base imponible 10], MATCH($A265, Tabla1[N Doc], 0)),
IF(B265=5,
        INDEX(Tabla1[Iva 10], MATCH($A265, Tabla1[N Doc], 0)),
IF(B265=6,
        INDEX(Tabla1[Exento], MATCH($A265, Tabla1[N Doc], 0)),
IF(B265=7,
        INDEX(#REF!, MATCH($A265, Tabla1[N Doc], 0)),
IF(B265=8,
        INDEX(#REF!, MATCH($A265, Tabla1[N Doc], 0)),
IF(B265=9,
        INDEX(Tabla1[Descuentos], MATCH($A265, Tabla1[N Doc], 0)),
""))))))))))</f>
        <v>#REF!</v>
      </c>
      <c r="G265" t="e">
        <f>IF(OR($A265="",$A265=0),"",IF(OR(B265=2,B265=4,B265=6,B265=7),
    INDEX(Tabla13[Ind impuestos], MATCH($A265, Tabla13[N Doc], 0)),
""))</f>
        <v>#REF!</v>
      </c>
      <c r="J265" t="e">
        <f>IF(OR($A265="",$A265=0),"",IF(OR(B265=2,B265=4,B265=6,B265=7),
    INDEX(Tabla1[CECO], MATCH($A265, Tabla1[N Doc], 0)),
""))</f>
        <v>#REF!</v>
      </c>
      <c r="M265" t="e">
        <f>IF(C265=31,INDEX(Tabla1[Descripción], MATCH($A265, Tabla1[N Doc], 0)),"")</f>
        <v>#REF!</v>
      </c>
    </row>
    <row r="266" spans="1:13" x14ac:dyDescent="0.3">
      <c r="A266" t="e" cm="1">
        <f t="array" ref="A266">INDEX(Tabla1[N Doc], ROUNDUP((ROW()-1)/9, 0))</f>
        <v>#REF!</v>
      </c>
      <c r="B266" t="e">
        <f>IF(OR(A266="",A266=0),"",CHOOSE(
    COUNTIF($A$2:A266,A266),
    1,2,3,4,5,6,7,8,9
))</f>
        <v>#REF!</v>
      </c>
      <c r="C266" t="e">
        <f t="shared" si="4"/>
        <v>#REF!</v>
      </c>
      <c r="D266" s="7" t="e" cm="1">
        <f t="array" ref="D266">IF(OR($A266="",$A266=0),"",
IF(AND(INDEX(Formulario!$H$14:$H$100, $A266)="Si", C266&lt;&gt;31),
        VLOOKUP("cta puente",'Descripciones de gastos'!G:H, 2, FALSE),
IF(B266=1,
        INDEX(Tabla13[Titular], MATCH($A266, Tabla1[N Doc], 0)),
IF(B266=2,
        INDEX(Tabla1[Cuenta contable], MATCH($A266, Tabla1[N Doc], 0)),
IF(B266=3,
        INDEX(Tabla13[Cta Iva 22], MATCH($A266, Tabla1[N Doc], 0)),
IF(B266=4,
        INDEX(Tabla1[Cuenta contable], MATCH($A266, Tabla1[N Doc], 0)),
IF(B266=5,
        INDEX(Tabla13[Cta Iva 10], MATCH($A266, Tabla1[N Doc], 0)),
IF(B266=6,
        INDEX(Tabla1[Cuenta contable], MATCH($A266, Tabla1[N Doc], 0)),
IF(B266=7,
        INDEX(Tabla1[Cuenta contable], MATCH($A266, Tabla1[N Doc], 0)),
IF(B266=8,
        IF(INDEX(Tabla1[Tipo IVA], MATCH($A266, Tabla1[N Doc], 0))="22%",
             INDEX(Tabla13[Cta Iva 22], MATCH($A266, Tabla1[N Doc], 0)),
             INDEX(Tabla13[Cta Iva 10], MATCH($A266, Tabla1[N Doc], 0))),
IF(B266=9,
        INDEX(Tabla1[Cuenta contable], MATCH($A266, Tabla1[N Doc], 0))
)))))))))))</f>
        <v>#REF!</v>
      </c>
      <c r="F266" t="e">
        <f>IF(OR($A266="",$A266=0),"",IF(B266=1,
        INDEX(Tabla1[Importe total], MATCH($A266, Tabla1[N Doc], 0)),
IF(B266=2,
        INDEX(Tabla1[Base imponible 22], MATCH($A266, Tabla1[N Doc], 0)),
IF(B266=3,
        INDEX(Tabla1[Iva 22], MATCH($A266, Tabla1[N Doc], 0)),
IF(B266=4,
        INDEX(Tabla1[Base imponible 10], MATCH($A266, Tabla1[N Doc], 0)),
IF(B266=5,
        INDEX(Tabla1[Iva 10], MATCH($A266, Tabla1[N Doc], 0)),
IF(B266=6,
        INDEX(Tabla1[Exento], MATCH($A266, Tabla1[N Doc], 0)),
IF(B266=7,
        INDEX(#REF!, MATCH($A266, Tabla1[N Doc], 0)),
IF(B266=8,
        INDEX(#REF!, MATCH($A266, Tabla1[N Doc], 0)),
IF(B266=9,
        INDEX(Tabla1[Descuentos], MATCH($A266, Tabla1[N Doc], 0)),
""))))))))))</f>
        <v>#REF!</v>
      </c>
      <c r="G266" t="e">
        <f>IF(OR($A266="",$A266=0),"",IF(OR(B266=2,B266=4,B266=6,B266=7),
    INDEX(Tabla13[Ind impuestos], MATCH($A266, Tabla13[N Doc], 0)),
""))</f>
        <v>#REF!</v>
      </c>
      <c r="J266" t="e">
        <f>IF(OR($A266="",$A266=0),"",IF(OR(B266=2,B266=4,B266=6,B266=7),
    INDEX(Tabla1[CECO], MATCH($A266, Tabla1[N Doc], 0)),
""))</f>
        <v>#REF!</v>
      </c>
      <c r="M266" t="e">
        <f>IF(C266=31,INDEX(Tabla1[Descripción], MATCH($A266, Tabla1[N Doc], 0)),"")</f>
        <v>#REF!</v>
      </c>
    </row>
    <row r="267" spans="1:13" x14ac:dyDescent="0.3">
      <c r="A267" t="e" cm="1">
        <f t="array" ref="A267">INDEX(Tabla1[N Doc], ROUNDUP((ROW()-1)/9, 0))</f>
        <v>#REF!</v>
      </c>
      <c r="B267" t="e">
        <f>IF(OR(A267="",A267=0),"",CHOOSE(
    COUNTIF($A$2:A267,A267),
    1,2,3,4,5,6,7,8,9
))</f>
        <v>#REF!</v>
      </c>
      <c r="C267" t="e">
        <f t="shared" si="4"/>
        <v>#REF!</v>
      </c>
      <c r="D267" s="7" t="e" cm="1">
        <f t="array" ref="D267">IF(OR($A267="",$A267=0),"",
IF(AND(INDEX(Formulario!$H$14:$H$100, $A267)="Si", C267&lt;&gt;31),
        VLOOKUP("cta puente",'Descripciones de gastos'!G:H, 2, FALSE),
IF(B267=1,
        INDEX(Tabla13[Titular], MATCH($A267, Tabla1[N Doc], 0)),
IF(B267=2,
        INDEX(Tabla1[Cuenta contable], MATCH($A267, Tabla1[N Doc], 0)),
IF(B267=3,
        INDEX(Tabla13[Cta Iva 22], MATCH($A267, Tabla1[N Doc], 0)),
IF(B267=4,
        INDEX(Tabla1[Cuenta contable], MATCH($A267, Tabla1[N Doc], 0)),
IF(B267=5,
        INDEX(Tabla13[Cta Iva 10], MATCH($A267, Tabla1[N Doc], 0)),
IF(B267=6,
        INDEX(Tabla1[Cuenta contable], MATCH($A267, Tabla1[N Doc], 0)),
IF(B267=7,
        INDEX(Tabla1[Cuenta contable], MATCH($A267, Tabla1[N Doc], 0)),
IF(B267=8,
        IF(INDEX(Tabla1[Tipo IVA], MATCH($A267, Tabla1[N Doc], 0))="22%",
             INDEX(Tabla13[Cta Iva 22], MATCH($A267, Tabla1[N Doc], 0)),
             INDEX(Tabla13[Cta Iva 10], MATCH($A267, Tabla1[N Doc], 0))),
IF(B267=9,
        INDEX(Tabla1[Cuenta contable], MATCH($A267, Tabla1[N Doc], 0))
)))))))))))</f>
        <v>#REF!</v>
      </c>
      <c r="F267" t="e">
        <f>IF(OR($A267="",$A267=0),"",IF(B267=1,
        INDEX(Tabla1[Importe total], MATCH($A267, Tabla1[N Doc], 0)),
IF(B267=2,
        INDEX(Tabla1[Base imponible 22], MATCH($A267, Tabla1[N Doc], 0)),
IF(B267=3,
        INDEX(Tabla1[Iva 22], MATCH($A267, Tabla1[N Doc], 0)),
IF(B267=4,
        INDEX(Tabla1[Base imponible 10], MATCH($A267, Tabla1[N Doc], 0)),
IF(B267=5,
        INDEX(Tabla1[Iva 10], MATCH($A267, Tabla1[N Doc], 0)),
IF(B267=6,
        INDEX(Tabla1[Exento], MATCH($A267, Tabla1[N Doc], 0)),
IF(B267=7,
        INDEX(#REF!, MATCH($A267, Tabla1[N Doc], 0)),
IF(B267=8,
        INDEX(#REF!, MATCH($A267, Tabla1[N Doc], 0)),
IF(B267=9,
        INDEX(Tabla1[Descuentos], MATCH($A267, Tabla1[N Doc], 0)),
""))))))))))</f>
        <v>#REF!</v>
      </c>
      <c r="G267" t="e">
        <f>IF(OR($A267="",$A267=0),"",IF(OR(B267=2,B267=4,B267=6,B267=7),
    INDEX(Tabla13[Ind impuestos], MATCH($A267, Tabla13[N Doc], 0)),
""))</f>
        <v>#REF!</v>
      </c>
      <c r="J267" t="e">
        <f>IF(OR($A267="",$A267=0),"",IF(OR(B267=2,B267=4,B267=6,B267=7),
    INDEX(Tabla1[CECO], MATCH($A267, Tabla1[N Doc], 0)),
""))</f>
        <v>#REF!</v>
      </c>
      <c r="M267" t="e">
        <f>IF(C267=31,INDEX(Tabla1[Descripción], MATCH($A267, Tabla1[N Doc], 0)),"")</f>
        <v>#REF!</v>
      </c>
    </row>
    <row r="268" spans="1:13" x14ac:dyDescent="0.3">
      <c r="A268" t="e" cm="1">
        <f t="array" ref="A268">INDEX(Tabla1[N Doc], ROUNDUP((ROW()-1)/9, 0))</f>
        <v>#REF!</v>
      </c>
      <c r="B268" t="e">
        <f>IF(OR(A268="",A268=0),"",CHOOSE(
    COUNTIF($A$2:A268,A268),
    1,2,3,4,5,6,7,8,9
))</f>
        <v>#REF!</v>
      </c>
      <c r="C268" t="e">
        <f t="shared" si="4"/>
        <v>#REF!</v>
      </c>
      <c r="D268" s="7" t="e" cm="1">
        <f t="array" ref="D268">IF(OR($A268="",$A268=0),"",
IF(AND(INDEX(Formulario!$H$14:$H$100, $A268)="Si", C268&lt;&gt;31),
        VLOOKUP("cta puente",'Descripciones de gastos'!G:H, 2, FALSE),
IF(B268=1,
        INDEX(Tabla13[Titular], MATCH($A268, Tabla1[N Doc], 0)),
IF(B268=2,
        INDEX(Tabla1[Cuenta contable], MATCH($A268, Tabla1[N Doc], 0)),
IF(B268=3,
        INDEX(Tabla13[Cta Iva 22], MATCH($A268, Tabla1[N Doc], 0)),
IF(B268=4,
        INDEX(Tabla1[Cuenta contable], MATCH($A268, Tabla1[N Doc], 0)),
IF(B268=5,
        INDEX(Tabla13[Cta Iva 10], MATCH($A268, Tabla1[N Doc], 0)),
IF(B268=6,
        INDEX(Tabla1[Cuenta contable], MATCH($A268, Tabla1[N Doc], 0)),
IF(B268=7,
        INDEX(Tabla1[Cuenta contable], MATCH($A268, Tabla1[N Doc], 0)),
IF(B268=8,
        IF(INDEX(Tabla1[Tipo IVA], MATCH($A268, Tabla1[N Doc], 0))="22%",
             INDEX(Tabla13[Cta Iva 22], MATCH($A268, Tabla1[N Doc], 0)),
             INDEX(Tabla13[Cta Iva 10], MATCH($A268, Tabla1[N Doc], 0))),
IF(B268=9,
        INDEX(Tabla1[Cuenta contable], MATCH($A268, Tabla1[N Doc], 0))
)))))))))))</f>
        <v>#REF!</v>
      </c>
      <c r="F268" t="e">
        <f>IF(OR($A268="",$A268=0),"",IF(B268=1,
        INDEX(Tabla1[Importe total], MATCH($A268, Tabla1[N Doc], 0)),
IF(B268=2,
        INDEX(Tabla1[Base imponible 22], MATCH($A268, Tabla1[N Doc], 0)),
IF(B268=3,
        INDEX(Tabla1[Iva 22], MATCH($A268, Tabla1[N Doc], 0)),
IF(B268=4,
        INDEX(Tabla1[Base imponible 10], MATCH($A268, Tabla1[N Doc], 0)),
IF(B268=5,
        INDEX(Tabla1[Iva 10], MATCH($A268, Tabla1[N Doc], 0)),
IF(B268=6,
        INDEX(Tabla1[Exento], MATCH($A268, Tabla1[N Doc], 0)),
IF(B268=7,
        INDEX(#REF!, MATCH($A268, Tabla1[N Doc], 0)),
IF(B268=8,
        INDEX(#REF!, MATCH($A268, Tabla1[N Doc], 0)),
IF(B268=9,
        INDEX(Tabla1[Descuentos], MATCH($A268, Tabla1[N Doc], 0)),
""))))))))))</f>
        <v>#REF!</v>
      </c>
      <c r="G268" t="e">
        <f>IF(OR($A268="",$A268=0),"",IF(OR(B268=2,B268=4,B268=6,B268=7),
    INDEX(Tabla13[Ind impuestos], MATCH($A268, Tabla13[N Doc], 0)),
""))</f>
        <v>#REF!</v>
      </c>
      <c r="J268" t="e">
        <f>IF(OR($A268="",$A268=0),"",IF(OR(B268=2,B268=4,B268=6,B268=7),
    INDEX(Tabla1[CECO], MATCH($A268, Tabla1[N Doc], 0)),
""))</f>
        <v>#REF!</v>
      </c>
      <c r="M268" t="e">
        <f>IF(C268=31,INDEX(Tabla1[Descripción], MATCH($A268, Tabla1[N Doc], 0)),"")</f>
        <v>#REF!</v>
      </c>
    </row>
    <row r="269" spans="1:13" x14ac:dyDescent="0.3">
      <c r="A269" t="e" cm="1">
        <f t="array" ref="A269">INDEX(Tabla1[N Doc], ROUNDUP((ROW()-1)/9, 0))</f>
        <v>#REF!</v>
      </c>
      <c r="B269" t="e">
        <f>IF(OR(A269="",A269=0),"",CHOOSE(
    COUNTIF($A$2:A269,A269),
    1,2,3,4,5,6,7,8,9
))</f>
        <v>#REF!</v>
      </c>
      <c r="C269" t="e">
        <f t="shared" si="4"/>
        <v>#REF!</v>
      </c>
      <c r="D269" s="7" t="e" cm="1">
        <f t="array" ref="D269">IF(OR($A269="",$A269=0),"",
IF(AND(INDEX(Formulario!$H$14:$H$100, $A269)="Si", C269&lt;&gt;31),
        VLOOKUP("cta puente",'Descripciones de gastos'!G:H, 2, FALSE),
IF(B269=1,
        INDEX(Tabla13[Titular], MATCH($A269, Tabla1[N Doc], 0)),
IF(B269=2,
        INDEX(Tabla1[Cuenta contable], MATCH($A269, Tabla1[N Doc], 0)),
IF(B269=3,
        INDEX(Tabla13[Cta Iva 22], MATCH($A269, Tabla1[N Doc], 0)),
IF(B269=4,
        INDEX(Tabla1[Cuenta contable], MATCH($A269, Tabla1[N Doc], 0)),
IF(B269=5,
        INDEX(Tabla13[Cta Iva 10], MATCH($A269, Tabla1[N Doc], 0)),
IF(B269=6,
        INDEX(Tabla1[Cuenta contable], MATCH($A269, Tabla1[N Doc], 0)),
IF(B269=7,
        INDEX(Tabla1[Cuenta contable], MATCH($A269, Tabla1[N Doc], 0)),
IF(B269=8,
        IF(INDEX(Tabla1[Tipo IVA], MATCH($A269, Tabla1[N Doc], 0))="22%",
             INDEX(Tabla13[Cta Iva 22], MATCH($A269, Tabla1[N Doc], 0)),
             INDEX(Tabla13[Cta Iva 10], MATCH($A269, Tabla1[N Doc], 0))),
IF(B269=9,
        INDEX(Tabla1[Cuenta contable], MATCH($A269, Tabla1[N Doc], 0))
)))))))))))</f>
        <v>#REF!</v>
      </c>
      <c r="F269" t="e">
        <f>IF(OR($A269="",$A269=0),"",IF(B269=1,
        INDEX(Tabla1[Importe total], MATCH($A269, Tabla1[N Doc], 0)),
IF(B269=2,
        INDEX(Tabla1[Base imponible 22], MATCH($A269, Tabla1[N Doc], 0)),
IF(B269=3,
        INDEX(Tabla1[Iva 22], MATCH($A269, Tabla1[N Doc], 0)),
IF(B269=4,
        INDEX(Tabla1[Base imponible 10], MATCH($A269, Tabla1[N Doc], 0)),
IF(B269=5,
        INDEX(Tabla1[Iva 10], MATCH($A269, Tabla1[N Doc], 0)),
IF(B269=6,
        INDEX(Tabla1[Exento], MATCH($A269, Tabla1[N Doc], 0)),
IF(B269=7,
        INDEX(#REF!, MATCH($A269, Tabla1[N Doc], 0)),
IF(B269=8,
        INDEX(#REF!, MATCH($A269, Tabla1[N Doc], 0)),
IF(B269=9,
        INDEX(Tabla1[Descuentos], MATCH($A269, Tabla1[N Doc], 0)),
""))))))))))</f>
        <v>#REF!</v>
      </c>
      <c r="G269" t="e">
        <f>IF(OR($A269="",$A269=0),"",IF(OR(B269=2,B269=4,B269=6,B269=7),
    INDEX(Tabla13[Ind impuestos], MATCH($A269, Tabla13[N Doc], 0)),
""))</f>
        <v>#REF!</v>
      </c>
      <c r="J269" t="e">
        <f>IF(OR($A269="",$A269=0),"",IF(OR(B269=2,B269=4,B269=6,B269=7),
    INDEX(Tabla1[CECO], MATCH($A269, Tabla1[N Doc], 0)),
""))</f>
        <v>#REF!</v>
      </c>
      <c r="M269" t="e">
        <f>IF(C269=31,INDEX(Tabla1[Descripción], MATCH($A269, Tabla1[N Doc], 0)),"")</f>
        <v>#REF!</v>
      </c>
    </row>
    <row r="270" spans="1:13" x14ac:dyDescent="0.3">
      <c r="A270" t="e" cm="1">
        <f t="array" ref="A270">INDEX(Tabla1[N Doc], ROUNDUP((ROW()-1)/9, 0))</f>
        <v>#REF!</v>
      </c>
      <c r="B270" t="e">
        <f>IF(OR(A270="",A270=0),"",CHOOSE(
    COUNTIF($A$2:A270,A270),
    1,2,3,4,5,6,7,8,9
))</f>
        <v>#REF!</v>
      </c>
      <c r="C270" t="e">
        <f t="shared" si="4"/>
        <v>#REF!</v>
      </c>
      <c r="D270" s="7" t="e" cm="1">
        <f t="array" ref="D270">IF(OR($A270="",$A270=0),"",
IF(AND(INDEX(Formulario!$H$14:$H$100, $A270)="Si", C270&lt;&gt;31),
        VLOOKUP("cta puente",'Descripciones de gastos'!G:H, 2, FALSE),
IF(B270=1,
        INDEX(Tabla13[Titular], MATCH($A270, Tabla1[N Doc], 0)),
IF(B270=2,
        INDEX(Tabla1[Cuenta contable], MATCH($A270, Tabla1[N Doc], 0)),
IF(B270=3,
        INDEX(Tabla13[Cta Iva 22], MATCH($A270, Tabla1[N Doc], 0)),
IF(B270=4,
        INDEX(Tabla1[Cuenta contable], MATCH($A270, Tabla1[N Doc], 0)),
IF(B270=5,
        INDEX(Tabla13[Cta Iva 10], MATCH($A270, Tabla1[N Doc], 0)),
IF(B270=6,
        INDEX(Tabla1[Cuenta contable], MATCH($A270, Tabla1[N Doc], 0)),
IF(B270=7,
        INDEX(Tabla1[Cuenta contable], MATCH($A270, Tabla1[N Doc], 0)),
IF(B270=8,
        IF(INDEX(Tabla1[Tipo IVA], MATCH($A270, Tabla1[N Doc], 0))="22%",
             INDEX(Tabla13[Cta Iva 22], MATCH($A270, Tabla1[N Doc], 0)),
             INDEX(Tabla13[Cta Iva 10], MATCH($A270, Tabla1[N Doc], 0))),
IF(B270=9,
        INDEX(Tabla1[Cuenta contable], MATCH($A270, Tabla1[N Doc], 0))
)))))))))))</f>
        <v>#REF!</v>
      </c>
      <c r="F270" t="e">
        <f>IF(OR($A270="",$A270=0),"",IF(B270=1,
        INDEX(Tabla1[Importe total], MATCH($A270, Tabla1[N Doc], 0)),
IF(B270=2,
        INDEX(Tabla1[Base imponible 22], MATCH($A270, Tabla1[N Doc], 0)),
IF(B270=3,
        INDEX(Tabla1[Iva 22], MATCH($A270, Tabla1[N Doc], 0)),
IF(B270=4,
        INDEX(Tabla1[Base imponible 10], MATCH($A270, Tabla1[N Doc], 0)),
IF(B270=5,
        INDEX(Tabla1[Iva 10], MATCH($A270, Tabla1[N Doc], 0)),
IF(B270=6,
        INDEX(Tabla1[Exento], MATCH($A270, Tabla1[N Doc], 0)),
IF(B270=7,
        INDEX(#REF!, MATCH($A270, Tabla1[N Doc], 0)),
IF(B270=8,
        INDEX(#REF!, MATCH($A270, Tabla1[N Doc], 0)),
IF(B270=9,
        INDEX(Tabla1[Descuentos], MATCH($A270, Tabla1[N Doc], 0)),
""))))))))))</f>
        <v>#REF!</v>
      </c>
      <c r="G270" t="e">
        <f>IF(OR($A270="",$A270=0),"",IF(OR(B270=2,B270=4,B270=6,B270=7),
    INDEX(Tabla13[Ind impuestos], MATCH($A270, Tabla13[N Doc], 0)),
""))</f>
        <v>#REF!</v>
      </c>
      <c r="J270" t="e">
        <f>IF(OR($A270="",$A270=0),"",IF(OR(B270=2,B270=4,B270=6,B270=7),
    INDEX(Tabla1[CECO], MATCH($A270, Tabla1[N Doc], 0)),
""))</f>
        <v>#REF!</v>
      </c>
      <c r="M270" t="e">
        <f>IF(C270=31,INDEX(Tabla1[Descripción], MATCH($A270, Tabla1[N Doc], 0)),"")</f>
        <v>#REF!</v>
      </c>
    </row>
    <row r="271" spans="1:13" x14ac:dyDescent="0.3">
      <c r="A271" t="e" cm="1">
        <f t="array" ref="A271">INDEX(Tabla1[N Doc], ROUNDUP((ROW()-1)/9, 0))</f>
        <v>#REF!</v>
      </c>
      <c r="B271" t="e">
        <f>IF(OR(A271="",A271=0),"",CHOOSE(
    COUNTIF($A$2:A271,A271),
    1,2,3,4,5,6,7,8,9
))</f>
        <v>#REF!</v>
      </c>
      <c r="C271" t="e">
        <f t="shared" si="4"/>
        <v>#REF!</v>
      </c>
      <c r="D271" s="7" t="e" cm="1">
        <f t="array" ref="D271">IF(OR($A271="",$A271=0),"",
IF(AND(INDEX(Formulario!$H$14:$H$100, $A271)="Si", C271&lt;&gt;31),
        VLOOKUP("cta puente",'Descripciones de gastos'!G:H, 2, FALSE),
IF(B271=1,
        INDEX(Tabla13[Titular], MATCH($A271, Tabla1[N Doc], 0)),
IF(B271=2,
        INDEX(Tabla1[Cuenta contable], MATCH($A271, Tabla1[N Doc], 0)),
IF(B271=3,
        INDEX(Tabla13[Cta Iva 22], MATCH($A271, Tabla1[N Doc], 0)),
IF(B271=4,
        INDEX(Tabla1[Cuenta contable], MATCH($A271, Tabla1[N Doc], 0)),
IF(B271=5,
        INDEX(Tabla13[Cta Iva 10], MATCH($A271, Tabla1[N Doc], 0)),
IF(B271=6,
        INDEX(Tabla1[Cuenta contable], MATCH($A271, Tabla1[N Doc], 0)),
IF(B271=7,
        INDEX(Tabla1[Cuenta contable], MATCH($A271, Tabla1[N Doc], 0)),
IF(B271=8,
        IF(INDEX(Tabla1[Tipo IVA], MATCH($A271, Tabla1[N Doc], 0))="22%",
             INDEX(Tabla13[Cta Iva 22], MATCH($A271, Tabla1[N Doc], 0)),
             INDEX(Tabla13[Cta Iva 10], MATCH($A271, Tabla1[N Doc], 0))),
IF(B271=9,
        INDEX(Tabla1[Cuenta contable], MATCH($A271, Tabla1[N Doc], 0))
)))))))))))</f>
        <v>#REF!</v>
      </c>
      <c r="F271" t="e">
        <f>IF(OR($A271="",$A271=0),"",IF(B271=1,
        INDEX(Tabla1[Importe total], MATCH($A271, Tabla1[N Doc], 0)),
IF(B271=2,
        INDEX(Tabla1[Base imponible 22], MATCH($A271, Tabla1[N Doc], 0)),
IF(B271=3,
        INDEX(Tabla1[Iva 22], MATCH($A271, Tabla1[N Doc], 0)),
IF(B271=4,
        INDEX(Tabla1[Base imponible 10], MATCH($A271, Tabla1[N Doc], 0)),
IF(B271=5,
        INDEX(Tabla1[Iva 10], MATCH($A271, Tabla1[N Doc], 0)),
IF(B271=6,
        INDEX(Tabla1[Exento], MATCH($A271, Tabla1[N Doc], 0)),
IF(B271=7,
        INDEX(#REF!, MATCH($A271, Tabla1[N Doc], 0)),
IF(B271=8,
        INDEX(#REF!, MATCH($A271, Tabla1[N Doc], 0)),
IF(B271=9,
        INDEX(Tabla1[Descuentos], MATCH($A271, Tabla1[N Doc], 0)),
""))))))))))</f>
        <v>#REF!</v>
      </c>
      <c r="G271" t="e">
        <f>IF(OR($A271="",$A271=0),"",IF(OR(B271=2,B271=4,B271=6,B271=7),
    INDEX(Tabla13[Ind impuestos], MATCH($A271, Tabla13[N Doc], 0)),
""))</f>
        <v>#REF!</v>
      </c>
      <c r="J271" t="e">
        <f>IF(OR($A271="",$A271=0),"",IF(OR(B271=2,B271=4,B271=6,B271=7),
    INDEX(Tabla1[CECO], MATCH($A271, Tabla1[N Doc], 0)),
""))</f>
        <v>#REF!</v>
      </c>
      <c r="M271" t="e">
        <f>IF(C271=31,INDEX(Tabla1[Descripción], MATCH($A271, Tabla1[N Doc], 0)),"")</f>
        <v>#REF!</v>
      </c>
    </row>
    <row r="272" spans="1:13" x14ac:dyDescent="0.3">
      <c r="A272" t="e" cm="1">
        <f t="array" ref="A272">INDEX(Tabla1[N Doc], ROUNDUP((ROW()-1)/9, 0))</f>
        <v>#REF!</v>
      </c>
      <c r="B272" t="e">
        <f>IF(OR(A272="",A272=0),"",CHOOSE(
    COUNTIF($A$2:A272,A272),
    1,2,3,4,5,6,7,8,9
))</f>
        <v>#REF!</v>
      </c>
      <c r="C272" t="e">
        <f t="shared" si="4"/>
        <v>#REF!</v>
      </c>
      <c r="D272" s="7" t="e" cm="1">
        <f t="array" ref="D272">IF(OR($A272="",$A272=0),"",
IF(AND(INDEX(Formulario!$H$14:$H$100, $A272)="Si", C272&lt;&gt;31),
        VLOOKUP("cta puente",'Descripciones de gastos'!G:H, 2, FALSE),
IF(B272=1,
        INDEX(Tabla13[Titular], MATCH($A272, Tabla1[N Doc], 0)),
IF(B272=2,
        INDEX(Tabla1[Cuenta contable], MATCH($A272, Tabla1[N Doc], 0)),
IF(B272=3,
        INDEX(Tabla13[Cta Iva 22], MATCH($A272, Tabla1[N Doc], 0)),
IF(B272=4,
        INDEX(Tabla1[Cuenta contable], MATCH($A272, Tabla1[N Doc], 0)),
IF(B272=5,
        INDEX(Tabla13[Cta Iva 10], MATCH($A272, Tabla1[N Doc], 0)),
IF(B272=6,
        INDEX(Tabla1[Cuenta contable], MATCH($A272, Tabla1[N Doc], 0)),
IF(B272=7,
        INDEX(Tabla1[Cuenta contable], MATCH($A272, Tabla1[N Doc], 0)),
IF(B272=8,
        IF(INDEX(Tabla1[Tipo IVA], MATCH($A272, Tabla1[N Doc], 0))="22%",
             INDEX(Tabla13[Cta Iva 22], MATCH($A272, Tabla1[N Doc], 0)),
             INDEX(Tabla13[Cta Iva 10], MATCH($A272, Tabla1[N Doc], 0))),
IF(B272=9,
        INDEX(Tabla1[Cuenta contable], MATCH($A272, Tabla1[N Doc], 0))
)))))))))))</f>
        <v>#REF!</v>
      </c>
      <c r="F272" t="e">
        <f>IF(OR($A272="",$A272=0),"",IF(B272=1,
        INDEX(Tabla1[Importe total], MATCH($A272, Tabla1[N Doc], 0)),
IF(B272=2,
        INDEX(Tabla1[Base imponible 22], MATCH($A272, Tabla1[N Doc], 0)),
IF(B272=3,
        INDEX(Tabla1[Iva 22], MATCH($A272, Tabla1[N Doc], 0)),
IF(B272=4,
        INDEX(Tabla1[Base imponible 10], MATCH($A272, Tabla1[N Doc], 0)),
IF(B272=5,
        INDEX(Tabla1[Iva 10], MATCH($A272, Tabla1[N Doc], 0)),
IF(B272=6,
        INDEX(Tabla1[Exento], MATCH($A272, Tabla1[N Doc], 0)),
IF(B272=7,
        INDEX(#REF!, MATCH($A272, Tabla1[N Doc], 0)),
IF(B272=8,
        INDEX(#REF!, MATCH($A272, Tabla1[N Doc], 0)),
IF(B272=9,
        INDEX(Tabla1[Descuentos], MATCH($A272, Tabla1[N Doc], 0)),
""))))))))))</f>
        <v>#REF!</v>
      </c>
      <c r="G272" t="e">
        <f>IF(OR($A272="",$A272=0),"",IF(OR(B272=2,B272=4,B272=6,B272=7),
    INDEX(Tabla13[Ind impuestos], MATCH($A272, Tabla13[N Doc], 0)),
""))</f>
        <v>#REF!</v>
      </c>
      <c r="J272" t="e">
        <f>IF(OR($A272="",$A272=0),"",IF(OR(B272=2,B272=4,B272=6,B272=7),
    INDEX(Tabla1[CECO], MATCH($A272, Tabla1[N Doc], 0)),
""))</f>
        <v>#REF!</v>
      </c>
      <c r="M272" t="e">
        <f>IF(C272=31,INDEX(Tabla1[Descripción], MATCH($A272, Tabla1[N Doc], 0)),"")</f>
        <v>#REF!</v>
      </c>
    </row>
    <row r="273" spans="1:13" x14ac:dyDescent="0.3">
      <c r="A273" t="e" cm="1">
        <f t="array" ref="A273">INDEX(Tabla1[N Doc], ROUNDUP((ROW()-1)/9, 0))</f>
        <v>#REF!</v>
      </c>
      <c r="B273" t="e">
        <f>IF(OR(A273="",A273=0),"",CHOOSE(
    COUNTIF($A$2:A273,A273),
    1,2,3,4,5,6,7,8,9
))</f>
        <v>#REF!</v>
      </c>
      <c r="C273" t="e">
        <f t="shared" si="4"/>
        <v>#REF!</v>
      </c>
      <c r="D273" s="7" t="e" cm="1">
        <f t="array" ref="D273">IF(OR($A273="",$A273=0),"",
IF(AND(INDEX(Formulario!$H$14:$H$100, $A273)="Si", C273&lt;&gt;31),
        VLOOKUP("cta puente",'Descripciones de gastos'!G:H, 2, FALSE),
IF(B273=1,
        INDEX(Tabla13[Titular], MATCH($A273, Tabla1[N Doc], 0)),
IF(B273=2,
        INDEX(Tabla1[Cuenta contable], MATCH($A273, Tabla1[N Doc], 0)),
IF(B273=3,
        INDEX(Tabla13[Cta Iva 22], MATCH($A273, Tabla1[N Doc], 0)),
IF(B273=4,
        INDEX(Tabla1[Cuenta contable], MATCH($A273, Tabla1[N Doc], 0)),
IF(B273=5,
        INDEX(Tabla13[Cta Iva 10], MATCH($A273, Tabla1[N Doc], 0)),
IF(B273=6,
        INDEX(Tabla1[Cuenta contable], MATCH($A273, Tabla1[N Doc], 0)),
IF(B273=7,
        INDEX(Tabla1[Cuenta contable], MATCH($A273, Tabla1[N Doc], 0)),
IF(B273=8,
        IF(INDEX(Tabla1[Tipo IVA], MATCH($A273, Tabla1[N Doc], 0))="22%",
             INDEX(Tabla13[Cta Iva 22], MATCH($A273, Tabla1[N Doc], 0)),
             INDEX(Tabla13[Cta Iva 10], MATCH($A273, Tabla1[N Doc], 0))),
IF(B273=9,
        INDEX(Tabla1[Cuenta contable], MATCH($A273, Tabla1[N Doc], 0))
)))))))))))</f>
        <v>#REF!</v>
      </c>
      <c r="F273" t="e">
        <f>IF(OR($A273="",$A273=0),"",IF(B273=1,
        INDEX(Tabla1[Importe total], MATCH($A273, Tabla1[N Doc], 0)),
IF(B273=2,
        INDEX(Tabla1[Base imponible 22], MATCH($A273, Tabla1[N Doc], 0)),
IF(B273=3,
        INDEX(Tabla1[Iva 22], MATCH($A273, Tabla1[N Doc], 0)),
IF(B273=4,
        INDEX(Tabla1[Base imponible 10], MATCH($A273, Tabla1[N Doc], 0)),
IF(B273=5,
        INDEX(Tabla1[Iva 10], MATCH($A273, Tabla1[N Doc], 0)),
IF(B273=6,
        INDEX(Tabla1[Exento], MATCH($A273, Tabla1[N Doc], 0)),
IF(B273=7,
        INDEX(#REF!, MATCH($A273, Tabla1[N Doc], 0)),
IF(B273=8,
        INDEX(#REF!, MATCH($A273, Tabla1[N Doc], 0)),
IF(B273=9,
        INDEX(Tabla1[Descuentos], MATCH($A273, Tabla1[N Doc], 0)),
""))))))))))</f>
        <v>#REF!</v>
      </c>
      <c r="G273" t="e">
        <f>IF(OR($A273="",$A273=0),"",IF(OR(B273=2,B273=4,B273=6,B273=7),
    INDEX(Tabla13[Ind impuestos], MATCH($A273, Tabla13[N Doc], 0)),
""))</f>
        <v>#REF!</v>
      </c>
      <c r="J273" t="e">
        <f>IF(OR($A273="",$A273=0),"",IF(OR(B273=2,B273=4,B273=6,B273=7),
    INDEX(Tabla1[CECO], MATCH($A273, Tabla1[N Doc], 0)),
""))</f>
        <v>#REF!</v>
      </c>
      <c r="M273" t="e">
        <f>IF(C273=31,INDEX(Tabla1[Descripción], MATCH($A273, Tabla1[N Doc], 0)),"")</f>
        <v>#REF!</v>
      </c>
    </row>
    <row r="274" spans="1:13" x14ac:dyDescent="0.3">
      <c r="A274" t="e" cm="1">
        <f t="array" ref="A274">INDEX(Tabla1[N Doc], ROUNDUP((ROW()-1)/9, 0))</f>
        <v>#REF!</v>
      </c>
      <c r="B274" t="e">
        <f>IF(OR(A274="",A274=0),"",CHOOSE(
    COUNTIF($A$2:A274,A274),
    1,2,3,4,5,6,7,8,9
))</f>
        <v>#REF!</v>
      </c>
      <c r="C274" t="e">
        <f t="shared" si="4"/>
        <v>#REF!</v>
      </c>
      <c r="D274" s="7" t="e" cm="1">
        <f t="array" ref="D274">IF(OR($A274="",$A274=0),"",
IF(AND(INDEX(Formulario!$H$14:$H$100, $A274)="Si", C274&lt;&gt;31),
        VLOOKUP("cta puente",'Descripciones de gastos'!G:H, 2, FALSE),
IF(B274=1,
        INDEX(Tabla13[Titular], MATCH($A274, Tabla1[N Doc], 0)),
IF(B274=2,
        INDEX(Tabla1[Cuenta contable], MATCH($A274, Tabla1[N Doc], 0)),
IF(B274=3,
        INDEX(Tabla13[Cta Iva 22], MATCH($A274, Tabla1[N Doc], 0)),
IF(B274=4,
        INDEX(Tabla1[Cuenta contable], MATCH($A274, Tabla1[N Doc], 0)),
IF(B274=5,
        INDEX(Tabla13[Cta Iva 10], MATCH($A274, Tabla1[N Doc], 0)),
IF(B274=6,
        INDEX(Tabla1[Cuenta contable], MATCH($A274, Tabla1[N Doc], 0)),
IF(B274=7,
        INDEX(Tabla1[Cuenta contable], MATCH($A274, Tabla1[N Doc], 0)),
IF(B274=8,
        IF(INDEX(Tabla1[Tipo IVA], MATCH($A274, Tabla1[N Doc], 0))="22%",
             INDEX(Tabla13[Cta Iva 22], MATCH($A274, Tabla1[N Doc], 0)),
             INDEX(Tabla13[Cta Iva 10], MATCH($A274, Tabla1[N Doc], 0))),
IF(B274=9,
        INDEX(Tabla1[Cuenta contable], MATCH($A274, Tabla1[N Doc], 0))
)))))))))))</f>
        <v>#REF!</v>
      </c>
      <c r="F274" t="e">
        <f>IF(OR($A274="",$A274=0),"",IF(B274=1,
        INDEX(Tabla1[Importe total], MATCH($A274, Tabla1[N Doc], 0)),
IF(B274=2,
        INDEX(Tabla1[Base imponible 22], MATCH($A274, Tabla1[N Doc], 0)),
IF(B274=3,
        INDEX(Tabla1[Iva 22], MATCH($A274, Tabla1[N Doc], 0)),
IF(B274=4,
        INDEX(Tabla1[Base imponible 10], MATCH($A274, Tabla1[N Doc], 0)),
IF(B274=5,
        INDEX(Tabla1[Iva 10], MATCH($A274, Tabla1[N Doc], 0)),
IF(B274=6,
        INDEX(Tabla1[Exento], MATCH($A274, Tabla1[N Doc], 0)),
IF(B274=7,
        INDEX(#REF!, MATCH($A274, Tabla1[N Doc], 0)),
IF(B274=8,
        INDEX(#REF!, MATCH($A274, Tabla1[N Doc], 0)),
IF(B274=9,
        INDEX(Tabla1[Descuentos], MATCH($A274, Tabla1[N Doc], 0)),
""))))))))))</f>
        <v>#REF!</v>
      </c>
      <c r="G274" t="e">
        <f>IF(OR($A274="",$A274=0),"",IF(OR(B274=2,B274=4,B274=6,B274=7),
    INDEX(Tabla13[Ind impuestos], MATCH($A274, Tabla13[N Doc], 0)),
""))</f>
        <v>#REF!</v>
      </c>
      <c r="J274" t="e">
        <f>IF(OR($A274="",$A274=0),"",IF(OR(B274=2,B274=4,B274=6,B274=7),
    INDEX(Tabla1[CECO], MATCH($A274, Tabla1[N Doc], 0)),
""))</f>
        <v>#REF!</v>
      </c>
      <c r="M274" t="e">
        <f>IF(C274=31,INDEX(Tabla1[Descripción], MATCH($A274, Tabla1[N Doc], 0)),"")</f>
        <v>#REF!</v>
      </c>
    </row>
    <row r="275" spans="1:13" x14ac:dyDescent="0.3">
      <c r="A275" t="e" cm="1">
        <f t="array" ref="A275">INDEX(Tabla1[N Doc], ROUNDUP((ROW()-1)/9, 0))</f>
        <v>#REF!</v>
      </c>
      <c r="B275" t="e">
        <f>IF(OR(A275="",A275=0),"",CHOOSE(
    COUNTIF($A$2:A275,A275),
    1,2,3,4,5,6,7,8,9
))</f>
        <v>#REF!</v>
      </c>
      <c r="C275" t="e">
        <f t="shared" si="4"/>
        <v>#REF!</v>
      </c>
      <c r="D275" s="7" t="e" cm="1">
        <f t="array" ref="D275">IF(OR($A275="",$A275=0),"",
IF(AND(INDEX(Formulario!$H$14:$H$100, $A275)="Si", C275&lt;&gt;31),
        VLOOKUP("cta puente",'Descripciones de gastos'!G:H, 2, FALSE),
IF(B275=1,
        INDEX(Tabla13[Titular], MATCH($A275, Tabla1[N Doc], 0)),
IF(B275=2,
        INDEX(Tabla1[Cuenta contable], MATCH($A275, Tabla1[N Doc], 0)),
IF(B275=3,
        INDEX(Tabla13[Cta Iva 22], MATCH($A275, Tabla1[N Doc], 0)),
IF(B275=4,
        INDEX(Tabla1[Cuenta contable], MATCH($A275, Tabla1[N Doc], 0)),
IF(B275=5,
        INDEX(Tabla13[Cta Iva 10], MATCH($A275, Tabla1[N Doc], 0)),
IF(B275=6,
        INDEX(Tabla1[Cuenta contable], MATCH($A275, Tabla1[N Doc], 0)),
IF(B275=7,
        INDEX(Tabla1[Cuenta contable], MATCH($A275, Tabla1[N Doc], 0)),
IF(B275=8,
        IF(INDEX(Tabla1[Tipo IVA], MATCH($A275, Tabla1[N Doc], 0))="22%",
             INDEX(Tabla13[Cta Iva 22], MATCH($A275, Tabla1[N Doc], 0)),
             INDEX(Tabla13[Cta Iva 10], MATCH($A275, Tabla1[N Doc], 0))),
IF(B275=9,
        INDEX(Tabla1[Cuenta contable], MATCH($A275, Tabla1[N Doc], 0))
)))))))))))</f>
        <v>#REF!</v>
      </c>
      <c r="F275" t="e">
        <f>IF(OR($A275="",$A275=0),"",IF(B275=1,
        INDEX(Tabla1[Importe total], MATCH($A275, Tabla1[N Doc], 0)),
IF(B275=2,
        INDEX(Tabla1[Base imponible 22], MATCH($A275, Tabla1[N Doc], 0)),
IF(B275=3,
        INDEX(Tabla1[Iva 22], MATCH($A275, Tabla1[N Doc], 0)),
IF(B275=4,
        INDEX(Tabla1[Base imponible 10], MATCH($A275, Tabla1[N Doc], 0)),
IF(B275=5,
        INDEX(Tabla1[Iva 10], MATCH($A275, Tabla1[N Doc], 0)),
IF(B275=6,
        INDEX(Tabla1[Exento], MATCH($A275, Tabla1[N Doc], 0)),
IF(B275=7,
        INDEX(#REF!, MATCH($A275, Tabla1[N Doc], 0)),
IF(B275=8,
        INDEX(#REF!, MATCH($A275, Tabla1[N Doc], 0)),
IF(B275=9,
        INDEX(Tabla1[Descuentos], MATCH($A275, Tabla1[N Doc], 0)),
""))))))))))</f>
        <v>#REF!</v>
      </c>
      <c r="G275" t="e">
        <f>IF(OR($A275="",$A275=0),"",IF(OR(B275=2,B275=4,B275=6,B275=7),
    INDEX(Tabla13[Ind impuestos], MATCH($A275, Tabla13[N Doc], 0)),
""))</f>
        <v>#REF!</v>
      </c>
      <c r="J275" t="e">
        <f>IF(OR($A275="",$A275=0),"",IF(OR(B275=2,B275=4,B275=6,B275=7),
    INDEX(Tabla1[CECO], MATCH($A275, Tabla1[N Doc], 0)),
""))</f>
        <v>#REF!</v>
      </c>
      <c r="M275" t="e">
        <f>IF(C275=31,INDEX(Tabla1[Descripción], MATCH($A275, Tabla1[N Doc], 0)),"")</f>
        <v>#REF!</v>
      </c>
    </row>
    <row r="276" spans="1:13" x14ac:dyDescent="0.3">
      <c r="A276" t="e" cm="1">
        <f t="array" ref="A276">INDEX(Tabla1[N Doc], ROUNDUP((ROW()-1)/9, 0))</f>
        <v>#REF!</v>
      </c>
      <c r="B276" t="e">
        <f>IF(OR(A276="",A276=0),"",CHOOSE(
    COUNTIF($A$2:A276,A276),
    1,2,3,4,5,6,7,8,9
))</f>
        <v>#REF!</v>
      </c>
      <c r="C276" t="e">
        <f t="shared" si="4"/>
        <v>#REF!</v>
      </c>
      <c r="D276" s="7" t="e" cm="1">
        <f t="array" ref="D276">IF(OR($A276="",$A276=0),"",
IF(AND(INDEX(Formulario!$H$14:$H$100, $A276)="Si", C276&lt;&gt;31),
        VLOOKUP("cta puente",'Descripciones de gastos'!G:H, 2, FALSE),
IF(B276=1,
        INDEX(Tabla13[Titular], MATCH($A276, Tabla1[N Doc], 0)),
IF(B276=2,
        INDEX(Tabla1[Cuenta contable], MATCH($A276, Tabla1[N Doc], 0)),
IF(B276=3,
        INDEX(Tabla13[Cta Iva 22], MATCH($A276, Tabla1[N Doc], 0)),
IF(B276=4,
        INDEX(Tabla1[Cuenta contable], MATCH($A276, Tabla1[N Doc], 0)),
IF(B276=5,
        INDEX(Tabla13[Cta Iva 10], MATCH($A276, Tabla1[N Doc], 0)),
IF(B276=6,
        INDEX(Tabla1[Cuenta contable], MATCH($A276, Tabla1[N Doc], 0)),
IF(B276=7,
        INDEX(Tabla1[Cuenta contable], MATCH($A276, Tabla1[N Doc], 0)),
IF(B276=8,
        IF(INDEX(Tabla1[Tipo IVA], MATCH($A276, Tabla1[N Doc], 0))="22%",
             INDEX(Tabla13[Cta Iva 22], MATCH($A276, Tabla1[N Doc], 0)),
             INDEX(Tabla13[Cta Iva 10], MATCH($A276, Tabla1[N Doc], 0))),
IF(B276=9,
        INDEX(Tabla1[Cuenta contable], MATCH($A276, Tabla1[N Doc], 0))
)))))))))))</f>
        <v>#REF!</v>
      </c>
      <c r="F276" t="e">
        <f>IF(OR($A276="",$A276=0),"",IF(B276=1,
        INDEX(Tabla1[Importe total], MATCH($A276, Tabla1[N Doc], 0)),
IF(B276=2,
        INDEX(Tabla1[Base imponible 22], MATCH($A276, Tabla1[N Doc], 0)),
IF(B276=3,
        INDEX(Tabla1[Iva 22], MATCH($A276, Tabla1[N Doc], 0)),
IF(B276=4,
        INDEX(Tabla1[Base imponible 10], MATCH($A276, Tabla1[N Doc], 0)),
IF(B276=5,
        INDEX(Tabla1[Iva 10], MATCH($A276, Tabla1[N Doc], 0)),
IF(B276=6,
        INDEX(Tabla1[Exento], MATCH($A276, Tabla1[N Doc], 0)),
IF(B276=7,
        INDEX(#REF!, MATCH($A276, Tabla1[N Doc], 0)),
IF(B276=8,
        INDEX(#REF!, MATCH($A276, Tabla1[N Doc], 0)),
IF(B276=9,
        INDEX(Tabla1[Descuentos], MATCH($A276, Tabla1[N Doc], 0)),
""))))))))))</f>
        <v>#REF!</v>
      </c>
      <c r="G276" t="e">
        <f>IF(OR($A276="",$A276=0),"",IF(OR(B276=2,B276=4,B276=6,B276=7),
    INDEX(Tabla13[Ind impuestos], MATCH($A276, Tabla13[N Doc], 0)),
""))</f>
        <v>#REF!</v>
      </c>
      <c r="J276" t="e">
        <f>IF(OR($A276="",$A276=0),"",IF(OR(B276=2,B276=4,B276=6,B276=7),
    INDEX(Tabla1[CECO], MATCH($A276, Tabla1[N Doc], 0)),
""))</f>
        <v>#REF!</v>
      </c>
      <c r="M276" t="e">
        <f>IF(C276=31,INDEX(Tabla1[Descripción], MATCH($A276, Tabla1[N Doc], 0)),"")</f>
        <v>#REF!</v>
      </c>
    </row>
    <row r="277" spans="1:13" x14ac:dyDescent="0.3">
      <c r="A277" t="e" cm="1">
        <f t="array" ref="A277">INDEX(Tabla1[N Doc], ROUNDUP((ROW()-1)/9, 0))</f>
        <v>#REF!</v>
      </c>
      <c r="B277" t="e">
        <f>IF(OR(A277="",A277=0),"",CHOOSE(
    COUNTIF($A$2:A277,A277),
    1,2,3,4,5,6,7,8,9
))</f>
        <v>#REF!</v>
      </c>
      <c r="C277" t="e">
        <f t="shared" si="4"/>
        <v>#REF!</v>
      </c>
      <c r="D277" s="7" t="e" cm="1">
        <f t="array" ref="D277">IF(OR($A277="",$A277=0),"",
IF(AND(INDEX(Formulario!$H$14:$H$100, $A277)="Si", C277&lt;&gt;31),
        VLOOKUP("cta puente",'Descripciones de gastos'!G:H, 2, FALSE),
IF(B277=1,
        INDEX(Tabla13[Titular], MATCH($A277, Tabla1[N Doc], 0)),
IF(B277=2,
        INDEX(Tabla1[Cuenta contable], MATCH($A277, Tabla1[N Doc], 0)),
IF(B277=3,
        INDEX(Tabla13[Cta Iva 22], MATCH($A277, Tabla1[N Doc], 0)),
IF(B277=4,
        INDEX(Tabla1[Cuenta contable], MATCH($A277, Tabla1[N Doc], 0)),
IF(B277=5,
        INDEX(Tabla13[Cta Iva 10], MATCH($A277, Tabla1[N Doc], 0)),
IF(B277=6,
        INDEX(Tabla1[Cuenta contable], MATCH($A277, Tabla1[N Doc], 0)),
IF(B277=7,
        INDEX(Tabla1[Cuenta contable], MATCH($A277, Tabla1[N Doc], 0)),
IF(B277=8,
        IF(INDEX(Tabla1[Tipo IVA], MATCH($A277, Tabla1[N Doc], 0))="22%",
             INDEX(Tabla13[Cta Iva 22], MATCH($A277, Tabla1[N Doc], 0)),
             INDEX(Tabla13[Cta Iva 10], MATCH($A277, Tabla1[N Doc], 0))),
IF(B277=9,
        INDEX(Tabla1[Cuenta contable], MATCH($A277, Tabla1[N Doc], 0))
)))))))))))</f>
        <v>#REF!</v>
      </c>
      <c r="F277" t="e">
        <f>IF(OR($A277="",$A277=0),"",IF(B277=1,
        INDEX(Tabla1[Importe total], MATCH($A277, Tabla1[N Doc], 0)),
IF(B277=2,
        INDEX(Tabla1[Base imponible 22], MATCH($A277, Tabla1[N Doc], 0)),
IF(B277=3,
        INDEX(Tabla1[Iva 22], MATCH($A277, Tabla1[N Doc], 0)),
IF(B277=4,
        INDEX(Tabla1[Base imponible 10], MATCH($A277, Tabla1[N Doc], 0)),
IF(B277=5,
        INDEX(Tabla1[Iva 10], MATCH($A277, Tabla1[N Doc], 0)),
IF(B277=6,
        INDEX(Tabla1[Exento], MATCH($A277, Tabla1[N Doc], 0)),
IF(B277=7,
        INDEX(#REF!, MATCH($A277, Tabla1[N Doc], 0)),
IF(B277=8,
        INDEX(#REF!, MATCH($A277, Tabla1[N Doc], 0)),
IF(B277=9,
        INDEX(Tabla1[Descuentos], MATCH($A277, Tabla1[N Doc], 0)),
""))))))))))</f>
        <v>#REF!</v>
      </c>
      <c r="G277" t="e">
        <f>IF(OR($A277="",$A277=0),"",IF(OR(B277=2,B277=4,B277=6,B277=7),
    INDEX(Tabla13[Ind impuestos], MATCH($A277, Tabla13[N Doc], 0)),
""))</f>
        <v>#REF!</v>
      </c>
      <c r="J277" t="e">
        <f>IF(OR($A277="",$A277=0),"",IF(OR(B277=2,B277=4,B277=6,B277=7),
    INDEX(Tabla1[CECO], MATCH($A277, Tabla1[N Doc], 0)),
""))</f>
        <v>#REF!</v>
      </c>
      <c r="M277" t="e">
        <f>IF(C277=31,INDEX(Tabla1[Descripción], MATCH($A277, Tabla1[N Doc], 0)),"")</f>
        <v>#REF!</v>
      </c>
    </row>
    <row r="278" spans="1:13" x14ac:dyDescent="0.3">
      <c r="A278" t="e" cm="1">
        <f t="array" ref="A278">INDEX(Tabla1[N Doc], ROUNDUP((ROW()-1)/9, 0))</f>
        <v>#REF!</v>
      </c>
      <c r="B278" t="e">
        <f>IF(OR(A278="",A278=0),"",CHOOSE(
    COUNTIF($A$2:A278,A278),
    1,2,3,4,5,6,7,8,9
))</f>
        <v>#REF!</v>
      </c>
      <c r="C278" t="e">
        <f t="shared" si="4"/>
        <v>#REF!</v>
      </c>
      <c r="D278" s="7" t="e" cm="1">
        <f t="array" ref="D278">IF(OR($A278="",$A278=0),"",
IF(AND(INDEX(Formulario!$H$14:$H$100, $A278)="Si", C278&lt;&gt;31),
        VLOOKUP("cta puente",'Descripciones de gastos'!G:H, 2, FALSE),
IF(B278=1,
        INDEX(Tabla13[Titular], MATCH($A278, Tabla1[N Doc], 0)),
IF(B278=2,
        INDEX(Tabla1[Cuenta contable], MATCH($A278, Tabla1[N Doc], 0)),
IF(B278=3,
        INDEX(Tabla13[Cta Iva 22], MATCH($A278, Tabla1[N Doc], 0)),
IF(B278=4,
        INDEX(Tabla1[Cuenta contable], MATCH($A278, Tabla1[N Doc], 0)),
IF(B278=5,
        INDEX(Tabla13[Cta Iva 10], MATCH($A278, Tabla1[N Doc], 0)),
IF(B278=6,
        INDEX(Tabla1[Cuenta contable], MATCH($A278, Tabla1[N Doc], 0)),
IF(B278=7,
        INDEX(Tabla1[Cuenta contable], MATCH($A278, Tabla1[N Doc], 0)),
IF(B278=8,
        IF(INDEX(Tabla1[Tipo IVA], MATCH($A278, Tabla1[N Doc], 0))="22%",
             INDEX(Tabla13[Cta Iva 22], MATCH($A278, Tabla1[N Doc], 0)),
             INDEX(Tabla13[Cta Iva 10], MATCH($A278, Tabla1[N Doc], 0))),
IF(B278=9,
        INDEX(Tabla1[Cuenta contable], MATCH($A278, Tabla1[N Doc], 0))
)))))))))))</f>
        <v>#REF!</v>
      </c>
      <c r="F278" t="e">
        <f>IF(OR($A278="",$A278=0),"",IF(B278=1,
        INDEX(Tabla1[Importe total], MATCH($A278, Tabla1[N Doc], 0)),
IF(B278=2,
        INDEX(Tabla1[Base imponible 22], MATCH($A278, Tabla1[N Doc], 0)),
IF(B278=3,
        INDEX(Tabla1[Iva 22], MATCH($A278, Tabla1[N Doc], 0)),
IF(B278=4,
        INDEX(Tabla1[Base imponible 10], MATCH($A278, Tabla1[N Doc], 0)),
IF(B278=5,
        INDEX(Tabla1[Iva 10], MATCH($A278, Tabla1[N Doc], 0)),
IF(B278=6,
        INDEX(Tabla1[Exento], MATCH($A278, Tabla1[N Doc], 0)),
IF(B278=7,
        INDEX(#REF!, MATCH($A278, Tabla1[N Doc], 0)),
IF(B278=8,
        INDEX(#REF!, MATCH($A278, Tabla1[N Doc], 0)),
IF(B278=9,
        INDEX(Tabla1[Descuentos], MATCH($A278, Tabla1[N Doc], 0)),
""))))))))))</f>
        <v>#REF!</v>
      </c>
      <c r="G278" t="e">
        <f>IF(OR($A278="",$A278=0),"",IF(OR(B278=2,B278=4,B278=6,B278=7),
    INDEX(Tabla13[Ind impuestos], MATCH($A278, Tabla13[N Doc], 0)),
""))</f>
        <v>#REF!</v>
      </c>
      <c r="J278" t="e">
        <f>IF(OR($A278="",$A278=0),"",IF(OR(B278=2,B278=4,B278=6,B278=7),
    INDEX(Tabla1[CECO], MATCH($A278, Tabla1[N Doc], 0)),
""))</f>
        <v>#REF!</v>
      </c>
      <c r="M278" t="e">
        <f>IF(C278=31,INDEX(Tabla1[Descripción], MATCH($A278, Tabla1[N Doc], 0)),"")</f>
        <v>#REF!</v>
      </c>
    </row>
    <row r="279" spans="1:13" x14ac:dyDescent="0.3">
      <c r="A279" t="e" cm="1">
        <f t="array" ref="A279">INDEX(Tabla1[N Doc], ROUNDUP((ROW()-1)/9, 0))</f>
        <v>#REF!</v>
      </c>
      <c r="B279" t="e">
        <f>IF(OR(A279="",A279=0),"",CHOOSE(
    COUNTIF($A$2:A279,A279),
    1,2,3,4,5,6,7,8,9
))</f>
        <v>#REF!</v>
      </c>
      <c r="C279" t="e">
        <f t="shared" si="4"/>
        <v>#REF!</v>
      </c>
      <c r="D279" s="7" t="e" cm="1">
        <f t="array" ref="D279">IF(OR($A279="",$A279=0),"",
IF(AND(INDEX(Formulario!$H$14:$H$100, $A279)="Si", C279&lt;&gt;31),
        VLOOKUP("cta puente",'Descripciones de gastos'!G:H, 2, FALSE),
IF(B279=1,
        INDEX(Tabla13[Titular], MATCH($A279, Tabla1[N Doc], 0)),
IF(B279=2,
        INDEX(Tabla1[Cuenta contable], MATCH($A279, Tabla1[N Doc], 0)),
IF(B279=3,
        INDEX(Tabla13[Cta Iva 22], MATCH($A279, Tabla1[N Doc], 0)),
IF(B279=4,
        INDEX(Tabla1[Cuenta contable], MATCH($A279, Tabla1[N Doc], 0)),
IF(B279=5,
        INDEX(Tabla13[Cta Iva 10], MATCH($A279, Tabla1[N Doc], 0)),
IF(B279=6,
        INDEX(Tabla1[Cuenta contable], MATCH($A279, Tabla1[N Doc], 0)),
IF(B279=7,
        INDEX(Tabla1[Cuenta contable], MATCH($A279, Tabla1[N Doc], 0)),
IF(B279=8,
        IF(INDEX(Tabla1[Tipo IVA], MATCH($A279, Tabla1[N Doc], 0))="22%",
             INDEX(Tabla13[Cta Iva 22], MATCH($A279, Tabla1[N Doc], 0)),
             INDEX(Tabla13[Cta Iva 10], MATCH($A279, Tabla1[N Doc], 0))),
IF(B279=9,
        INDEX(Tabla1[Cuenta contable], MATCH($A279, Tabla1[N Doc], 0))
)))))))))))</f>
        <v>#REF!</v>
      </c>
      <c r="F279" t="e">
        <f>IF(OR($A279="",$A279=0),"",IF(B279=1,
        INDEX(Tabla1[Importe total], MATCH($A279, Tabla1[N Doc], 0)),
IF(B279=2,
        INDEX(Tabla1[Base imponible 22], MATCH($A279, Tabla1[N Doc], 0)),
IF(B279=3,
        INDEX(Tabla1[Iva 22], MATCH($A279, Tabla1[N Doc], 0)),
IF(B279=4,
        INDEX(Tabla1[Base imponible 10], MATCH($A279, Tabla1[N Doc], 0)),
IF(B279=5,
        INDEX(Tabla1[Iva 10], MATCH($A279, Tabla1[N Doc], 0)),
IF(B279=6,
        INDEX(Tabla1[Exento], MATCH($A279, Tabla1[N Doc], 0)),
IF(B279=7,
        INDEX(#REF!, MATCH($A279, Tabla1[N Doc], 0)),
IF(B279=8,
        INDEX(#REF!, MATCH($A279, Tabla1[N Doc], 0)),
IF(B279=9,
        INDEX(Tabla1[Descuentos], MATCH($A279, Tabla1[N Doc], 0)),
""))))))))))</f>
        <v>#REF!</v>
      </c>
      <c r="G279" t="e">
        <f>IF(OR($A279="",$A279=0),"",IF(OR(B279=2,B279=4,B279=6,B279=7),
    INDEX(Tabla13[Ind impuestos], MATCH($A279, Tabla13[N Doc], 0)),
""))</f>
        <v>#REF!</v>
      </c>
      <c r="J279" t="e">
        <f>IF(OR($A279="",$A279=0),"",IF(OR(B279=2,B279=4,B279=6,B279=7),
    INDEX(Tabla1[CECO], MATCH($A279, Tabla1[N Doc], 0)),
""))</f>
        <v>#REF!</v>
      </c>
      <c r="M279" t="e">
        <f>IF(C279=31,INDEX(Tabla1[Descripción], MATCH($A279, Tabla1[N Doc], 0)),"")</f>
        <v>#REF!</v>
      </c>
    </row>
    <row r="280" spans="1:13" x14ac:dyDescent="0.3">
      <c r="A280" t="e" cm="1">
        <f t="array" ref="A280">INDEX(Tabla1[N Doc], ROUNDUP((ROW()-1)/9, 0))</f>
        <v>#REF!</v>
      </c>
      <c r="B280" t="e">
        <f>IF(OR(A280="",A280=0),"",CHOOSE(
    COUNTIF($A$2:A280,A280),
    1,2,3,4,5,6,7,8,9
))</f>
        <v>#REF!</v>
      </c>
      <c r="C280" t="e">
        <f t="shared" si="4"/>
        <v>#REF!</v>
      </c>
      <c r="D280" s="7" t="e" cm="1">
        <f t="array" ref="D280">IF(OR($A280="",$A280=0),"",
IF(AND(INDEX(Formulario!$H$14:$H$100, $A280)="Si", C280&lt;&gt;31),
        VLOOKUP("cta puente",'Descripciones de gastos'!G:H, 2, FALSE),
IF(B280=1,
        INDEX(Tabla13[Titular], MATCH($A280, Tabla1[N Doc], 0)),
IF(B280=2,
        INDEX(Tabla1[Cuenta contable], MATCH($A280, Tabla1[N Doc], 0)),
IF(B280=3,
        INDEX(Tabla13[Cta Iva 22], MATCH($A280, Tabla1[N Doc], 0)),
IF(B280=4,
        INDEX(Tabla1[Cuenta contable], MATCH($A280, Tabla1[N Doc], 0)),
IF(B280=5,
        INDEX(Tabla13[Cta Iva 10], MATCH($A280, Tabla1[N Doc], 0)),
IF(B280=6,
        INDEX(Tabla1[Cuenta contable], MATCH($A280, Tabla1[N Doc], 0)),
IF(B280=7,
        INDEX(Tabla1[Cuenta contable], MATCH($A280, Tabla1[N Doc], 0)),
IF(B280=8,
        IF(INDEX(Tabla1[Tipo IVA], MATCH($A280, Tabla1[N Doc], 0))="22%",
             INDEX(Tabla13[Cta Iva 22], MATCH($A280, Tabla1[N Doc], 0)),
             INDEX(Tabla13[Cta Iva 10], MATCH($A280, Tabla1[N Doc], 0))),
IF(B280=9,
        INDEX(Tabla1[Cuenta contable], MATCH($A280, Tabla1[N Doc], 0))
)))))))))))</f>
        <v>#REF!</v>
      </c>
      <c r="F280" t="e">
        <f>IF(OR($A280="",$A280=0),"",IF(B280=1,
        INDEX(Tabla1[Importe total], MATCH($A280, Tabla1[N Doc], 0)),
IF(B280=2,
        INDEX(Tabla1[Base imponible 22], MATCH($A280, Tabla1[N Doc], 0)),
IF(B280=3,
        INDEX(Tabla1[Iva 22], MATCH($A280, Tabla1[N Doc], 0)),
IF(B280=4,
        INDEX(Tabla1[Base imponible 10], MATCH($A280, Tabla1[N Doc], 0)),
IF(B280=5,
        INDEX(Tabla1[Iva 10], MATCH($A280, Tabla1[N Doc], 0)),
IF(B280=6,
        INDEX(Tabla1[Exento], MATCH($A280, Tabla1[N Doc], 0)),
IF(B280=7,
        INDEX(#REF!, MATCH($A280, Tabla1[N Doc], 0)),
IF(B280=8,
        INDEX(#REF!, MATCH($A280, Tabla1[N Doc], 0)),
IF(B280=9,
        INDEX(Tabla1[Descuentos], MATCH($A280, Tabla1[N Doc], 0)),
""))))))))))</f>
        <v>#REF!</v>
      </c>
      <c r="G280" t="e">
        <f>IF(OR($A280="",$A280=0),"",IF(OR(B280=2,B280=4,B280=6,B280=7),
    INDEX(Tabla13[Ind impuestos], MATCH($A280, Tabla13[N Doc], 0)),
""))</f>
        <v>#REF!</v>
      </c>
      <c r="J280" t="e">
        <f>IF(OR($A280="",$A280=0),"",IF(OR(B280=2,B280=4,B280=6,B280=7),
    INDEX(Tabla1[CECO], MATCH($A280, Tabla1[N Doc], 0)),
""))</f>
        <v>#REF!</v>
      </c>
      <c r="M280" t="e">
        <f>IF(C280=31,INDEX(Tabla1[Descripción], MATCH($A280, Tabla1[N Doc], 0)),"")</f>
        <v>#REF!</v>
      </c>
    </row>
    <row r="281" spans="1:13" x14ac:dyDescent="0.3">
      <c r="A281" t="e" cm="1">
        <f t="array" ref="A281">INDEX(Tabla1[N Doc], ROUNDUP((ROW()-1)/9, 0))</f>
        <v>#REF!</v>
      </c>
      <c r="B281" t="e">
        <f>IF(OR(A281="",A281=0),"",CHOOSE(
    COUNTIF($A$2:A281,A281),
    1,2,3,4,5,6,7,8,9
))</f>
        <v>#REF!</v>
      </c>
      <c r="C281" t="e">
        <f t="shared" si="4"/>
        <v>#REF!</v>
      </c>
      <c r="D281" s="7" t="e" cm="1">
        <f t="array" ref="D281">IF(OR($A281="",$A281=0),"",
IF(AND(INDEX(Formulario!$H$14:$H$100, $A281)="Si", C281&lt;&gt;31),
        VLOOKUP("cta puente",'Descripciones de gastos'!G:H, 2, FALSE),
IF(B281=1,
        INDEX(Tabla13[Titular], MATCH($A281, Tabla1[N Doc], 0)),
IF(B281=2,
        INDEX(Tabla1[Cuenta contable], MATCH($A281, Tabla1[N Doc], 0)),
IF(B281=3,
        INDEX(Tabla13[Cta Iva 22], MATCH($A281, Tabla1[N Doc], 0)),
IF(B281=4,
        INDEX(Tabla1[Cuenta contable], MATCH($A281, Tabla1[N Doc], 0)),
IF(B281=5,
        INDEX(Tabla13[Cta Iva 10], MATCH($A281, Tabla1[N Doc], 0)),
IF(B281=6,
        INDEX(Tabla1[Cuenta contable], MATCH($A281, Tabla1[N Doc], 0)),
IF(B281=7,
        INDEX(Tabla1[Cuenta contable], MATCH($A281, Tabla1[N Doc], 0)),
IF(B281=8,
        IF(INDEX(Tabla1[Tipo IVA], MATCH($A281, Tabla1[N Doc], 0))="22%",
             INDEX(Tabla13[Cta Iva 22], MATCH($A281, Tabla1[N Doc], 0)),
             INDEX(Tabla13[Cta Iva 10], MATCH($A281, Tabla1[N Doc], 0))),
IF(B281=9,
        INDEX(Tabla1[Cuenta contable], MATCH($A281, Tabla1[N Doc], 0))
)))))))))))</f>
        <v>#REF!</v>
      </c>
      <c r="F281" t="e">
        <f>IF(OR($A281="",$A281=0),"",IF(B281=1,
        INDEX(Tabla1[Importe total], MATCH($A281, Tabla1[N Doc], 0)),
IF(B281=2,
        INDEX(Tabla1[Base imponible 22], MATCH($A281, Tabla1[N Doc], 0)),
IF(B281=3,
        INDEX(Tabla1[Iva 22], MATCH($A281, Tabla1[N Doc], 0)),
IF(B281=4,
        INDEX(Tabla1[Base imponible 10], MATCH($A281, Tabla1[N Doc], 0)),
IF(B281=5,
        INDEX(Tabla1[Iva 10], MATCH($A281, Tabla1[N Doc], 0)),
IF(B281=6,
        INDEX(Tabla1[Exento], MATCH($A281, Tabla1[N Doc], 0)),
IF(B281=7,
        INDEX(#REF!, MATCH($A281, Tabla1[N Doc], 0)),
IF(B281=8,
        INDEX(#REF!, MATCH($A281, Tabla1[N Doc], 0)),
IF(B281=9,
        INDEX(Tabla1[Descuentos], MATCH($A281, Tabla1[N Doc], 0)),
""))))))))))</f>
        <v>#REF!</v>
      </c>
      <c r="G281" t="e">
        <f>IF(OR($A281="",$A281=0),"",IF(OR(B281=2,B281=4,B281=6,B281=7),
    INDEX(Tabla13[Ind impuestos], MATCH($A281, Tabla13[N Doc], 0)),
""))</f>
        <v>#REF!</v>
      </c>
      <c r="J281" t="e">
        <f>IF(OR($A281="",$A281=0),"",IF(OR(B281=2,B281=4,B281=6,B281=7),
    INDEX(Tabla1[CECO], MATCH($A281, Tabla1[N Doc], 0)),
""))</f>
        <v>#REF!</v>
      </c>
      <c r="M281" t="e">
        <f>IF(C281=31,INDEX(Tabla1[Descripción], MATCH($A281, Tabla1[N Doc], 0)),"")</f>
        <v>#REF!</v>
      </c>
    </row>
    <row r="282" spans="1:13" x14ac:dyDescent="0.3">
      <c r="A282" t="e" cm="1">
        <f t="array" ref="A282">INDEX(Tabla1[N Doc], ROUNDUP((ROW()-1)/9, 0))</f>
        <v>#REF!</v>
      </c>
      <c r="B282" t="e">
        <f>IF(OR(A282="",A282=0),"",CHOOSE(
    COUNTIF($A$2:A282,A282),
    1,2,3,4,5,6,7,8,9
))</f>
        <v>#REF!</v>
      </c>
      <c r="C282" t="e">
        <f t="shared" si="4"/>
        <v>#REF!</v>
      </c>
      <c r="D282" s="7" t="e" cm="1">
        <f t="array" ref="D282">IF(OR($A282="",$A282=0),"",
IF(AND(INDEX(Formulario!$H$14:$H$100, $A282)="Si", C282&lt;&gt;31),
        VLOOKUP("cta puente",'Descripciones de gastos'!G:H, 2, FALSE),
IF(B282=1,
        INDEX(Tabla13[Titular], MATCH($A282, Tabla1[N Doc], 0)),
IF(B282=2,
        INDEX(Tabla1[Cuenta contable], MATCH($A282, Tabla1[N Doc], 0)),
IF(B282=3,
        INDEX(Tabla13[Cta Iva 22], MATCH($A282, Tabla1[N Doc], 0)),
IF(B282=4,
        INDEX(Tabla1[Cuenta contable], MATCH($A282, Tabla1[N Doc], 0)),
IF(B282=5,
        INDEX(Tabla13[Cta Iva 10], MATCH($A282, Tabla1[N Doc], 0)),
IF(B282=6,
        INDEX(Tabla1[Cuenta contable], MATCH($A282, Tabla1[N Doc], 0)),
IF(B282=7,
        INDEX(Tabla1[Cuenta contable], MATCH($A282, Tabla1[N Doc], 0)),
IF(B282=8,
        IF(INDEX(Tabla1[Tipo IVA], MATCH($A282, Tabla1[N Doc], 0))="22%",
             INDEX(Tabla13[Cta Iva 22], MATCH($A282, Tabla1[N Doc], 0)),
             INDEX(Tabla13[Cta Iva 10], MATCH($A282, Tabla1[N Doc], 0))),
IF(B282=9,
        INDEX(Tabla1[Cuenta contable], MATCH($A282, Tabla1[N Doc], 0))
)))))))))))</f>
        <v>#REF!</v>
      </c>
      <c r="F282" t="e">
        <f>IF(OR($A282="",$A282=0),"",IF(B282=1,
        INDEX(Tabla1[Importe total], MATCH($A282, Tabla1[N Doc], 0)),
IF(B282=2,
        INDEX(Tabla1[Base imponible 22], MATCH($A282, Tabla1[N Doc], 0)),
IF(B282=3,
        INDEX(Tabla1[Iva 22], MATCH($A282, Tabla1[N Doc], 0)),
IF(B282=4,
        INDEX(Tabla1[Base imponible 10], MATCH($A282, Tabla1[N Doc], 0)),
IF(B282=5,
        INDEX(Tabla1[Iva 10], MATCH($A282, Tabla1[N Doc], 0)),
IF(B282=6,
        INDEX(Tabla1[Exento], MATCH($A282, Tabla1[N Doc], 0)),
IF(B282=7,
        INDEX(#REF!, MATCH($A282, Tabla1[N Doc], 0)),
IF(B282=8,
        INDEX(#REF!, MATCH($A282, Tabla1[N Doc], 0)),
IF(B282=9,
        INDEX(Tabla1[Descuentos], MATCH($A282, Tabla1[N Doc], 0)),
""))))))))))</f>
        <v>#REF!</v>
      </c>
      <c r="G282" t="e">
        <f>IF(OR($A282="",$A282=0),"",IF(OR(B282=2,B282=4,B282=6,B282=7),
    INDEX(Tabla13[Ind impuestos], MATCH($A282, Tabla13[N Doc], 0)),
""))</f>
        <v>#REF!</v>
      </c>
      <c r="J282" t="e">
        <f>IF(OR($A282="",$A282=0),"",IF(OR(B282=2,B282=4,B282=6,B282=7),
    INDEX(Tabla1[CECO], MATCH($A282, Tabla1[N Doc], 0)),
""))</f>
        <v>#REF!</v>
      </c>
      <c r="M282" t="e">
        <f>IF(C282=31,INDEX(Tabla1[Descripción], MATCH($A282, Tabla1[N Doc], 0)),"")</f>
        <v>#REF!</v>
      </c>
    </row>
    <row r="283" spans="1:13" x14ac:dyDescent="0.3">
      <c r="A283" t="e" cm="1">
        <f t="array" ref="A283">INDEX(Tabla1[N Doc], ROUNDUP((ROW()-1)/9, 0))</f>
        <v>#REF!</v>
      </c>
      <c r="B283" t="e">
        <f>IF(OR(A283="",A283=0),"",CHOOSE(
    COUNTIF($A$2:A283,A283),
    1,2,3,4,5,6,7,8,9
))</f>
        <v>#REF!</v>
      </c>
      <c r="C283" t="e">
        <f t="shared" si="4"/>
        <v>#REF!</v>
      </c>
      <c r="D283" s="7" t="e" cm="1">
        <f t="array" ref="D283">IF(OR($A283="",$A283=0),"",
IF(AND(INDEX(Formulario!$H$14:$H$100, $A283)="Si", C283&lt;&gt;31),
        VLOOKUP("cta puente",'Descripciones de gastos'!G:H, 2, FALSE),
IF(B283=1,
        INDEX(Tabla13[Titular], MATCH($A283, Tabla1[N Doc], 0)),
IF(B283=2,
        INDEX(Tabla1[Cuenta contable], MATCH($A283, Tabla1[N Doc], 0)),
IF(B283=3,
        INDEX(Tabla13[Cta Iva 22], MATCH($A283, Tabla1[N Doc], 0)),
IF(B283=4,
        INDEX(Tabla1[Cuenta contable], MATCH($A283, Tabla1[N Doc], 0)),
IF(B283=5,
        INDEX(Tabla13[Cta Iva 10], MATCH($A283, Tabla1[N Doc], 0)),
IF(B283=6,
        INDEX(Tabla1[Cuenta contable], MATCH($A283, Tabla1[N Doc], 0)),
IF(B283=7,
        INDEX(Tabla1[Cuenta contable], MATCH($A283, Tabla1[N Doc], 0)),
IF(B283=8,
        IF(INDEX(Tabla1[Tipo IVA], MATCH($A283, Tabla1[N Doc], 0))="22%",
             INDEX(Tabla13[Cta Iva 22], MATCH($A283, Tabla1[N Doc], 0)),
             INDEX(Tabla13[Cta Iva 10], MATCH($A283, Tabla1[N Doc], 0))),
IF(B283=9,
        INDEX(Tabla1[Cuenta contable], MATCH($A283, Tabla1[N Doc], 0))
)))))))))))</f>
        <v>#REF!</v>
      </c>
      <c r="F283" t="e">
        <f>IF(OR($A283="",$A283=0),"",IF(B283=1,
        INDEX(Tabla1[Importe total], MATCH($A283, Tabla1[N Doc], 0)),
IF(B283=2,
        INDEX(Tabla1[Base imponible 22], MATCH($A283, Tabla1[N Doc], 0)),
IF(B283=3,
        INDEX(Tabla1[Iva 22], MATCH($A283, Tabla1[N Doc], 0)),
IF(B283=4,
        INDEX(Tabla1[Base imponible 10], MATCH($A283, Tabla1[N Doc], 0)),
IF(B283=5,
        INDEX(Tabla1[Iva 10], MATCH($A283, Tabla1[N Doc], 0)),
IF(B283=6,
        INDEX(Tabla1[Exento], MATCH($A283, Tabla1[N Doc], 0)),
IF(B283=7,
        INDEX(#REF!, MATCH($A283, Tabla1[N Doc], 0)),
IF(B283=8,
        INDEX(#REF!, MATCH($A283, Tabla1[N Doc], 0)),
IF(B283=9,
        INDEX(Tabla1[Descuentos], MATCH($A283, Tabla1[N Doc], 0)),
""))))))))))</f>
        <v>#REF!</v>
      </c>
      <c r="G283" t="e">
        <f>IF(OR($A283="",$A283=0),"",IF(OR(B283=2,B283=4,B283=6,B283=7),
    INDEX(Tabla13[Ind impuestos], MATCH($A283, Tabla13[N Doc], 0)),
""))</f>
        <v>#REF!</v>
      </c>
      <c r="J283" t="e">
        <f>IF(OR($A283="",$A283=0),"",IF(OR(B283=2,B283=4,B283=6,B283=7),
    INDEX(Tabla1[CECO], MATCH($A283, Tabla1[N Doc], 0)),
""))</f>
        <v>#REF!</v>
      </c>
      <c r="M283" t="e">
        <f>IF(C283=31,INDEX(Tabla1[Descripción], MATCH($A283, Tabla1[N Doc], 0)),"")</f>
        <v>#REF!</v>
      </c>
    </row>
    <row r="284" spans="1:13" x14ac:dyDescent="0.3">
      <c r="A284" t="e" cm="1">
        <f t="array" ref="A284">INDEX(Tabla1[N Doc], ROUNDUP((ROW()-1)/9, 0))</f>
        <v>#REF!</v>
      </c>
      <c r="B284" t="e">
        <f>IF(OR(A284="",A284=0),"",CHOOSE(
    COUNTIF($A$2:A284,A284),
    1,2,3,4,5,6,7,8,9
))</f>
        <v>#REF!</v>
      </c>
      <c r="C284" t="e">
        <f t="shared" si="4"/>
        <v>#REF!</v>
      </c>
      <c r="D284" s="7" t="e" cm="1">
        <f t="array" ref="D284">IF(OR($A284="",$A284=0),"",
IF(AND(INDEX(Formulario!$H$14:$H$100, $A284)="Si", C284&lt;&gt;31),
        VLOOKUP("cta puente",'Descripciones de gastos'!G:H, 2, FALSE),
IF(B284=1,
        INDEX(Tabla13[Titular], MATCH($A284, Tabla1[N Doc], 0)),
IF(B284=2,
        INDEX(Tabla1[Cuenta contable], MATCH($A284, Tabla1[N Doc], 0)),
IF(B284=3,
        INDEX(Tabla13[Cta Iva 22], MATCH($A284, Tabla1[N Doc], 0)),
IF(B284=4,
        INDEX(Tabla1[Cuenta contable], MATCH($A284, Tabla1[N Doc], 0)),
IF(B284=5,
        INDEX(Tabla13[Cta Iva 10], MATCH($A284, Tabla1[N Doc], 0)),
IF(B284=6,
        INDEX(Tabla1[Cuenta contable], MATCH($A284, Tabla1[N Doc], 0)),
IF(B284=7,
        INDEX(Tabla1[Cuenta contable], MATCH($A284, Tabla1[N Doc], 0)),
IF(B284=8,
        IF(INDEX(Tabla1[Tipo IVA], MATCH($A284, Tabla1[N Doc], 0))="22%",
             INDEX(Tabla13[Cta Iva 22], MATCH($A284, Tabla1[N Doc], 0)),
             INDEX(Tabla13[Cta Iva 10], MATCH($A284, Tabla1[N Doc], 0))),
IF(B284=9,
        INDEX(Tabla1[Cuenta contable], MATCH($A284, Tabla1[N Doc], 0))
)))))))))))</f>
        <v>#REF!</v>
      </c>
      <c r="F284" t="e">
        <f>IF(OR($A284="",$A284=0),"",IF(B284=1,
        INDEX(Tabla1[Importe total], MATCH($A284, Tabla1[N Doc], 0)),
IF(B284=2,
        INDEX(Tabla1[Base imponible 22], MATCH($A284, Tabla1[N Doc], 0)),
IF(B284=3,
        INDEX(Tabla1[Iva 22], MATCH($A284, Tabla1[N Doc], 0)),
IF(B284=4,
        INDEX(Tabla1[Base imponible 10], MATCH($A284, Tabla1[N Doc], 0)),
IF(B284=5,
        INDEX(Tabla1[Iva 10], MATCH($A284, Tabla1[N Doc], 0)),
IF(B284=6,
        INDEX(Tabla1[Exento], MATCH($A284, Tabla1[N Doc], 0)),
IF(B284=7,
        INDEX(#REF!, MATCH($A284, Tabla1[N Doc], 0)),
IF(B284=8,
        INDEX(#REF!, MATCH($A284, Tabla1[N Doc], 0)),
IF(B284=9,
        INDEX(Tabla1[Descuentos], MATCH($A284, Tabla1[N Doc], 0)),
""))))))))))</f>
        <v>#REF!</v>
      </c>
      <c r="G284" t="e">
        <f>IF(OR($A284="",$A284=0),"",IF(OR(B284=2,B284=4,B284=6,B284=7),
    INDEX(Tabla13[Ind impuestos], MATCH($A284, Tabla13[N Doc], 0)),
""))</f>
        <v>#REF!</v>
      </c>
      <c r="J284" t="e">
        <f>IF(OR($A284="",$A284=0),"",IF(OR(B284=2,B284=4,B284=6,B284=7),
    INDEX(Tabla1[CECO], MATCH($A284, Tabla1[N Doc], 0)),
""))</f>
        <v>#REF!</v>
      </c>
      <c r="M284" t="e">
        <f>IF(C284=31,INDEX(Tabla1[Descripción], MATCH($A284, Tabla1[N Doc], 0)),"")</f>
        <v>#REF!</v>
      </c>
    </row>
    <row r="285" spans="1:13" x14ac:dyDescent="0.3">
      <c r="A285" t="e" cm="1">
        <f t="array" ref="A285">INDEX(Tabla1[N Doc], ROUNDUP((ROW()-1)/9, 0))</f>
        <v>#REF!</v>
      </c>
      <c r="B285" t="e">
        <f>IF(OR(A285="",A285=0),"",CHOOSE(
    COUNTIF($A$2:A285,A285),
    1,2,3,4,5,6,7,8,9
))</f>
        <v>#REF!</v>
      </c>
      <c r="C285" t="e">
        <f t="shared" si="4"/>
        <v>#REF!</v>
      </c>
      <c r="D285" s="7" t="e" cm="1">
        <f t="array" ref="D285">IF(OR($A285="",$A285=0),"",
IF(AND(INDEX(Formulario!$H$14:$H$100, $A285)="Si", C285&lt;&gt;31),
        VLOOKUP("cta puente",'Descripciones de gastos'!G:H, 2, FALSE),
IF(B285=1,
        INDEX(Tabla13[Titular], MATCH($A285, Tabla1[N Doc], 0)),
IF(B285=2,
        INDEX(Tabla1[Cuenta contable], MATCH($A285, Tabla1[N Doc], 0)),
IF(B285=3,
        INDEX(Tabla13[Cta Iva 22], MATCH($A285, Tabla1[N Doc], 0)),
IF(B285=4,
        INDEX(Tabla1[Cuenta contable], MATCH($A285, Tabla1[N Doc], 0)),
IF(B285=5,
        INDEX(Tabla13[Cta Iva 10], MATCH($A285, Tabla1[N Doc], 0)),
IF(B285=6,
        INDEX(Tabla1[Cuenta contable], MATCH($A285, Tabla1[N Doc], 0)),
IF(B285=7,
        INDEX(Tabla1[Cuenta contable], MATCH($A285, Tabla1[N Doc], 0)),
IF(B285=8,
        IF(INDEX(Tabla1[Tipo IVA], MATCH($A285, Tabla1[N Doc], 0))="22%",
             INDEX(Tabla13[Cta Iva 22], MATCH($A285, Tabla1[N Doc], 0)),
             INDEX(Tabla13[Cta Iva 10], MATCH($A285, Tabla1[N Doc], 0))),
IF(B285=9,
        INDEX(Tabla1[Cuenta contable], MATCH($A285, Tabla1[N Doc], 0))
)))))))))))</f>
        <v>#REF!</v>
      </c>
      <c r="F285" t="e">
        <f>IF(OR($A285="",$A285=0),"",IF(B285=1,
        INDEX(Tabla1[Importe total], MATCH($A285, Tabla1[N Doc], 0)),
IF(B285=2,
        INDEX(Tabla1[Base imponible 22], MATCH($A285, Tabla1[N Doc], 0)),
IF(B285=3,
        INDEX(Tabla1[Iva 22], MATCH($A285, Tabla1[N Doc], 0)),
IF(B285=4,
        INDEX(Tabla1[Base imponible 10], MATCH($A285, Tabla1[N Doc], 0)),
IF(B285=5,
        INDEX(Tabla1[Iva 10], MATCH($A285, Tabla1[N Doc], 0)),
IF(B285=6,
        INDEX(Tabla1[Exento], MATCH($A285, Tabla1[N Doc], 0)),
IF(B285=7,
        INDEX(#REF!, MATCH($A285, Tabla1[N Doc], 0)),
IF(B285=8,
        INDEX(#REF!, MATCH($A285, Tabla1[N Doc], 0)),
IF(B285=9,
        INDEX(Tabla1[Descuentos], MATCH($A285, Tabla1[N Doc], 0)),
""))))))))))</f>
        <v>#REF!</v>
      </c>
      <c r="G285" t="e">
        <f>IF(OR($A285="",$A285=0),"",IF(OR(B285=2,B285=4,B285=6,B285=7),
    INDEX(Tabla13[Ind impuestos], MATCH($A285, Tabla13[N Doc], 0)),
""))</f>
        <v>#REF!</v>
      </c>
      <c r="J285" t="e">
        <f>IF(OR($A285="",$A285=0),"",IF(OR(B285=2,B285=4,B285=6,B285=7),
    INDEX(Tabla1[CECO], MATCH($A285, Tabla1[N Doc], 0)),
""))</f>
        <v>#REF!</v>
      </c>
      <c r="M285" t="e">
        <f>IF(C285=31,INDEX(Tabla1[Descripción], MATCH($A285, Tabla1[N Doc], 0)),"")</f>
        <v>#REF!</v>
      </c>
    </row>
    <row r="286" spans="1:13" x14ac:dyDescent="0.3">
      <c r="A286" t="e" cm="1">
        <f t="array" ref="A286">INDEX(Tabla1[N Doc], ROUNDUP((ROW()-1)/9, 0))</f>
        <v>#REF!</v>
      </c>
      <c r="B286" t="e">
        <f>IF(OR(A286="",A286=0),"",CHOOSE(
    COUNTIF($A$2:A286,A286),
    1,2,3,4,5,6,7,8,9
))</f>
        <v>#REF!</v>
      </c>
      <c r="C286" t="e">
        <f t="shared" si="4"/>
        <v>#REF!</v>
      </c>
      <c r="D286" s="7" t="e" cm="1">
        <f t="array" ref="D286">IF(OR($A286="",$A286=0),"",
IF(AND(INDEX(Formulario!$H$14:$H$100, $A286)="Si", C286&lt;&gt;31),
        VLOOKUP("cta puente",'Descripciones de gastos'!G:H, 2, FALSE),
IF(B286=1,
        INDEX(Tabla13[Titular], MATCH($A286, Tabla1[N Doc], 0)),
IF(B286=2,
        INDEX(Tabla1[Cuenta contable], MATCH($A286, Tabla1[N Doc], 0)),
IF(B286=3,
        INDEX(Tabla13[Cta Iva 22], MATCH($A286, Tabla1[N Doc], 0)),
IF(B286=4,
        INDEX(Tabla1[Cuenta contable], MATCH($A286, Tabla1[N Doc], 0)),
IF(B286=5,
        INDEX(Tabla13[Cta Iva 10], MATCH($A286, Tabla1[N Doc], 0)),
IF(B286=6,
        INDEX(Tabla1[Cuenta contable], MATCH($A286, Tabla1[N Doc], 0)),
IF(B286=7,
        INDEX(Tabla1[Cuenta contable], MATCH($A286, Tabla1[N Doc], 0)),
IF(B286=8,
        IF(INDEX(Tabla1[Tipo IVA], MATCH($A286, Tabla1[N Doc], 0))="22%",
             INDEX(Tabla13[Cta Iva 22], MATCH($A286, Tabla1[N Doc], 0)),
             INDEX(Tabla13[Cta Iva 10], MATCH($A286, Tabla1[N Doc], 0))),
IF(B286=9,
        INDEX(Tabla1[Cuenta contable], MATCH($A286, Tabla1[N Doc], 0))
)))))))))))</f>
        <v>#REF!</v>
      </c>
      <c r="F286" t="e">
        <f>IF(OR($A286="",$A286=0),"",IF(B286=1,
        INDEX(Tabla1[Importe total], MATCH($A286, Tabla1[N Doc], 0)),
IF(B286=2,
        INDEX(Tabla1[Base imponible 22], MATCH($A286, Tabla1[N Doc], 0)),
IF(B286=3,
        INDEX(Tabla1[Iva 22], MATCH($A286, Tabla1[N Doc], 0)),
IF(B286=4,
        INDEX(Tabla1[Base imponible 10], MATCH($A286, Tabla1[N Doc], 0)),
IF(B286=5,
        INDEX(Tabla1[Iva 10], MATCH($A286, Tabla1[N Doc], 0)),
IF(B286=6,
        INDEX(Tabla1[Exento], MATCH($A286, Tabla1[N Doc], 0)),
IF(B286=7,
        INDEX(#REF!, MATCH($A286, Tabla1[N Doc], 0)),
IF(B286=8,
        INDEX(#REF!, MATCH($A286, Tabla1[N Doc], 0)),
IF(B286=9,
        INDEX(Tabla1[Descuentos], MATCH($A286, Tabla1[N Doc], 0)),
""))))))))))</f>
        <v>#REF!</v>
      </c>
      <c r="G286" t="e">
        <f>IF(OR($A286="",$A286=0),"",IF(OR(B286=2,B286=4,B286=6,B286=7),
    INDEX(Tabla13[Ind impuestos], MATCH($A286, Tabla13[N Doc], 0)),
""))</f>
        <v>#REF!</v>
      </c>
      <c r="J286" t="e">
        <f>IF(OR($A286="",$A286=0),"",IF(OR(B286=2,B286=4,B286=6,B286=7),
    INDEX(Tabla1[CECO], MATCH($A286, Tabla1[N Doc], 0)),
""))</f>
        <v>#REF!</v>
      </c>
      <c r="M286" t="e">
        <f>IF(C286=31,INDEX(Tabla1[Descripción], MATCH($A286, Tabla1[N Doc], 0)),"")</f>
        <v>#REF!</v>
      </c>
    </row>
    <row r="287" spans="1:13" x14ac:dyDescent="0.3">
      <c r="A287" t="e" cm="1">
        <f t="array" ref="A287">INDEX(Tabla1[N Doc], ROUNDUP((ROW()-1)/9, 0))</f>
        <v>#REF!</v>
      </c>
      <c r="B287" t="e">
        <f>IF(OR(A287="",A287=0),"",CHOOSE(
    COUNTIF($A$2:A287,A287),
    1,2,3,4,5,6,7,8,9
))</f>
        <v>#REF!</v>
      </c>
      <c r="C287" t="e">
        <f t="shared" si="4"/>
        <v>#REF!</v>
      </c>
      <c r="D287" s="7" t="e" cm="1">
        <f t="array" ref="D287">IF(OR($A287="",$A287=0),"",
IF(AND(INDEX(Formulario!$H$14:$H$100, $A287)="Si", C287&lt;&gt;31),
        VLOOKUP("cta puente",'Descripciones de gastos'!G:H, 2, FALSE),
IF(B287=1,
        INDEX(Tabla13[Titular], MATCH($A287, Tabla1[N Doc], 0)),
IF(B287=2,
        INDEX(Tabla1[Cuenta contable], MATCH($A287, Tabla1[N Doc], 0)),
IF(B287=3,
        INDEX(Tabla13[Cta Iva 22], MATCH($A287, Tabla1[N Doc], 0)),
IF(B287=4,
        INDEX(Tabla1[Cuenta contable], MATCH($A287, Tabla1[N Doc], 0)),
IF(B287=5,
        INDEX(Tabla13[Cta Iva 10], MATCH($A287, Tabla1[N Doc], 0)),
IF(B287=6,
        INDEX(Tabla1[Cuenta contable], MATCH($A287, Tabla1[N Doc], 0)),
IF(B287=7,
        INDEX(Tabla1[Cuenta contable], MATCH($A287, Tabla1[N Doc], 0)),
IF(B287=8,
        IF(INDEX(Tabla1[Tipo IVA], MATCH($A287, Tabla1[N Doc], 0))="22%",
             INDEX(Tabla13[Cta Iva 22], MATCH($A287, Tabla1[N Doc], 0)),
             INDEX(Tabla13[Cta Iva 10], MATCH($A287, Tabla1[N Doc], 0))),
IF(B287=9,
        INDEX(Tabla1[Cuenta contable], MATCH($A287, Tabla1[N Doc], 0))
)))))))))))</f>
        <v>#REF!</v>
      </c>
      <c r="F287" t="e">
        <f>IF(OR($A287="",$A287=0),"",IF(B287=1,
        INDEX(Tabla1[Importe total], MATCH($A287, Tabla1[N Doc], 0)),
IF(B287=2,
        INDEX(Tabla1[Base imponible 22], MATCH($A287, Tabla1[N Doc], 0)),
IF(B287=3,
        INDEX(Tabla1[Iva 22], MATCH($A287, Tabla1[N Doc], 0)),
IF(B287=4,
        INDEX(Tabla1[Base imponible 10], MATCH($A287, Tabla1[N Doc], 0)),
IF(B287=5,
        INDEX(Tabla1[Iva 10], MATCH($A287, Tabla1[N Doc], 0)),
IF(B287=6,
        INDEX(Tabla1[Exento], MATCH($A287, Tabla1[N Doc], 0)),
IF(B287=7,
        INDEX(#REF!, MATCH($A287, Tabla1[N Doc], 0)),
IF(B287=8,
        INDEX(#REF!, MATCH($A287, Tabla1[N Doc], 0)),
IF(B287=9,
        INDEX(Tabla1[Descuentos], MATCH($A287, Tabla1[N Doc], 0)),
""))))))))))</f>
        <v>#REF!</v>
      </c>
      <c r="G287" t="e">
        <f>IF(OR($A287="",$A287=0),"",IF(OR(B287=2,B287=4,B287=6,B287=7),
    INDEX(Tabla13[Ind impuestos], MATCH($A287, Tabla13[N Doc], 0)),
""))</f>
        <v>#REF!</v>
      </c>
      <c r="J287" t="e">
        <f>IF(OR($A287="",$A287=0),"",IF(OR(B287=2,B287=4,B287=6,B287=7),
    INDEX(Tabla1[CECO], MATCH($A287, Tabla1[N Doc], 0)),
""))</f>
        <v>#REF!</v>
      </c>
      <c r="M287" t="e">
        <f>IF(C287=31,INDEX(Tabla1[Descripción], MATCH($A287, Tabla1[N Doc], 0)),"")</f>
        <v>#REF!</v>
      </c>
    </row>
    <row r="288" spans="1:13" x14ac:dyDescent="0.3">
      <c r="A288" t="e" cm="1">
        <f t="array" ref="A288">INDEX(Tabla1[N Doc], ROUNDUP((ROW()-1)/9, 0))</f>
        <v>#REF!</v>
      </c>
      <c r="B288" t="e">
        <f>IF(OR(A288="",A288=0),"",CHOOSE(
    COUNTIF($A$2:A288,A288),
    1,2,3,4,5,6,7,8,9
))</f>
        <v>#REF!</v>
      </c>
      <c r="C288" t="e">
        <f t="shared" si="4"/>
        <v>#REF!</v>
      </c>
      <c r="D288" s="7" t="e" cm="1">
        <f t="array" ref="D288">IF(OR($A288="",$A288=0),"",
IF(AND(INDEX(Formulario!$H$14:$H$100, $A288)="Si", C288&lt;&gt;31),
        VLOOKUP("cta puente",'Descripciones de gastos'!G:H, 2, FALSE),
IF(B288=1,
        INDEX(Tabla13[Titular], MATCH($A288, Tabla1[N Doc], 0)),
IF(B288=2,
        INDEX(Tabla1[Cuenta contable], MATCH($A288, Tabla1[N Doc], 0)),
IF(B288=3,
        INDEX(Tabla13[Cta Iva 22], MATCH($A288, Tabla1[N Doc], 0)),
IF(B288=4,
        INDEX(Tabla1[Cuenta contable], MATCH($A288, Tabla1[N Doc], 0)),
IF(B288=5,
        INDEX(Tabla13[Cta Iva 10], MATCH($A288, Tabla1[N Doc], 0)),
IF(B288=6,
        INDEX(Tabla1[Cuenta contable], MATCH($A288, Tabla1[N Doc], 0)),
IF(B288=7,
        INDEX(Tabla1[Cuenta contable], MATCH($A288, Tabla1[N Doc], 0)),
IF(B288=8,
        IF(INDEX(Tabla1[Tipo IVA], MATCH($A288, Tabla1[N Doc], 0))="22%",
             INDEX(Tabla13[Cta Iva 22], MATCH($A288, Tabla1[N Doc], 0)),
             INDEX(Tabla13[Cta Iva 10], MATCH($A288, Tabla1[N Doc], 0))),
IF(B288=9,
        INDEX(Tabla1[Cuenta contable], MATCH($A288, Tabla1[N Doc], 0))
)))))))))))</f>
        <v>#REF!</v>
      </c>
      <c r="F288" t="e">
        <f>IF(OR($A288="",$A288=0),"",IF(B288=1,
        INDEX(Tabla1[Importe total], MATCH($A288, Tabla1[N Doc], 0)),
IF(B288=2,
        INDEX(Tabla1[Base imponible 22], MATCH($A288, Tabla1[N Doc], 0)),
IF(B288=3,
        INDEX(Tabla1[Iva 22], MATCH($A288, Tabla1[N Doc], 0)),
IF(B288=4,
        INDEX(Tabla1[Base imponible 10], MATCH($A288, Tabla1[N Doc], 0)),
IF(B288=5,
        INDEX(Tabla1[Iva 10], MATCH($A288, Tabla1[N Doc], 0)),
IF(B288=6,
        INDEX(Tabla1[Exento], MATCH($A288, Tabla1[N Doc], 0)),
IF(B288=7,
        INDEX(#REF!, MATCH($A288, Tabla1[N Doc], 0)),
IF(B288=8,
        INDEX(#REF!, MATCH($A288, Tabla1[N Doc], 0)),
IF(B288=9,
        INDEX(Tabla1[Descuentos], MATCH($A288, Tabla1[N Doc], 0)),
""))))))))))</f>
        <v>#REF!</v>
      </c>
      <c r="G288" t="e">
        <f>IF(OR($A288="",$A288=0),"",IF(OR(B288=2,B288=4,B288=6,B288=7),
    INDEX(Tabla13[Ind impuestos], MATCH($A288, Tabla13[N Doc], 0)),
""))</f>
        <v>#REF!</v>
      </c>
      <c r="J288" t="e">
        <f>IF(OR($A288="",$A288=0),"",IF(OR(B288=2,B288=4,B288=6,B288=7),
    INDEX(Tabla1[CECO], MATCH($A288, Tabla1[N Doc], 0)),
""))</f>
        <v>#REF!</v>
      </c>
      <c r="M288" t="e">
        <f>IF(C288=31,INDEX(Tabla1[Descripción], MATCH($A288, Tabla1[N Doc], 0)),"")</f>
        <v>#REF!</v>
      </c>
    </row>
    <row r="289" spans="1:13" x14ac:dyDescent="0.3">
      <c r="A289" t="e" cm="1">
        <f t="array" ref="A289">INDEX(Tabla1[N Doc], ROUNDUP((ROW()-1)/9, 0))</f>
        <v>#REF!</v>
      </c>
      <c r="B289" t="e">
        <f>IF(OR(A289="",A289=0),"",CHOOSE(
    COUNTIF($A$2:A289,A289),
    1,2,3,4,5,6,7,8,9
))</f>
        <v>#REF!</v>
      </c>
      <c r="C289" t="e">
        <f t="shared" si="4"/>
        <v>#REF!</v>
      </c>
      <c r="D289" s="7" t="e" cm="1">
        <f t="array" ref="D289">IF(OR($A289="",$A289=0),"",
IF(AND(INDEX(Formulario!$H$14:$H$100, $A289)="Si", C289&lt;&gt;31),
        VLOOKUP("cta puente",'Descripciones de gastos'!G:H, 2, FALSE),
IF(B289=1,
        INDEX(Tabla13[Titular], MATCH($A289, Tabla1[N Doc], 0)),
IF(B289=2,
        INDEX(Tabla1[Cuenta contable], MATCH($A289, Tabla1[N Doc], 0)),
IF(B289=3,
        INDEX(Tabla13[Cta Iva 22], MATCH($A289, Tabla1[N Doc], 0)),
IF(B289=4,
        INDEX(Tabla1[Cuenta contable], MATCH($A289, Tabla1[N Doc], 0)),
IF(B289=5,
        INDEX(Tabla13[Cta Iva 10], MATCH($A289, Tabla1[N Doc], 0)),
IF(B289=6,
        INDEX(Tabla1[Cuenta contable], MATCH($A289, Tabla1[N Doc], 0)),
IF(B289=7,
        INDEX(Tabla1[Cuenta contable], MATCH($A289, Tabla1[N Doc], 0)),
IF(B289=8,
        IF(INDEX(Tabla1[Tipo IVA], MATCH($A289, Tabla1[N Doc], 0))="22%",
             INDEX(Tabla13[Cta Iva 22], MATCH($A289, Tabla1[N Doc], 0)),
             INDEX(Tabla13[Cta Iva 10], MATCH($A289, Tabla1[N Doc], 0))),
IF(B289=9,
        INDEX(Tabla1[Cuenta contable], MATCH($A289, Tabla1[N Doc], 0))
)))))))))))</f>
        <v>#REF!</v>
      </c>
      <c r="F289" t="e">
        <f>IF(OR($A289="",$A289=0),"",IF(B289=1,
        INDEX(Tabla1[Importe total], MATCH($A289, Tabla1[N Doc], 0)),
IF(B289=2,
        INDEX(Tabla1[Base imponible 22], MATCH($A289, Tabla1[N Doc], 0)),
IF(B289=3,
        INDEX(Tabla1[Iva 22], MATCH($A289, Tabla1[N Doc], 0)),
IF(B289=4,
        INDEX(Tabla1[Base imponible 10], MATCH($A289, Tabla1[N Doc], 0)),
IF(B289=5,
        INDEX(Tabla1[Iva 10], MATCH($A289, Tabla1[N Doc], 0)),
IF(B289=6,
        INDEX(Tabla1[Exento], MATCH($A289, Tabla1[N Doc], 0)),
IF(B289=7,
        INDEX(#REF!, MATCH($A289, Tabla1[N Doc], 0)),
IF(B289=8,
        INDEX(#REF!, MATCH($A289, Tabla1[N Doc], 0)),
IF(B289=9,
        INDEX(Tabla1[Descuentos], MATCH($A289, Tabla1[N Doc], 0)),
""))))))))))</f>
        <v>#REF!</v>
      </c>
      <c r="G289" t="e">
        <f>IF(OR($A289="",$A289=0),"",IF(OR(B289=2,B289=4,B289=6,B289=7),
    INDEX(Tabla13[Ind impuestos], MATCH($A289, Tabla13[N Doc], 0)),
""))</f>
        <v>#REF!</v>
      </c>
      <c r="J289" t="e">
        <f>IF(OR($A289="",$A289=0),"",IF(OR(B289=2,B289=4,B289=6,B289=7),
    INDEX(Tabla1[CECO], MATCH($A289, Tabla1[N Doc], 0)),
""))</f>
        <v>#REF!</v>
      </c>
      <c r="M289" t="e">
        <f>IF(C289=31,INDEX(Tabla1[Descripción], MATCH($A289, Tabla1[N Doc], 0)),"")</f>
        <v>#REF!</v>
      </c>
    </row>
    <row r="290" spans="1:13" x14ac:dyDescent="0.3">
      <c r="A290" t="e" cm="1">
        <f t="array" ref="A290">INDEX(Tabla1[N Doc], ROUNDUP((ROW()-1)/9, 0))</f>
        <v>#REF!</v>
      </c>
      <c r="B290" t="e">
        <f>IF(OR(A290="",A290=0),"",CHOOSE(
    COUNTIF($A$2:A290,A290),
    1,2,3,4,5,6,7,8,9
))</f>
        <v>#REF!</v>
      </c>
      <c r="C290" t="e">
        <f t="shared" si="4"/>
        <v>#REF!</v>
      </c>
      <c r="D290" s="7" t="e" cm="1">
        <f t="array" ref="D290">IF(OR($A290="",$A290=0),"",
IF(AND(INDEX(Formulario!$H$14:$H$100, $A290)="Si", C290&lt;&gt;31),
        VLOOKUP("cta puente",'Descripciones de gastos'!G:H, 2, FALSE),
IF(B290=1,
        INDEX(Tabla13[Titular], MATCH($A290, Tabla1[N Doc], 0)),
IF(B290=2,
        INDEX(Tabla1[Cuenta contable], MATCH($A290, Tabla1[N Doc], 0)),
IF(B290=3,
        INDEX(Tabla13[Cta Iva 22], MATCH($A290, Tabla1[N Doc], 0)),
IF(B290=4,
        INDEX(Tabla1[Cuenta contable], MATCH($A290, Tabla1[N Doc], 0)),
IF(B290=5,
        INDEX(Tabla13[Cta Iva 10], MATCH($A290, Tabla1[N Doc], 0)),
IF(B290=6,
        INDEX(Tabla1[Cuenta contable], MATCH($A290, Tabla1[N Doc], 0)),
IF(B290=7,
        INDEX(Tabla1[Cuenta contable], MATCH($A290, Tabla1[N Doc], 0)),
IF(B290=8,
        IF(INDEX(Tabla1[Tipo IVA], MATCH($A290, Tabla1[N Doc], 0))="22%",
             INDEX(Tabla13[Cta Iva 22], MATCH($A290, Tabla1[N Doc], 0)),
             INDEX(Tabla13[Cta Iva 10], MATCH($A290, Tabla1[N Doc], 0))),
IF(B290=9,
        INDEX(Tabla1[Cuenta contable], MATCH($A290, Tabla1[N Doc], 0))
)))))))))))</f>
        <v>#REF!</v>
      </c>
      <c r="F290" t="e">
        <f>IF(OR($A290="",$A290=0),"",IF(B290=1,
        INDEX(Tabla1[Importe total], MATCH($A290, Tabla1[N Doc], 0)),
IF(B290=2,
        INDEX(Tabla1[Base imponible 22], MATCH($A290, Tabla1[N Doc], 0)),
IF(B290=3,
        INDEX(Tabla1[Iva 22], MATCH($A290, Tabla1[N Doc], 0)),
IF(B290=4,
        INDEX(Tabla1[Base imponible 10], MATCH($A290, Tabla1[N Doc], 0)),
IF(B290=5,
        INDEX(Tabla1[Iva 10], MATCH($A290, Tabla1[N Doc], 0)),
IF(B290=6,
        INDEX(Tabla1[Exento], MATCH($A290, Tabla1[N Doc], 0)),
IF(B290=7,
        INDEX(#REF!, MATCH($A290, Tabla1[N Doc], 0)),
IF(B290=8,
        INDEX(#REF!, MATCH($A290, Tabla1[N Doc], 0)),
IF(B290=9,
        INDEX(Tabla1[Descuentos], MATCH($A290, Tabla1[N Doc], 0)),
""))))))))))</f>
        <v>#REF!</v>
      </c>
      <c r="G290" t="e">
        <f>IF(OR($A290="",$A290=0),"",IF(OR(B290=2,B290=4,B290=6,B290=7),
    INDEX(Tabla13[Ind impuestos], MATCH($A290, Tabla13[N Doc], 0)),
""))</f>
        <v>#REF!</v>
      </c>
      <c r="J290" t="e">
        <f>IF(OR($A290="",$A290=0),"",IF(OR(B290=2,B290=4,B290=6,B290=7),
    INDEX(Tabla1[CECO], MATCH($A290, Tabla1[N Doc], 0)),
""))</f>
        <v>#REF!</v>
      </c>
      <c r="M290" t="e">
        <f>IF(C290=31,INDEX(Tabla1[Descripción], MATCH($A290, Tabla1[N Doc], 0)),"")</f>
        <v>#REF!</v>
      </c>
    </row>
    <row r="291" spans="1:13" x14ac:dyDescent="0.3">
      <c r="A291" t="e" cm="1">
        <f t="array" ref="A291">INDEX(Tabla1[N Doc], ROUNDUP((ROW()-1)/9, 0))</f>
        <v>#REF!</v>
      </c>
      <c r="B291" t="e">
        <f>IF(OR(A291="",A291=0),"",CHOOSE(
    COUNTIF($A$2:A291,A291),
    1,2,3,4,5,6,7,8,9
))</f>
        <v>#REF!</v>
      </c>
      <c r="C291" t="e">
        <f t="shared" si="4"/>
        <v>#REF!</v>
      </c>
      <c r="D291" s="7" t="e" cm="1">
        <f t="array" ref="D291">IF(OR($A291="",$A291=0),"",
IF(AND(INDEX(Formulario!$H$14:$H$100, $A291)="Si", C291&lt;&gt;31),
        VLOOKUP("cta puente",'Descripciones de gastos'!G:H, 2, FALSE),
IF(B291=1,
        INDEX(Tabla13[Titular], MATCH($A291, Tabla1[N Doc], 0)),
IF(B291=2,
        INDEX(Tabla1[Cuenta contable], MATCH($A291, Tabla1[N Doc], 0)),
IF(B291=3,
        INDEX(Tabla13[Cta Iva 22], MATCH($A291, Tabla1[N Doc], 0)),
IF(B291=4,
        INDEX(Tabla1[Cuenta contable], MATCH($A291, Tabla1[N Doc], 0)),
IF(B291=5,
        INDEX(Tabla13[Cta Iva 10], MATCH($A291, Tabla1[N Doc], 0)),
IF(B291=6,
        INDEX(Tabla1[Cuenta contable], MATCH($A291, Tabla1[N Doc], 0)),
IF(B291=7,
        INDEX(Tabla1[Cuenta contable], MATCH($A291, Tabla1[N Doc], 0)),
IF(B291=8,
        IF(INDEX(Tabla1[Tipo IVA], MATCH($A291, Tabla1[N Doc], 0))="22%",
             INDEX(Tabla13[Cta Iva 22], MATCH($A291, Tabla1[N Doc], 0)),
             INDEX(Tabla13[Cta Iva 10], MATCH($A291, Tabla1[N Doc], 0))),
IF(B291=9,
        INDEX(Tabla1[Cuenta contable], MATCH($A291, Tabla1[N Doc], 0))
)))))))))))</f>
        <v>#REF!</v>
      </c>
      <c r="F291" t="e">
        <f>IF(OR($A291="",$A291=0),"",IF(B291=1,
        INDEX(Tabla1[Importe total], MATCH($A291, Tabla1[N Doc], 0)),
IF(B291=2,
        INDEX(Tabla1[Base imponible 22], MATCH($A291, Tabla1[N Doc], 0)),
IF(B291=3,
        INDEX(Tabla1[Iva 22], MATCH($A291, Tabla1[N Doc], 0)),
IF(B291=4,
        INDEX(Tabla1[Base imponible 10], MATCH($A291, Tabla1[N Doc], 0)),
IF(B291=5,
        INDEX(Tabla1[Iva 10], MATCH($A291, Tabla1[N Doc], 0)),
IF(B291=6,
        INDEX(Tabla1[Exento], MATCH($A291, Tabla1[N Doc], 0)),
IF(B291=7,
        INDEX(#REF!, MATCH($A291, Tabla1[N Doc], 0)),
IF(B291=8,
        INDEX(#REF!, MATCH($A291, Tabla1[N Doc], 0)),
IF(B291=9,
        INDEX(Tabla1[Descuentos], MATCH($A291, Tabla1[N Doc], 0)),
""))))))))))</f>
        <v>#REF!</v>
      </c>
      <c r="G291" t="e">
        <f>IF(OR($A291="",$A291=0),"",IF(OR(B291=2,B291=4,B291=6,B291=7),
    INDEX(Tabla13[Ind impuestos], MATCH($A291, Tabla13[N Doc], 0)),
""))</f>
        <v>#REF!</v>
      </c>
      <c r="J291" t="e">
        <f>IF(OR($A291="",$A291=0),"",IF(OR(B291=2,B291=4,B291=6,B291=7),
    INDEX(Tabla1[CECO], MATCH($A291, Tabla1[N Doc], 0)),
""))</f>
        <v>#REF!</v>
      </c>
      <c r="M291" t="e">
        <f>IF(C291=31,INDEX(Tabla1[Descripción], MATCH($A291, Tabla1[N Doc], 0)),"")</f>
        <v>#REF!</v>
      </c>
    </row>
    <row r="292" spans="1:13" x14ac:dyDescent="0.3">
      <c r="A292" t="e" cm="1">
        <f t="array" ref="A292">INDEX(Tabla1[N Doc], ROUNDUP((ROW()-1)/9, 0))</f>
        <v>#REF!</v>
      </c>
      <c r="B292" t="e">
        <f>IF(OR(A292="",A292=0),"",CHOOSE(
    COUNTIF($A$2:A292,A292),
    1,2,3,4,5,6,7,8,9
))</f>
        <v>#REF!</v>
      </c>
      <c r="C292" t="e">
        <f t="shared" si="4"/>
        <v>#REF!</v>
      </c>
      <c r="D292" s="7" t="e" cm="1">
        <f t="array" ref="D292">IF(OR($A292="",$A292=0),"",
IF(AND(INDEX(Formulario!$H$14:$H$100, $A292)="Si", C292&lt;&gt;31),
        VLOOKUP("cta puente",'Descripciones de gastos'!G:H, 2, FALSE),
IF(B292=1,
        INDEX(Tabla13[Titular], MATCH($A292, Tabla1[N Doc], 0)),
IF(B292=2,
        INDEX(Tabla1[Cuenta contable], MATCH($A292, Tabla1[N Doc], 0)),
IF(B292=3,
        INDEX(Tabla13[Cta Iva 22], MATCH($A292, Tabla1[N Doc], 0)),
IF(B292=4,
        INDEX(Tabla1[Cuenta contable], MATCH($A292, Tabla1[N Doc], 0)),
IF(B292=5,
        INDEX(Tabla13[Cta Iva 10], MATCH($A292, Tabla1[N Doc], 0)),
IF(B292=6,
        INDEX(Tabla1[Cuenta contable], MATCH($A292, Tabla1[N Doc], 0)),
IF(B292=7,
        INDEX(Tabla1[Cuenta contable], MATCH($A292, Tabla1[N Doc], 0)),
IF(B292=8,
        IF(INDEX(Tabla1[Tipo IVA], MATCH($A292, Tabla1[N Doc], 0))="22%",
             INDEX(Tabla13[Cta Iva 22], MATCH($A292, Tabla1[N Doc], 0)),
             INDEX(Tabla13[Cta Iva 10], MATCH($A292, Tabla1[N Doc], 0))),
IF(B292=9,
        INDEX(Tabla1[Cuenta contable], MATCH($A292, Tabla1[N Doc], 0))
)))))))))))</f>
        <v>#REF!</v>
      </c>
      <c r="F292" t="e">
        <f>IF(OR($A292="",$A292=0),"",IF(B292=1,
        INDEX(Tabla1[Importe total], MATCH($A292, Tabla1[N Doc], 0)),
IF(B292=2,
        INDEX(Tabla1[Base imponible 22], MATCH($A292, Tabla1[N Doc], 0)),
IF(B292=3,
        INDEX(Tabla1[Iva 22], MATCH($A292, Tabla1[N Doc], 0)),
IF(B292=4,
        INDEX(Tabla1[Base imponible 10], MATCH($A292, Tabla1[N Doc], 0)),
IF(B292=5,
        INDEX(Tabla1[Iva 10], MATCH($A292, Tabla1[N Doc], 0)),
IF(B292=6,
        INDEX(Tabla1[Exento], MATCH($A292, Tabla1[N Doc], 0)),
IF(B292=7,
        INDEX(#REF!, MATCH($A292, Tabla1[N Doc], 0)),
IF(B292=8,
        INDEX(#REF!, MATCH($A292, Tabla1[N Doc], 0)),
IF(B292=9,
        INDEX(Tabla1[Descuentos], MATCH($A292, Tabla1[N Doc], 0)),
""))))))))))</f>
        <v>#REF!</v>
      </c>
      <c r="G292" t="e">
        <f>IF(OR($A292="",$A292=0),"",IF(OR(B292=2,B292=4,B292=6,B292=7),
    INDEX(Tabla13[Ind impuestos], MATCH($A292, Tabla13[N Doc], 0)),
""))</f>
        <v>#REF!</v>
      </c>
      <c r="J292" t="e">
        <f>IF(OR($A292="",$A292=0),"",IF(OR(B292=2,B292=4,B292=6,B292=7),
    INDEX(Tabla1[CECO], MATCH($A292, Tabla1[N Doc], 0)),
""))</f>
        <v>#REF!</v>
      </c>
      <c r="M292" t="e">
        <f>IF(C292=31,INDEX(Tabla1[Descripción], MATCH($A292, Tabla1[N Doc], 0)),"")</f>
        <v>#REF!</v>
      </c>
    </row>
    <row r="293" spans="1:13" x14ac:dyDescent="0.3">
      <c r="A293" t="e" cm="1">
        <f t="array" ref="A293">INDEX(Tabla1[N Doc], ROUNDUP((ROW()-1)/9, 0))</f>
        <v>#REF!</v>
      </c>
      <c r="B293" t="e">
        <f>IF(OR(A293="",A293=0),"",CHOOSE(
    COUNTIF($A$2:A293,A293),
    1,2,3,4,5,6,7,8,9
))</f>
        <v>#REF!</v>
      </c>
      <c r="C293" t="e">
        <f t="shared" si="4"/>
        <v>#REF!</v>
      </c>
      <c r="D293" s="7" t="e" cm="1">
        <f t="array" ref="D293">IF(OR($A293="",$A293=0),"",
IF(AND(INDEX(Formulario!$H$14:$H$100, $A293)="Si", C293&lt;&gt;31),
        VLOOKUP("cta puente",'Descripciones de gastos'!G:H, 2, FALSE),
IF(B293=1,
        INDEX(Tabla13[Titular], MATCH($A293, Tabla1[N Doc], 0)),
IF(B293=2,
        INDEX(Tabla1[Cuenta contable], MATCH($A293, Tabla1[N Doc], 0)),
IF(B293=3,
        INDEX(Tabla13[Cta Iva 22], MATCH($A293, Tabla1[N Doc], 0)),
IF(B293=4,
        INDEX(Tabla1[Cuenta contable], MATCH($A293, Tabla1[N Doc], 0)),
IF(B293=5,
        INDEX(Tabla13[Cta Iva 10], MATCH($A293, Tabla1[N Doc], 0)),
IF(B293=6,
        INDEX(Tabla1[Cuenta contable], MATCH($A293, Tabla1[N Doc], 0)),
IF(B293=7,
        INDEX(Tabla1[Cuenta contable], MATCH($A293, Tabla1[N Doc], 0)),
IF(B293=8,
        IF(INDEX(Tabla1[Tipo IVA], MATCH($A293, Tabla1[N Doc], 0))="22%",
             INDEX(Tabla13[Cta Iva 22], MATCH($A293, Tabla1[N Doc], 0)),
             INDEX(Tabla13[Cta Iva 10], MATCH($A293, Tabla1[N Doc], 0))),
IF(B293=9,
        INDEX(Tabla1[Cuenta contable], MATCH($A293, Tabla1[N Doc], 0))
)))))))))))</f>
        <v>#REF!</v>
      </c>
      <c r="F293" t="e">
        <f>IF(OR($A293="",$A293=0),"",IF(B293=1,
        INDEX(Tabla1[Importe total], MATCH($A293, Tabla1[N Doc], 0)),
IF(B293=2,
        INDEX(Tabla1[Base imponible 22], MATCH($A293, Tabla1[N Doc], 0)),
IF(B293=3,
        INDEX(Tabla1[Iva 22], MATCH($A293, Tabla1[N Doc], 0)),
IF(B293=4,
        INDEX(Tabla1[Base imponible 10], MATCH($A293, Tabla1[N Doc], 0)),
IF(B293=5,
        INDEX(Tabla1[Iva 10], MATCH($A293, Tabla1[N Doc], 0)),
IF(B293=6,
        INDEX(Tabla1[Exento], MATCH($A293, Tabla1[N Doc], 0)),
IF(B293=7,
        INDEX(#REF!, MATCH($A293, Tabla1[N Doc], 0)),
IF(B293=8,
        INDEX(#REF!, MATCH($A293, Tabla1[N Doc], 0)),
IF(B293=9,
        INDEX(Tabla1[Descuentos], MATCH($A293, Tabla1[N Doc], 0)),
""))))))))))</f>
        <v>#REF!</v>
      </c>
      <c r="G293" t="e">
        <f>IF(OR($A293="",$A293=0),"",IF(OR(B293=2,B293=4,B293=6,B293=7),
    INDEX(Tabla13[Ind impuestos], MATCH($A293, Tabla13[N Doc], 0)),
""))</f>
        <v>#REF!</v>
      </c>
      <c r="J293" t="e">
        <f>IF(OR($A293="",$A293=0),"",IF(OR(B293=2,B293=4,B293=6,B293=7),
    INDEX(Tabla1[CECO], MATCH($A293, Tabla1[N Doc], 0)),
""))</f>
        <v>#REF!</v>
      </c>
      <c r="M293" t="e">
        <f>IF(C293=31,INDEX(Tabla1[Descripción], MATCH($A293, Tabla1[N Doc], 0)),"")</f>
        <v>#REF!</v>
      </c>
    </row>
    <row r="294" spans="1:13" x14ac:dyDescent="0.3">
      <c r="A294" t="e" cm="1">
        <f t="array" ref="A294">INDEX(Tabla1[N Doc], ROUNDUP((ROW()-1)/9, 0))</f>
        <v>#REF!</v>
      </c>
      <c r="B294" t="e">
        <f>IF(OR(A294="",A294=0),"",CHOOSE(
    COUNTIF($A$2:A294,A294),
    1,2,3,4,5,6,7,8,9
))</f>
        <v>#REF!</v>
      </c>
      <c r="C294" t="e">
        <f t="shared" si="4"/>
        <v>#REF!</v>
      </c>
      <c r="D294" s="7" t="e" cm="1">
        <f t="array" ref="D294">IF(OR($A294="",$A294=0),"",
IF(AND(INDEX(Formulario!$H$14:$H$100, $A294)="Si", C294&lt;&gt;31),
        VLOOKUP("cta puente",'Descripciones de gastos'!G:H, 2, FALSE),
IF(B294=1,
        INDEX(Tabla13[Titular], MATCH($A294, Tabla1[N Doc], 0)),
IF(B294=2,
        INDEX(Tabla1[Cuenta contable], MATCH($A294, Tabla1[N Doc], 0)),
IF(B294=3,
        INDEX(Tabla13[Cta Iva 22], MATCH($A294, Tabla1[N Doc], 0)),
IF(B294=4,
        INDEX(Tabla1[Cuenta contable], MATCH($A294, Tabla1[N Doc], 0)),
IF(B294=5,
        INDEX(Tabla13[Cta Iva 10], MATCH($A294, Tabla1[N Doc], 0)),
IF(B294=6,
        INDEX(Tabla1[Cuenta contable], MATCH($A294, Tabla1[N Doc], 0)),
IF(B294=7,
        INDEX(Tabla1[Cuenta contable], MATCH($A294, Tabla1[N Doc], 0)),
IF(B294=8,
        IF(INDEX(Tabla1[Tipo IVA], MATCH($A294, Tabla1[N Doc], 0))="22%",
             INDEX(Tabla13[Cta Iva 22], MATCH($A294, Tabla1[N Doc], 0)),
             INDEX(Tabla13[Cta Iva 10], MATCH($A294, Tabla1[N Doc], 0))),
IF(B294=9,
        INDEX(Tabla1[Cuenta contable], MATCH($A294, Tabla1[N Doc], 0))
)))))))))))</f>
        <v>#REF!</v>
      </c>
      <c r="F294" t="e">
        <f>IF(OR($A294="",$A294=0),"",IF(B294=1,
        INDEX(Tabla1[Importe total], MATCH($A294, Tabla1[N Doc], 0)),
IF(B294=2,
        INDEX(Tabla1[Base imponible 22], MATCH($A294, Tabla1[N Doc], 0)),
IF(B294=3,
        INDEX(Tabla1[Iva 22], MATCH($A294, Tabla1[N Doc], 0)),
IF(B294=4,
        INDEX(Tabla1[Base imponible 10], MATCH($A294, Tabla1[N Doc], 0)),
IF(B294=5,
        INDEX(Tabla1[Iva 10], MATCH($A294, Tabla1[N Doc], 0)),
IF(B294=6,
        INDEX(Tabla1[Exento], MATCH($A294, Tabla1[N Doc], 0)),
IF(B294=7,
        INDEX(#REF!, MATCH($A294, Tabla1[N Doc], 0)),
IF(B294=8,
        INDEX(#REF!, MATCH($A294, Tabla1[N Doc], 0)),
IF(B294=9,
        INDEX(Tabla1[Descuentos], MATCH($A294, Tabla1[N Doc], 0)),
""))))))))))</f>
        <v>#REF!</v>
      </c>
      <c r="G294" t="e">
        <f>IF(OR($A294="",$A294=0),"",IF(OR(B294=2,B294=4,B294=6,B294=7),
    INDEX(Tabla13[Ind impuestos], MATCH($A294, Tabla13[N Doc], 0)),
""))</f>
        <v>#REF!</v>
      </c>
      <c r="J294" t="e">
        <f>IF(OR($A294="",$A294=0),"",IF(OR(B294=2,B294=4,B294=6,B294=7),
    INDEX(Tabla1[CECO], MATCH($A294, Tabla1[N Doc], 0)),
""))</f>
        <v>#REF!</v>
      </c>
      <c r="M294" t="e">
        <f>IF(C294=31,INDEX(Tabla1[Descripción], MATCH($A294, Tabla1[N Doc], 0)),"")</f>
        <v>#REF!</v>
      </c>
    </row>
    <row r="295" spans="1:13" x14ac:dyDescent="0.3">
      <c r="A295" t="e" cm="1">
        <f t="array" ref="A295">INDEX(Tabla1[N Doc], ROUNDUP((ROW()-1)/9, 0))</f>
        <v>#REF!</v>
      </c>
      <c r="B295" t="e">
        <f>IF(OR(A295="",A295=0),"",CHOOSE(
    COUNTIF($A$2:A295,A295),
    1,2,3,4,5,6,7,8,9
))</f>
        <v>#REF!</v>
      </c>
      <c r="C295" t="e">
        <f t="shared" si="4"/>
        <v>#REF!</v>
      </c>
      <c r="D295" s="7" t="e" cm="1">
        <f t="array" ref="D295">IF(OR($A295="",$A295=0),"",
IF(AND(INDEX(Formulario!$H$14:$H$100, $A295)="Si", C295&lt;&gt;31),
        VLOOKUP("cta puente",'Descripciones de gastos'!G:H, 2, FALSE),
IF(B295=1,
        INDEX(Tabla13[Titular], MATCH($A295, Tabla1[N Doc], 0)),
IF(B295=2,
        INDEX(Tabla1[Cuenta contable], MATCH($A295, Tabla1[N Doc], 0)),
IF(B295=3,
        INDEX(Tabla13[Cta Iva 22], MATCH($A295, Tabla1[N Doc], 0)),
IF(B295=4,
        INDEX(Tabla1[Cuenta contable], MATCH($A295, Tabla1[N Doc], 0)),
IF(B295=5,
        INDEX(Tabla13[Cta Iva 10], MATCH($A295, Tabla1[N Doc], 0)),
IF(B295=6,
        INDEX(Tabla1[Cuenta contable], MATCH($A295, Tabla1[N Doc], 0)),
IF(B295=7,
        INDEX(Tabla1[Cuenta contable], MATCH($A295, Tabla1[N Doc], 0)),
IF(B295=8,
        IF(INDEX(Tabla1[Tipo IVA], MATCH($A295, Tabla1[N Doc], 0))="22%",
             INDEX(Tabla13[Cta Iva 22], MATCH($A295, Tabla1[N Doc], 0)),
             INDEX(Tabla13[Cta Iva 10], MATCH($A295, Tabla1[N Doc], 0))),
IF(B295=9,
        INDEX(Tabla1[Cuenta contable], MATCH($A295, Tabla1[N Doc], 0))
)))))))))))</f>
        <v>#REF!</v>
      </c>
      <c r="F295" t="e">
        <f>IF(OR($A295="",$A295=0),"",IF(B295=1,
        INDEX(Tabla1[Importe total], MATCH($A295, Tabla1[N Doc], 0)),
IF(B295=2,
        INDEX(Tabla1[Base imponible 22], MATCH($A295, Tabla1[N Doc], 0)),
IF(B295=3,
        INDEX(Tabla1[Iva 22], MATCH($A295, Tabla1[N Doc], 0)),
IF(B295=4,
        INDEX(Tabla1[Base imponible 10], MATCH($A295, Tabla1[N Doc], 0)),
IF(B295=5,
        INDEX(Tabla1[Iva 10], MATCH($A295, Tabla1[N Doc], 0)),
IF(B295=6,
        INDEX(Tabla1[Exento], MATCH($A295, Tabla1[N Doc], 0)),
IF(B295=7,
        INDEX(#REF!, MATCH($A295, Tabla1[N Doc], 0)),
IF(B295=8,
        INDEX(#REF!, MATCH($A295, Tabla1[N Doc], 0)),
IF(B295=9,
        INDEX(Tabla1[Descuentos], MATCH($A295, Tabla1[N Doc], 0)),
""))))))))))</f>
        <v>#REF!</v>
      </c>
      <c r="G295" t="e">
        <f>IF(OR($A295="",$A295=0),"",IF(OR(B295=2,B295=4,B295=6,B295=7),
    INDEX(Tabla13[Ind impuestos], MATCH($A295, Tabla13[N Doc], 0)),
""))</f>
        <v>#REF!</v>
      </c>
      <c r="J295" t="e">
        <f>IF(OR($A295="",$A295=0),"",IF(OR(B295=2,B295=4,B295=6,B295=7),
    INDEX(Tabla1[CECO], MATCH($A295, Tabla1[N Doc], 0)),
""))</f>
        <v>#REF!</v>
      </c>
      <c r="M295" t="e">
        <f>IF(C295=31,INDEX(Tabla1[Descripción], MATCH($A295, Tabla1[N Doc], 0)),"")</f>
        <v>#REF!</v>
      </c>
    </row>
    <row r="296" spans="1:13" x14ac:dyDescent="0.3">
      <c r="A296" t="e" cm="1">
        <f t="array" ref="A296">INDEX(Tabla1[N Doc], ROUNDUP((ROW()-1)/9, 0))</f>
        <v>#REF!</v>
      </c>
      <c r="B296" t="e">
        <f>IF(OR(A296="",A296=0),"",CHOOSE(
    COUNTIF($A$2:A296,A296),
    1,2,3,4,5,6,7,8,9
))</f>
        <v>#REF!</v>
      </c>
      <c r="C296" t="e">
        <f t="shared" si="4"/>
        <v>#REF!</v>
      </c>
      <c r="D296" s="7" t="e" cm="1">
        <f t="array" ref="D296">IF(OR($A296="",$A296=0),"",
IF(AND(INDEX(Formulario!$H$14:$H$100, $A296)="Si", C296&lt;&gt;31),
        VLOOKUP("cta puente",'Descripciones de gastos'!G:H, 2, FALSE),
IF(B296=1,
        INDEX(Tabla13[Titular], MATCH($A296, Tabla1[N Doc], 0)),
IF(B296=2,
        INDEX(Tabla1[Cuenta contable], MATCH($A296, Tabla1[N Doc], 0)),
IF(B296=3,
        INDEX(Tabla13[Cta Iva 22], MATCH($A296, Tabla1[N Doc], 0)),
IF(B296=4,
        INDEX(Tabla1[Cuenta contable], MATCH($A296, Tabla1[N Doc], 0)),
IF(B296=5,
        INDEX(Tabla13[Cta Iva 10], MATCH($A296, Tabla1[N Doc], 0)),
IF(B296=6,
        INDEX(Tabla1[Cuenta contable], MATCH($A296, Tabla1[N Doc], 0)),
IF(B296=7,
        INDEX(Tabla1[Cuenta contable], MATCH($A296, Tabla1[N Doc], 0)),
IF(B296=8,
        IF(INDEX(Tabla1[Tipo IVA], MATCH($A296, Tabla1[N Doc], 0))="22%",
             INDEX(Tabla13[Cta Iva 22], MATCH($A296, Tabla1[N Doc], 0)),
             INDEX(Tabla13[Cta Iva 10], MATCH($A296, Tabla1[N Doc], 0))),
IF(B296=9,
        INDEX(Tabla1[Cuenta contable], MATCH($A296, Tabla1[N Doc], 0))
)))))))))))</f>
        <v>#REF!</v>
      </c>
      <c r="F296" t="e">
        <f>IF(OR($A296="",$A296=0),"",IF(B296=1,
        INDEX(Tabla1[Importe total], MATCH($A296, Tabla1[N Doc], 0)),
IF(B296=2,
        INDEX(Tabla1[Base imponible 22], MATCH($A296, Tabla1[N Doc], 0)),
IF(B296=3,
        INDEX(Tabla1[Iva 22], MATCH($A296, Tabla1[N Doc], 0)),
IF(B296=4,
        INDEX(Tabla1[Base imponible 10], MATCH($A296, Tabla1[N Doc], 0)),
IF(B296=5,
        INDEX(Tabla1[Iva 10], MATCH($A296, Tabla1[N Doc], 0)),
IF(B296=6,
        INDEX(Tabla1[Exento], MATCH($A296, Tabla1[N Doc], 0)),
IF(B296=7,
        INDEX(#REF!, MATCH($A296, Tabla1[N Doc], 0)),
IF(B296=8,
        INDEX(#REF!, MATCH($A296, Tabla1[N Doc], 0)),
IF(B296=9,
        INDEX(Tabla1[Descuentos], MATCH($A296, Tabla1[N Doc], 0)),
""))))))))))</f>
        <v>#REF!</v>
      </c>
      <c r="G296" t="e">
        <f>IF(OR($A296="",$A296=0),"",IF(OR(B296=2,B296=4,B296=6,B296=7),
    INDEX(Tabla13[Ind impuestos], MATCH($A296, Tabla13[N Doc], 0)),
""))</f>
        <v>#REF!</v>
      </c>
      <c r="J296" t="e">
        <f>IF(OR($A296="",$A296=0),"",IF(OR(B296=2,B296=4,B296=6,B296=7),
    INDEX(Tabla1[CECO], MATCH($A296, Tabla1[N Doc], 0)),
""))</f>
        <v>#REF!</v>
      </c>
      <c r="M296" t="e">
        <f>IF(C296=31,INDEX(Tabla1[Descripción], MATCH($A296, Tabla1[N Doc], 0)),"")</f>
        <v>#REF!</v>
      </c>
    </row>
    <row r="297" spans="1:13" x14ac:dyDescent="0.3">
      <c r="A297" t="e" cm="1">
        <f t="array" ref="A297">INDEX(Tabla1[N Doc], ROUNDUP((ROW()-1)/9, 0))</f>
        <v>#REF!</v>
      </c>
      <c r="B297" t="e">
        <f>IF(OR(A297="",A297=0),"",CHOOSE(
    COUNTIF($A$2:A297,A297),
    1,2,3,4,5,6,7,8,9
))</f>
        <v>#REF!</v>
      </c>
      <c r="C297" t="e">
        <f t="shared" si="4"/>
        <v>#REF!</v>
      </c>
      <c r="D297" s="7" t="e" cm="1">
        <f t="array" ref="D297">IF(OR($A297="",$A297=0),"",
IF(AND(INDEX(Formulario!$H$14:$H$100, $A297)="Si", C297&lt;&gt;31),
        VLOOKUP("cta puente",'Descripciones de gastos'!G:H, 2, FALSE),
IF(B297=1,
        INDEX(Tabla13[Titular], MATCH($A297, Tabla1[N Doc], 0)),
IF(B297=2,
        INDEX(Tabla1[Cuenta contable], MATCH($A297, Tabla1[N Doc], 0)),
IF(B297=3,
        INDEX(Tabla13[Cta Iva 22], MATCH($A297, Tabla1[N Doc], 0)),
IF(B297=4,
        INDEX(Tabla1[Cuenta contable], MATCH($A297, Tabla1[N Doc], 0)),
IF(B297=5,
        INDEX(Tabla13[Cta Iva 10], MATCH($A297, Tabla1[N Doc], 0)),
IF(B297=6,
        INDEX(Tabla1[Cuenta contable], MATCH($A297, Tabla1[N Doc], 0)),
IF(B297=7,
        INDEX(Tabla1[Cuenta contable], MATCH($A297, Tabla1[N Doc], 0)),
IF(B297=8,
        IF(INDEX(Tabla1[Tipo IVA], MATCH($A297, Tabla1[N Doc], 0))="22%",
             INDEX(Tabla13[Cta Iva 22], MATCH($A297, Tabla1[N Doc], 0)),
             INDEX(Tabla13[Cta Iva 10], MATCH($A297, Tabla1[N Doc], 0))),
IF(B297=9,
        INDEX(Tabla1[Cuenta contable], MATCH($A297, Tabla1[N Doc], 0))
)))))))))))</f>
        <v>#REF!</v>
      </c>
      <c r="F297" t="e">
        <f>IF(OR($A297="",$A297=0),"",IF(B297=1,
        INDEX(Tabla1[Importe total], MATCH($A297, Tabla1[N Doc], 0)),
IF(B297=2,
        INDEX(Tabla1[Base imponible 22], MATCH($A297, Tabla1[N Doc], 0)),
IF(B297=3,
        INDEX(Tabla1[Iva 22], MATCH($A297, Tabla1[N Doc], 0)),
IF(B297=4,
        INDEX(Tabla1[Base imponible 10], MATCH($A297, Tabla1[N Doc], 0)),
IF(B297=5,
        INDEX(Tabla1[Iva 10], MATCH($A297, Tabla1[N Doc], 0)),
IF(B297=6,
        INDEX(Tabla1[Exento], MATCH($A297, Tabla1[N Doc], 0)),
IF(B297=7,
        INDEX(#REF!, MATCH($A297, Tabla1[N Doc], 0)),
IF(B297=8,
        INDEX(#REF!, MATCH($A297, Tabla1[N Doc], 0)),
IF(B297=9,
        INDEX(Tabla1[Descuentos], MATCH($A297, Tabla1[N Doc], 0)),
""))))))))))</f>
        <v>#REF!</v>
      </c>
      <c r="G297" t="e">
        <f>IF(OR($A297="",$A297=0),"",IF(OR(B297=2,B297=4,B297=6,B297=7),
    INDEX(Tabla13[Ind impuestos], MATCH($A297, Tabla13[N Doc], 0)),
""))</f>
        <v>#REF!</v>
      </c>
      <c r="J297" t="e">
        <f>IF(OR($A297="",$A297=0),"",IF(OR(B297=2,B297=4,B297=6,B297=7),
    INDEX(Tabla1[CECO], MATCH($A297, Tabla1[N Doc], 0)),
""))</f>
        <v>#REF!</v>
      </c>
      <c r="M297" t="e">
        <f>IF(C297=31,INDEX(Tabla1[Descripción], MATCH($A297, Tabla1[N Doc], 0)),"")</f>
        <v>#REF!</v>
      </c>
    </row>
    <row r="298" spans="1:13" x14ac:dyDescent="0.3">
      <c r="A298" t="e" cm="1">
        <f t="array" ref="A298">INDEX(Tabla1[N Doc], ROUNDUP((ROW()-1)/9, 0))</f>
        <v>#REF!</v>
      </c>
      <c r="B298" t="e">
        <f>IF(OR(A298="",A298=0),"",CHOOSE(
    COUNTIF($A$2:A298,A298),
    1,2,3,4,5,6,7,8,9
))</f>
        <v>#REF!</v>
      </c>
      <c r="C298" t="e">
        <f t="shared" si="4"/>
        <v>#REF!</v>
      </c>
      <c r="D298" s="7" t="e" cm="1">
        <f t="array" ref="D298">IF(OR($A298="",$A298=0),"",
IF(AND(INDEX(Formulario!$H$14:$H$100, $A298)="Si", C298&lt;&gt;31),
        VLOOKUP("cta puente",'Descripciones de gastos'!G:H, 2, FALSE),
IF(B298=1,
        INDEX(Tabla13[Titular], MATCH($A298, Tabla1[N Doc], 0)),
IF(B298=2,
        INDEX(Tabla1[Cuenta contable], MATCH($A298, Tabla1[N Doc], 0)),
IF(B298=3,
        INDEX(Tabla13[Cta Iva 22], MATCH($A298, Tabla1[N Doc], 0)),
IF(B298=4,
        INDEX(Tabla1[Cuenta contable], MATCH($A298, Tabla1[N Doc], 0)),
IF(B298=5,
        INDEX(Tabla13[Cta Iva 10], MATCH($A298, Tabla1[N Doc], 0)),
IF(B298=6,
        INDEX(Tabla1[Cuenta contable], MATCH($A298, Tabla1[N Doc], 0)),
IF(B298=7,
        INDEX(Tabla1[Cuenta contable], MATCH($A298, Tabla1[N Doc], 0)),
IF(B298=8,
        IF(INDEX(Tabla1[Tipo IVA], MATCH($A298, Tabla1[N Doc], 0))="22%",
             INDEX(Tabla13[Cta Iva 22], MATCH($A298, Tabla1[N Doc], 0)),
             INDEX(Tabla13[Cta Iva 10], MATCH($A298, Tabla1[N Doc], 0))),
IF(B298=9,
        INDEX(Tabla1[Cuenta contable], MATCH($A298, Tabla1[N Doc], 0))
)))))))))))</f>
        <v>#REF!</v>
      </c>
      <c r="F298" t="e">
        <f>IF(OR($A298="",$A298=0),"",IF(B298=1,
        INDEX(Tabla1[Importe total], MATCH($A298, Tabla1[N Doc], 0)),
IF(B298=2,
        INDEX(Tabla1[Base imponible 22], MATCH($A298, Tabla1[N Doc], 0)),
IF(B298=3,
        INDEX(Tabla1[Iva 22], MATCH($A298, Tabla1[N Doc], 0)),
IF(B298=4,
        INDEX(Tabla1[Base imponible 10], MATCH($A298, Tabla1[N Doc], 0)),
IF(B298=5,
        INDEX(Tabla1[Iva 10], MATCH($A298, Tabla1[N Doc], 0)),
IF(B298=6,
        INDEX(Tabla1[Exento], MATCH($A298, Tabla1[N Doc], 0)),
IF(B298=7,
        INDEX(#REF!, MATCH($A298, Tabla1[N Doc], 0)),
IF(B298=8,
        INDEX(#REF!, MATCH($A298, Tabla1[N Doc], 0)),
IF(B298=9,
        INDEX(Tabla1[Descuentos], MATCH($A298, Tabla1[N Doc], 0)),
""))))))))))</f>
        <v>#REF!</v>
      </c>
      <c r="G298" t="e">
        <f>IF(OR($A298="",$A298=0),"",IF(OR(B298=2,B298=4,B298=6,B298=7),
    INDEX(Tabla13[Ind impuestos], MATCH($A298, Tabla13[N Doc], 0)),
""))</f>
        <v>#REF!</v>
      </c>
      <c r="J298" t="e">
        <f>IF(OR($A298="",$A298=0),"",IF(OR(B298=2,B298=4,B298=6,B298=7),
    INDEX(Tabla1[CECO], MATCH($A298, Tabla1[N Doc], 0)),
""))</f>
        <v>#REF!</v>
      </c>
      <c r="M298" t="e">
        <f>IF(C298=31,INDEX(Tabla1[Descripción], MATCH($A298, Tabla1[N Doc], 0)),"")</f>
        <v>#REF!</v>
      </c>
    </row>
    <row r="299" spans="1:13" x14ac:dyDescent="0.3">
      <c r="A299" t="e" cm="1">
        <f t="array" ref="A299">INDEX(Tabla1[N Doc], ROUNDUP((ROW()-1)/9, 0))</f>
        <v>#REF!</v>
      </c>
      <c r="B299" t="e">
        <f>IF(OR(A299="",A299=0),"",CHOOSE(
    COUNTIF($A$2:A299,A299),
    1,2,3,4,5,6,7,8,9
))</f>
        <v>#REF!</v>
      </c>
      <c r="C299" t="e">
        <f t="shared" si="4"/>
        <v>#REF!</v>
      </c>
      <c r="D299" s="7" t="e" cm="1">
        <f t="array" ref="D299">IF(OR($A299="",$A299=0),"",
IF(AND(INDEX(Formulario!$H$14:$H$100, $A299)="Si", C299&lt;&gt;31),
        VLOOKUP("cta puente",'Descripciones de gastos'!G:H, 2, FALSE),
IF(B299=1,
        INDEX(Tabla13[Titular], MATCH($A299, Tabla1[N Doc], 0)),
IF(B299=2,
        INDEX(Tabla1[Cuenta contable], MATCH($A299, Tabla1[N Doc], 0)),
IF(B299=3,
        INDEX(Tabla13[Cta Iva 22], MATCH($A299, Tabla1[N Doc], 0)),
IF(B299=4,
        INDEX(Tabla1[Cuenta contable], MATCH($A299, Tabla1[N Doc], 0)),
IF(B299=5,
        INDEX(Tabla13[Cta Iva 10], MATCH($A299, Tabla1[N Doc], 0)),
IF(B299=6,
        INDEX(Tabla1[Cuenta contable], MATCH($A299, Tabla1[N Doc], 0)),
IF(B299=7,
        INDEX(Tabla1[Cuenta contable], MATCH($A299, Tabla1[N Doc], 0)),
IF(B299=8,
        IF(INDEX(Tabla1[Tipo IVA], MATCH($A299, Tabla1[N Doc], 0))="22%",
             INDEX(Tabla13[Cta Iva 22], MATCH($A299, Tabla1[N Doc], 0)),
             INDEX(Tabla13[Cta Iva 10], MATCH($A299, Tabla1[N Doc], 0))),
IF(B299=9,
        INDEX(Tabla1[Cuenta contable], MATCH($A299, Tabla1[N Doc], 0))
)))))))))))</f>
        <v>#REF!</v>
      </c>
      <c r="F299" t="e">
        <f>IF(OR($A299="",$A299=0),"",IF(B299=1,
        INDEX(Tabla1[Importe total], MATCH($A299, Tabla1[N Doc], 0)),
IF(B299=2,
        INDEX(Tabla1[Base imponible 22], MATCH($A299, Tabla1[N Doc], 0)),
IF(B299=3,
        INDEX(Tabla1[Iva 22], MATCH($A299, Tabla1[N Doc], 0)),
IF(B299=4,
        INDEX(Tabla1[Base imponible 10], MATCH($A299, Tabla1[N Doc], 0)),
IF(B299=5,
        INDEX(Tabla1[Iva 10], MATCH($A299, Tabla1[N Doc], 0)),
IF(B299=6,
        INDEX(Tabla1[Exento], MATCH($A299, Tabla1[N Doc], 0)),
IF(B299=7,
        INDEX(#REF!, MATCH($A299, Tabla1[N Doc], 0)),
IF(B299=8,
        INDEX(#REF!, MATCH($A299, Tabla1[N Doc], 0)),
IF(B299=9,
        INDEX(Tabla1[Descuentos], MATCH($A299, Tabla1[N Doc], 0)),
""))))))))))</f>
        <v>#REF!</v>
      </c>
      <c r="G299" t="e">
        <f>IF(OR($A299="",$A299=0),"",IF(OR(B299=2,B299=4,B299=6,B299=7),
    INDEX(Tabla13[Ind impuestos], MATCH($A299, Tabla13[N Doc], 0)),
""))</f>
        <v>#REF!</v>
      </c>
      <c r="J299" t="e">
        <f>IF(OR($A299="",$A299=0),"",IF(OR(B299=2,B299=4,B299=6,B299=7),
    INDEX(Tabla1[CECO], MATCH($A299, Tabla1[N Doc], 0)),
""))</f>
        <v>#REF!</v>
      </c>
      <c r="M299" t="e">
        <f>IF(C299=31,INDEX(Tabla1[Descripción], MATCH($A299, Tabla1[N Doc], 0)),"")</f>
        <v>#REF!</v>
      </c>
    </row>
    <row r="300" spans="1:13" x14ac:dyDescent="0.3">
      <c r="A300" t="e" cm="1">
        <f t="array" ref="A300">INDEX(Tabla1[N Doc], ROUNDUP((ROW()-1)/9, 0))</f>
        <v>#REF!</v>
      </c>
      <c r="B300" t="e">
        <f>IF(OR(A300="",A300=0),"",CHOOSE(
    COUNTIF($A$2:A300,A300),
    1,2,3,4,5,6,7,8,9
))</f>
        <v>#REF!</v>
      </c>
      <c r="C300" t="e">
        <f t="shared" si="4"/>
        <v>#REF!</v>
      </c>
      <c r="D300" s="7" t="e" cm="1">
        <f t="array" ref="D300">IF(OR($A300="",$A300=0),"",
IF(AND(INDEX(Formulario!$H$14:$H$100, $A300)="Si", C300&lt;&gt;31),
        VLOOKUP("cta puente",'Descripciones de gastos'!G:H, 2, FALSE),
IF(B300=1,
        INDEX(Tabla13[Titular], MATCH($A300, Tabla1[N Doc], 0)),
IF(B300=2,
        INDEX(Tabla1[Cuenta contable], MATCH($A300, Tabla1[N Doc], 0)),
IF(B300=3,
        INDEX(Tabla13[Cta Iva 22], MATCH($A300, Tabla1[N Doc], 0)),
IF(B300=4,
        INDEX(Tabla1[Cuenta contable], MATCH($A300, Tabla1[N Doc], 0)),
IF(B300=5,
        INDEX(Tabla13[Cta Iva 10], MATCH($A300, Tabla1[N Doc], 0)),
IF(B300=6,
        INDEX(Tabla1[Cuenta contable], MATCH($A300, Tabla1[N Doc], 0)),
IF(B300=7,
        INDEX(Tabla1[Cuenta contable], MATCH($A300, Tabla1[N Doc], 0)),
IF(B300=8,
        IF(INDEX(Tabla1[Tipo IVA], MATCH($A300, Tabla1[N Doc], 0))="22%",
             INDEX(Tabla13[Cta Iva 22], MATCH($A300, Tabla1[N Doc], 0)),
             INDEX(Tabla13[Cta Iva 10], MATCH($A300, Tabla1[N Doc], 0))),
IF(B300=9,
        INDEX(Tabla1[Cuenta contable], MATCH($A300, Tabla1[N Doc], 0))
)))))))))))</f>
        <v>#REF!</v>
      </c>
      <c r="F300" t="e">
        <f>IF(OR($A300="",$A300=0),"",IF(B300=1,
        INDEX(Tabla1[Importe total], MATCH($A300, Tabla1[N Doc], 0)),
IF(B300=2,
        INDEX(Tabla1[Base imponible 22], MATCH($A300, Tabla1[N Doc], 0)),
IF(B300=3,
        INDEX(Tabla1[Iva 22], MATCH($A300, Tabla1[N Doc], 0)),
IF(B300=4,
        INDEX(Tabla1[Base imponible 10], MATCH($A300, Tabla1[N Doc], 0)),
IF(B300=5,
        INDEX(Tabla1[Iva 10], MATCH($A300, Tabla1[N Doc], 0)),
IF(B300=6,
        INDEX(Tabla1[Exento], MATCH($A300, Tabla1[N Doc], 0)),
IF(B300=7,
        INDEX(#REF!, MATCH($A300, Tabla1[N Doc], 0)),
IF(B300=8,
        INDEX(#REF!, MATCH($A300, Tabla1[N Doc], 0)),
IF(B300=9,
        INDEX(Tabla1[Descuentos], MATCH($A300, Tabla1[N Doc], 0)),
""))))))))))</f>
        <v>#REF!</v>
      </c>
      <c r="G300" t="e">
        <f>IF(OR($A300="",$A300=0),"",IF(OR(B300=2,B300=4,B300=6,B300=7),
    INDEX(Tabla13[Ind impuestos], MATCH($A300, Tabla13[N Doc], 0)),
""))</f>
        <v>#REF!</v>
      </c>
      <c r="J300" t="e">
        <f>IF(OR($A300="",$A300=0),"",IF(OR(B300=2,B300=4,B300=6,B300=7),
    INDEX(Tabla1[CECO], MATCH($A300, Tabla1[N Doc], 0)),
""))</f>
        <v>#REF!</v>
      </c>
      <c r="M300" t="e">
        <f>IF(C300=31,INDEX(Tabla1[Descripción], MATCH($A300, Tabla1[N Doc], 0)),"")</f>
        <v>#REF!</v>
      </c>
    </row>
    <row r="301" spans="1:13" x14ac:dyDescent="0.3">
      <c r="A301" t="e" cm="1">
        <f t="array" ref="A301">INDEX(Tabla1[N Doc], ROUNDUP((ROW()-1)/9, 0))</f>
        <v>#REF!</v>
      </c>
      <c r="B301" t="e">
        <f>IF(OR(A301="",A301=0),"",CHOOSE(
    COUNTIF($A$2:A301,A301),
    1,2,3,4,5,6,7,8,9
))</f>
        <v>#REF!</v>
      </c>
      <c r="C301" t="e">
        <f t="shared" si="4"/>
        <v>#REF!</v>
      </c>
      <c r="D301" s="7" t="e" cm="1">
        <f t="array" ref="D301">IF(OR($A301="",$A301=0),"",
IF(AND(INDEX(Formulario!$H$14:$H$100, $A301)="Si", C301&lt;&gt;31),
        VLOOKUP("cta puente",'Descripciones de gastos'!G:H, 2, FALSE),
IF(B301=1,
        INDEX(Tabla13[Titular], MATCH($A301, Tabla1[N Doc], 0)),
IF(B301=2,
        INDEX(Tabla1[Cuenta contable], MATCH($A301, Tabla1[N Doc], 0)),
IF(B301=3,
        INDEX(Tabla13[Cta Iva 22], MATCH($A301, Tabla1[N Doc], 0)),
IF(B301=4,
        INDEX(Tabla1[Cuenta contable], MATCH($A301, Tabla1[N Doc], 0)),
IF(B301=5,
        INDEX(Tabla13[Cta Iva 10], MATCH($A301, Tabla1[N Doc], 0)),
IF(B301=6,
        INDEX(Tabla1[Cuenta contable], MATCH($A301, Tabla1[N Doc], 0)),
IF(B301=7,
        INDEX(Tabla1[Cuenta contable], MATCH($A301, Tabla1[N Doc], 0)),
IF(B301=8,
        IF(INDEX(Tabla1[Tipo IVA], MATCH($A301, Tabla1[N Doc], 0))="22%",
             INDEX(Tabla13[Cta Iva 22], MATCH($A301, Tabla1[N Doc], 0)),
             INDEX(Tabla13[Cta Iva 10], MATCH($A301, Tabla1[N Doc], 0))),
IF(B301=9,
        INDEX(Tabla1[Cuenta contable], MATCH($A301, Tabla1[N Doc], 0))
)))))))))))</f>
        <v>#REF!</v>
      </c>
      <c r="F301" t="e">
        <f>IF(OR($A301="",$A301=0),"",IF(B301=1,
        INDEX(Tabla1[Importe total], MATCH($A301, Tabla1[N Doc], 0)),
IF(B301=2,
        INDEX(Tabla1[Base imponible 22], MATCH($A301, Tabla1[N Doc], 0)),
IF(B301=3,
        INDEX(Tabla1[Iva 22], MATCH($A301, Tabla1[N Doc], 0)),
IF(B301=4,
        INDEX(Tabla1[Base imponible 10], MATCH($A301, Tabla1[N Doc], 0)),
IF(B301=5,
        INDEX(Tabla1[Iva 10], MATCH($A301, Tabla1[N Doc], 0)),
IF(B301=6,
        INDEX(Tabla1[Exento], MATCH($A301, Tabla1[N Doc], 0)),
IF(B301=7,
        INDEX(#REF!, MATCH($A301, Tabla1[N Doc], 0)),
IF(B301=8,
        INDEX(#REF!, MATCH($A301, Tabla1[N Doc], 0)),
IF(B301=9,
        INDEX(Tabla1[Descuentos], MATCH($A301, Tabla1[N Doc], 0)),
""))))))))))</f>
        <v>#REF!</v>
      </c>
      <c r="G301" t="e">
        <f>IF(OR($A301="",$A301=0),"",IF(OR(B301=2,B301=4,B301=6,B301=7),
    INDEX(Tabla13[Ind impuestos], MATCH($A301, Tabla13[N Doc], 0)),
""))</f>
        <v>#REF!</v>
      </c>
      <c r="J301" t="e">
        <f>IF(OR($A301="",$A301=0),"",IF(OR(B301=2,B301=4,B301=6,B301=7),
    INDEX(Tabla1[CECO], MATCH($A301, Tabla1[N Doc], 0)),
""))</f>
        <v>#REF!</v>
      </c>
      <c r="M301" t="e">
        <f>IF(C301=31,INDEX(Tabla1[Descripción], MATCH($A301, Tabla1[N Doc], 0)),"")</f>
        <v>#REF!</v>
      </c>
    </row>
    <row r="302" spans="1:13" x14ac:dyDescent="0.3">
      <c r="A302" t="e" cm="1">
        <f t="array" ref="A302">INDEX(Tabla1[N Doc], ROUNDUP((ROW()-1)/9, 0))</f>
        <v>#REF!</v>
      </c>
      <c r="B302" t="e">
        <f>IF(OR(A302="",A302=0),"",CHOOSE(
    COUNTIF($A$2:A302,A302),
    1,2,3,4,5,6,7,8,9
))</f>
        <v>#REF!</v>
      </c>
      <c r="C302" t="e">
        <f t="shared" si="4"/>
        <v>#REF!</v>
      </c>
      <c r="D302" s="7" t="e" cm="1">
        <f t="array" ref="D302">IF(OR($A302="",$A302=0),"",
IF(AND(INDEX(Formulario!$H$14:$H$100, $A302)="Si", C302&lt;&gt;31),
        VLOOKUP("cta puente",'Descripciones de gastos'!G:H, 2, FALSE),
IF(B302=1,
        INDEX(Tabla13[Titular], MATCH($A302, Tabla1[N Doc], 0)),
IF(B302=2,
        INDEX(Tabla1[Cuenta contable], MATCH($A302, Tabla1[N Doc], 0)),
IF(B302=3,
        INDEX(Tabla13[Cta Iva 22], MATCH($A302, Tabla1[N Doc], 0)),
IF(B302=4,
        INDEX(Tabla1[Cuenta contable], MATCH($A302, Tabla1[N Doc], 0)),
IF(B302=5,
        INDEX(Tabla13[Cta Iva 10], MATCH($A302, Tabla1[N Doc], 0)),
IF(B302=6,
        INDEX(Tabla1[Cuenta contable], MATCH($A302, Tabla1[N Doc], 0)),
IF(B302=7,
        INDEX(Tabla1[Cuenta contable], MATCH($A302, Tabla1[N Doc], 0)),
IF(B302=8,
        IF(INDEX(Tabla1[Tipo IVA], MATCH($A302, Tabla1[N Doc], 0))="22%",
             INDEX(Tabla13[Cta Iva 22], MATCH($A302, Tabla1[N Doc], 0)),
             INDEX(Tabla13[Cta Iva 10], MATCH($A302, Tabla1[N Doc], 0))),
IF(B302=9,
        INDEX(Tabla1[Cuenta contable], MATCH($A302, Tabla1[N Doc], 0))
)))))))))))</f>
        <v>#REF!</v>
      </c>
      <c r="F302" t="e">
        <f>IF(OR($A302="",$A302=0),"",IF(B302=1,
        INDEX(Tabla1[Importe total], MATCH($A302, Tabla1[N Doc], 0)),
IF(B302=2,
        INDEX(Tabla1[Base imponible 22], MATCH($A302, Tabla1[N Doc], 0)),
IF(B302=3,
        INDEX(Tabla1[Iva 22], MATCH($A302, Tabla1[N Doc], 0)),
IF(B302=4,
        INDEX(Tabla1[Base imponible 10], MATCH($A302, Tabla1[N Doc], 0)),
IF(B302=5,
        INDEX(Tabla1[Iva 10], MATCH($A302, Tabla1[N Doc], 0)),
IF(B302=6,
        INDEX(Tabla1[Exento], MATCH($A302, Tabla1[N Doc], 0)),
IF(B302=7,
        INDEX(#REF!, MATCH($A302, Tabla1[N Doc], 0)),
IF(B302=8,
        INDEX(#REF!, MATCH($A302, Tabla1[N Doc], 0)),
IF(B302=9,
        INDEX(Tabla1[Descuentos], MATCH($A302, Tabla1[N Doc], 0)),
""))))))))))</f>
        <v>#REF!</v>
      </c>
      <c r="G302" t="e">
        <f>IF(OR($A302="",$A302=0),"",IF(OR(B302=2,B302=4,B302=6,B302=7),
    INDEX(Tabla13[Ind impuestos], MATCH($A302, Tabla13[N Doc], 0)),
""))</f>
        <v>#REF!</v>
      </c>
      <c r="J302" t="e">
        <f>IF(OR($A302="",$A302=0),"",IF(OR(B302=2,B302=4,B302=6,B302=7),
    INDEX(Tabla1[CECO], MATCH($A302, Tabla1[N Doc], 0)),
""))</f>
        <v>#REF!</v>
      </c>
      <c r="M302" t="e">
        <f>IF(C302=31,INDEX(Tabla1[Descripción], MATCH($A302, Tabla1[N Doc], 0)),"")</f>
        <v>#REF!</v>
      </c>
    </row>
    <row r="303" spans="1:13" x14ac:dyDescent="0.3">
      <c r="A303" t="e" cm="1">
        <f t="array" ref="A303">INDEX(Tabla1[N Doc], ROUNDUP((ROW()-1)/9, 0))</f>
        <v>#REF!</v>
      </c>
      <c r="B303" t="e">
        <f>IF(OR(A303="",A303=0),"",CHOOSE(
    COUNTIF($A$2:A303,A303),
    1,2,3,4,5,6,7,8,9
))</f>
        <v>#REF!</v>
      </c>
      <c r="C303" t="e">
        <f t="shared" si="4"/>
        <v>#REF!</v>
      </c>
      <c r="D303" s="7" t="e" cm="1">
        <f t="array" ref="D303">IF(OR($A303="",$A303=0),"",
IF(AND(INDEX(Formulario!$H$14:$H$100, $A303)="Si", C303&lt;&gt;31),
        VLOOKUP("cta puente",'Descripciones de gastos'!G:H, 2, FALSE),
IF(B303=1,
        INDEX(Tabla13[Titular], MATCH($A303, Tabla1[N Doc], 0)),
IF(B303=2,
        INDEX(Tabla1[Cuenta contable], MATCH($A303, Tabla1[N Doc], 0)),
IF(B303=3,
        INDEX(Tabla13[Cta Iva 22], MATCH($A303, Tabla1[N Doc], 0)),
IF(B303=4,
        INDEX(Tabla1[Cuenta contable], MATCH($A303, Tabla1[N Doc], 0)),
IF(B303=5,
        INDEX(Tabla13[Cta Iva 10], MATCH($A303, Tabla1[N Doc], 0)),
IF(B303=6,
        INDEX(Tabla1[Cuenta contable], MATCH($A303, Tabla1[N Doc], 0)),
IF(B303=7,
        INDEX(Tabla1[Cuenta contable], MATCH($A303, Tabla1[N Doc], 0)),
IF(B303=8,
        IF(INDEX(Tabla1[Tipo IVA], MATCH($A303, Tabla1[N Doc], 0))="22%",
             INDEX(Tabla13[Cta Iva 22], MATCH($A303, Tabla1[N Doc], 0)),
             INDEX(Tabla13[Cta Iva 10], MATCH($A303, Tabla1[N Doc], 0))),
IF(B303=9,
        INDEX(Tabla1[Cuenta contable], MATCH($A303, Tabla1[N Doc], 0))
)))))))))))</f>
        <v>#REF!</v>
      </c>
      <c r="F303" t="e">
        <f>IF(OR($A303="",$A303=0),"",IF(B303=1,
        INDEX(Tabla1[Importe total], MATCH($A303, Tabla1[N Doc], 0)),
IF(B303=2,
        INDEX(Tabla1[Base imponible 22], MATCH($A303, Tabla1[N Doc], 0)),
IF(B303=3,
        INDEX(Tabla1[Iva 22], MATCH($A303, Tabla1[N Doc], 0)),
IF(B303=4,
        INDEX(Tabla1[Base imponible 10], MATCH($A303, Tabla1[N Doc], 0)),
IF(B303=5,
        INDEX(Tabla1[Iva 10], MATCH($A303, Tabla1[N Doc], 0)),
IF(B303=6,
        INDEX(Tabla1[Exento], MATCH($A303, Tabla1[N Doc], 0)),
IF(B303=7,
        INDEX(#REF!, MATCH($A303, Tabla1[N Doc], 0)),
IF(B303=8,
        INDEX(#REF!, MATCH($A303, Tabla1[N Doc], 0)),
IF(B303=9,
        INDEX(Tabla1[Descuentos], MATCH($A303, Tabla1[N Doc], 0)),
""))))))))))</f>
        <v>#REF!</v>
      </c>
      <c r="G303" t="e">
        <f>IF(OR($A303="",$A303=0),"",IF(OR(B303=2,B303=4,B303=6,B303=7),
    INDEX(Tabla13[Ind impuestos], MATCH($A303, Tabla13[N Doc], 0)),
""))</f>
        <v>#REF!</v>
      </c>
      <c r="J303" t="e">
        <f>IF(OR($A303="",$A303=0),"",IF(OR(B303=2,B303=4,B303=6,B303=7),
    INDEX(Tabla1[CECO], MATCH($A303, Tabla1[N Doc], 0)),
""))</f>
        <v>#REF!</v>
      </c>
      <c r="M303" t="e">
        <f>IF(C303=31,INDEX(Tabla1[Descripción], MATCH($A303, Tabla1[N Doc], 0)),"")</f>
        <v>#REF!</v>
      </c>
    </row>
    <row r="304" spans="1:13" x14ac:dyDescent="0.3">
      <c r="A304" t="e" cm="1">
        <f t="array" ref="A304">INDEX(Tabla1[N Doc], ROUNDUP((ROW()-1)/9, 0))</f>
        <v>#REF!</v>
      </c>
      <c r="B304" t="e">
        <f>IF(OR(A304="",A304=0),"",CHOOSE(
    COUNTIF($A$2:A304,A304),
    1,2,3,4,5,6,7,8,9
))</f>
        <v>#REF!</v>
      </c>
      <c r="C304" t="e">
        <f t="shared" si="4"/>
        <v>#REF!</v>
      </c>
      <c r="D304" s="7" t="e" cm="1">
        <f t="array" ref="D304">IF(OR($A304="",$A304=0),"",
IF(AND(INDEX(Formulario!$H$14:$H$100, $A304)="Si", C304&lt;&gt;31),
        VLOOKUP("cta puente",'Descripciones de gastos'!G:H, 2, FALSE),
IF(B304=1,
        INDEX(Tabla13[Titular], MATCH($A304, Tabla1[N Doc], 0)),
IF(B304=2,
        INDEX(Tabla1[Cuenta contable], MATCH($A304, Tabla1[N Doc], 0)),
IF(B304=3,
        INDEX(Tabla13[Cta Iva 22], MATCH($A304, Tabla1[N Doc], 0)),
IF(B304=4,
        INDEX(Tabla1[Cuenta contable], MATCH($A304, Tabla1[N Doc], 0)),
IF(B304=5,
        INDEX(Tabla13[Cta Iva 10], MATCH($A304, Tabla1[N Doc], 0)),
IF(B304=6,
        INDEX(Tabla1[Cuenta contable], MATCH($A304, Tabla1[N Doc], 0)),
IF(B304=7,
        INDEX(Tabla1[Cuenta contable], MATCH($A304, Tabla1[N Doc], 0)),
IF(B304=8,
        IF(INDEX(Tabla1[Tipo IVA], MATCH($A304, Tabla1[N Doc], 0))="22%",
             INDEX(Tabla13[Cta Iva 22], MATCH($A304, Tabla1[N Doc], 0)),
             INDEX(Tabla13[Cta Iva 10], MATCH($A304, Tabla1[N Doc], 0))),
IF(B304=9,
        INDEX(Tabla1[Cuenta contable], MATCH($A304, Tabla1[N Doc], 0))
)))))))))))</f>
        <v>#REF!</v>
      </c>
      <c r="F304" t="e">
        <f>IF(OR($A304="",$A304=0),"",IF(B304=1,
        INDEX(Tabla1[Importe total], MATCH($A304, Tabla1[N Doc], 0)),
IF(B304=2,
        INDEX(Tabla1[Base imponible 22], MATCH($A304, Tabla1[N Doc], 0)),
IF(B304=3,
        INDEX(Tabla1[Iva 22], MATCH($A304, Tabla1[N Doc], 0)),
IF(B304=4,
        INDEX(Tabla1[Base imponible 10], MATCH($A304, Tabla1[N Doc], 0)),
IF(B304=5,
        INDEX(Tabla1[Iva 10], MATCH($A304, Tabla1[N Doc], 0)),
IF(B304=6,
        INDEX(Tabla1[Exento], MATCH($A304, Tabla1[N Doc], 0)),
IF(B304=7,
        INDEX(#REF!, MATCH($A304, Tabla1[N Doc], 0)),
IF(B304=8,
        INDEX(#REF!, MATCH($A304, Tabla1[N Doc], 0)),
IF(B304=9,
        INDEX(Tabla1[Descuentos], MATCH($A304, Tabla1[N Doc], 0)),
""))))))))))</f>
        <v>#REF!</v>
      </c>
      <c r="G304" t="e">
        <f>IF(OR($A304="",$A304=0),"",IF(OR(B304=2,B304=4,B304=6,B304=7),
    INDEX(Tabla13[Ind impuestos], MATCH($A304, Tabla13[N Doc], 0)),
""))</f>
        <v>#REF!</v>
      </c>
      <c r="J304" t="e">
        <f>IF(OR($A304="",$A304=0),"",IF(OR(B304=2,B304=4,B304=6,B304=7),
    INDEX(Tabla1[CECO], MATCH($A304, Tabla1[N Doc], 0)),
""))</f>
        <v>#REF!</v>
      </c>
      <c r="M304" t="e">
        <f>IF(C304=31,INDEX(Tabla1[Descripción], MATCH($A304, Tabla1[N Doc], 0)),"")</f>
        <v>#REF!</v>
      </c>
    </row>
    <row r="305" spans="1:13" x14ac:dyDescent="0.3">
      <c r="A305" t="e" cm="1">
        <f t="array" ref="A305">INDEX(Tabla1[N Doc], ROUNDUP((ROW()-1)/9, 0))</f>
        <v>#REF!</v>
      </c>
      <c r="B305" t="e">
        <f>IF(OR(A305="",A305=0),"",CHOOSE(
    COUNTIF($A$2:A305,A305),
    1,2,3,4,5,6,7,8,9
))</f>
        <v>#REF!</v>
      </c>
      <c r="C305" t="e">
        <f t="shared" si="4"/>
        <v>#REF!</v>
      </c>
      <c r="D305" s="7" t="e" cm="1">
        <f t="array" ref="D305">IF(OR($A305="",$A305=0),"",
IF(AND(INDEX(Formulario!$H$14:$H$100, $A305)="Si", C305&lt;&gt;31),
        VLOOKUP("cta puente",'Descripciones de gastos'!G:H, 2, FALSE),
IF(B305=1,
        INDEX(Tabla13[Titular], MATCH($A305, Tabla1[N Doc], 0)),
IF(B305=2,
        INDEX(Tabla1[Cuenta contable], MATCH($A305, Tabla1[N Doc], 0)),
IF(B305=3,
        INDEX(Tabla13[Cta Iva 22], MATCH($A305, Tabla1[N Doc], 0)),
IF(B305=4,
        INDEX(Tabla1[Cuenta contable], MATCH($A305, Tabla1[N Doc], 0)),
IF(B305=5,
        INDEX(Tabla13[Cta Iva 10], MATCH($A305, Tabla1[N Doc], 0)),
IF(B305=6,
        INDEX(Tabla1[Cuenta contable], MATCH($A305, Tabla1[N Doc], 0)),
IF(B305=7,
        INDEX(Tabla1[Cuenta contable], MATCH($A305, Tabla1[N Doc], 0)),
IF(B305=8,
        IF(INDEX(Tabla1[Tipo IVA], MATCH($A305, Tabla1[N Doc], 0))="22%",
             INDEX(Tabla13[Cta Iva 22], MATCH($A305, Tabla1[N Doc], 0)),
             INDEX(Tabla13[Cta Iva 10], MATCH($A305, Tabla1[N Doc], 0))),
IF(B305=9,
        INDEX(Tabla1[Cuenta contable], MATCH($A305, Tabla1[N Doc], 0))
)))))))))))</f>
        <v>#REF!</v>
      </c>
      <c r="F305" t="e">
        <f>IF(OR($A305="",$A305=0),"",IF(B305=1,
        INDEX(Tabla1[Importe total], MATCH($A305, Tabla1[N Doc], 0)),
IF(B305=2,
        INDEX(Tabla1[Base imponible 22], MATCH($A305, Tabla1[N Doc], 0)),
IF(B305=3,
        INDEX(Tabla1[Iva 22], MATCH($A305, Tabla1[N Doc], 0)),
IF(B305=4,
        INDEX(Tabla1[Base imponible 10], MATCH($A305, Tabla1[N Doc], 0)),
IF(B305=5,
        INDEX(Tabla1[Iva 10], MATCH($A305, Tabla1[N Doc], 0)),
IF(B305=6,
        INDEX(Tabla1[Exento], MATCH($A305, Tabla1[N Doc], 0)),
IF(B305=7,
        INDEX(#REF!, MATCH($A305, Tabla1[N Doc], 0)),
IF(B305=8,
        INDEX(#REF!, MATCH($A305, Tabla1[N Doc], 0)),
IF(B305=9,
        INDEX(Tabla1[Descuentos], MATCH($A305, Tabla1[N Doc], 0)),
""))))))))))</f>
        <v>#REF!</v>
      </c>
      <c r="G305" t="e">
        <f>IF(OR($A305="",$A305=0),"",IF(OR(B305=2,B305=4,B305=6,B305=7),
    INDEX(Tabla13[Ind impuestos], MATCH($A305, Tabla13[N Doc], 0)),
""))</f>
        <v>#REF!</v>
      </c>
      <c r="J305" t="e">
        <f>IF(OR($A305="",$A305=0),"",IF(OR(B305=2,B305=4,B305=6,B305=7),
    INDEX(Tabla1[CECO], MATCH($A305, Tabla1[N Doc], 0)),
""))</f>
        <v>#REF!</v>
      </c>
      <c r="M305" t="e">
        <f>IF(C305=31,INDEX(Tabla1[Descripción], MATCH($A305, Tabla1[N Doc], 0)),"")</f>
        <v>#REF!</v>
      </c>
    </row>
    <row r="306" spans="1:13" x14ac:dyDescent="0.3">
      <c r="A306" t="e" cm="1">
        <f t="array" ref="A306">INDEX(Tabla1[N Doc], ROUNDUP((ROW()-1)/9, 0))</f>
        <v>#REF!</v>
      </c>
      <c r="B306" t="e">
        <f>IF(OR(A306="",A306=0),"",CHOOSE(
    COUNTIF($A$2:A306,A306),
    1,2,3,4,5,6,7,8,9
))</f>
        <v>#REF!</v>
      </c>
      <c r="C306" t="e">
        <f t="shared" si="4"/>
        <v>#REF!</v>
      </c>
      <c r="D306" s="7" t="e" cm="1">
        <f t="array" ref="D306">IF(OR($A306="",$A306=0),"",
IF(AND(INDEX(Formulario!$H$14:$H$100, $A306)="Si", C306&lt;&gt;31),
        VLOOKUP("cta puente",'Descripciones de gastos'!G:H, 2, FALSE),
IF(B306=1,
        INDEX(Tabla13[Titular], MATCH($A306, Tabla1[N Doc], 0)),
IF(B306=2,
        INDEX(Tabla1[Cuenta contable], MATCH($A306, Tabla1[N Doc], 0)),
IF(B306=3,
        INDEX(Tabla13[Cta Iva 22], MATCH($A306, Tabla1[N Doc], 0)),
IF(B306=4,
        INDEX(Tabla1[Cuenta contable], MATCH($A306, Tabla1[N Doc], 0)),
IF(B306=5,
        INDEX(Tabla13[Cta Iva 10], MATCH($A306, Tabla1[N Doc], 0)),
IF(B306=6,
        INDEX(Tabla1[Cuenta contable], MATCH($A306, Tabla1[N Doc], 0)),
IF(B306=7,
        INDEX(Tabla1[Cuenta contable], MATCH($A306, Tabla1[N Doc], 0)),
IF(B306=8,
        IF(INDEX(Tabla1[Tipo IVA], MATCH($A306, Tabla1[N Doc], 0))="22%",
             INDEX(Tabla13[Cta Iva 22], MATCH($A306, Tabla1[N Doc], 0)),
             INDEX(Tabla13[Cta Iva 10], MATCH($A306, Tabla1[N Doc], 0))),
IF(B306=9,
        INDEX(Tabla1[Cuenta contable], MATCH($A306, Tabla1[N Doc], 0))
)))))))))))</f>
        <v>#REF!</v>
      </c>
      <c r="F306" t="e">
        <f>IF(OR($A306="",$A306=0),"",IF(B306=1,
        INDEX(Tabla1[Importe total], MATCH($A306, Tabla1[N Doc], 0)),
IF(B306=2,
        INDEX(Tabla1[Base imponible 22], MATCH($A306, Tabla1[N Doc], 0)),
IF(B306=3,
        INDEX(Tabla1[Iva 22], MATCH($A306, Tabla1[N Doc], 0)),
IF(B306=4,
        INDEX(Tabla1[Base imponible 10], MATCH($A306, Tabla1[N Doc], 0)),
IF(B306=5,
        INDEX(Tabla1[Iva 10], MATCH($A306, Tabla1[N Doc], 0)),
IF(B306=6,
        INDEX(Tabla1[Exento], MATCH($A306, Tabla1[N Doc], 0)),
IF(B306=7,
        INDEX(#REF!, MATCH($A306, Tabla1[N Doc], 0)),
IF(B306=8,
        INDEX(#REF!, MATCH($A306, Tabla1[N Doc], 0)),
IF(B306=9,
        INDEX(Tabla1[Descuentos], MATCH($A306, Tabla1[N Doc], 0)),
""))))))))))</f>
        <v>#REF!</v>
      </c>
      <c r="G306" t="e">
        <f>IF(OR($A306="",$A306=0),"",IF(OR(B306=2,B306=4,B306=6,B306=7),
    INDEX(Tabla13[Ind impuestos], MATCH($A306, Tabla13[N Doc], 0)),
""))</f>
        <v>#REF!</v>
      </c>
      <c r="J306" t="e">
        <f>IF(OR($A306="",$A306=0),"",IF(OR(B306=2,B306=4,B306=6,B306=7),
    INDEX(Tabla1[CECO], MATCH($A306, Tabla1[N Doc], 0)),
""))</f>
        <v>#REF!</v>
      </c>
      <c r="M306" t="e">
        <f>IF(C306=31,INDEX(Tabla1[Descripción], MATCH($A306, Tabla1[N Doc], 0)),"")</f>
        <v>#REF!</v>
      </c>
    </row>
    <row r="307" spans="1:13" x14ac:dyDescent="0.3">
      <c r="A307" t="e" cm="1">
        <f t="array" ref="A307">INDEX(Tabla1[N Doc], ROUNDUP((ROW()-1)/9, 0))</f>
        <v>#REF!</v>
      </c>
      <c r="B307" t="e">
        <f>IF(OR(A307="",A307=0),"",CHOOSE(
    COUNTIF($A$2:A307,A307),
    1,2,3,4,5,6,7,8,9
))</f>
        <v>#REF!</v>
      </c>
      <c r="C307" t="e">
        <f t="shared" si="4"/>
        <v>#REF!</v>
      </c>
      <c r="D307" s="7" t="e" cm="1">
        <f t="array" ref="D307">IF(OR($A307="",$A307=0),"",
IF(AND(INDEX(Formulario!$H$14:$H$100, $A307)="Si", C307&lt;&gt;31),
        VLOOKUP("cta puente",'Descripciones de gastos'!G:H, 2, FALSE),
IF(B307=1,
        INDEX(Tabla13[Titular], MATCH($A307, Tabla1[N Doc], 0)),
IF(B307=2,
        INDEX(Tabla1[Cuenta contable], MATCH($A307, Tabla1[N Doc], 0)),
IF(B307=3,
        INDEX(Tabla13[Cta Iva 22], MATCH($A307, Tabla1[N Doc], 0)),
IF(B307=4,
        INDEX(Tabla1[Cuenta contable], MATCH($A307, Tabla1[N Doc], 0)),
IF(B307=5,
        INDEX(Tabla13[Cta Iva 10], MATCH($A307, Tabla1[N Doc], 0)),
IF(B307=6,
        INDEX(Tabla1[Cuenta contable], MATCH($A307, Tabla1[N Doc], 0)),
IF(B307=7,
        INDEX(Tabla1[Cuenta contable], MATCH($A307, Tabla1[N Doc], 0)),
IF(B307=8,
        IF(INDEX(Tabla1[Tipo IVA], MATCH($A307, Tabla1[N Doc], 0))="22%",
             INDEX(Tabla13[Cta Iva 22], MATCH($A307, Tabla1[N Doc], 0)),
             INDEX(Tabla13[Cta Iva 10], MATCH($A307, Tabla1[N Doc], 0))),
IF(B307=9,
        INDEX(Tabla1[Cuenta contable], MATCH($A307, Tabla1[N Doc], 0))
)))))))))))</f>
        <v>#REF!</v>
      </c>
      <c r="F307" t="e">
        <f>IF(OR($A307="",$A307=0),"",IF(B307=1,
        INDEX(Tabla1[Importe total], MATCH($A307, Tabla1[N Doc], 0)),
IF(B307=2,
        INDEX(Tabla1[Base imponible 22], MATCH($A307, Tabla1[N Doc], 0)),
IF(B307=3,
        INDEX(Tabla1[Iva 22], MATCH($A307, Tabla1[N Doc], 0)),
IF(B307=4,
        INDEX(Tabla1[Base imponible 10], MATCH($A307, Tabla1[N Doc], 0)),
IF(B307=5,
        INDEX(Tabla1[Iva 10], MATCH($A307, Tabla1[N Doc], 0)),
IF(B307=6,
        INDEX(Tabla1[Exento], MATCH($A307, Tabla1[N Doc], 0)),
IF(B307=7,
        INDEX(#REF!, MATCH($A307, Tabla1[N Doc], 0)),
IF(B307=8,
        INDEX(#REF!, MATCH($A307, Tabla1[N Doc], 0)),
IF(B307=9,
        INDEX(Tabla1[Descuentos], MATCH($A307, Tabla1[N Doc], 0)),
""))))))))))</f>
        <v>#REF!</v>
      </c>
      <c r="G307" t="e">
        <f>IF(OR($A307="",$A307=0),"",IF(OR(B307=2,B307=4,B307=6,B307=7),
    INDEX(Tabla13[Ind impuestos], MATCH($A307, Tabla13[N Doc], 0)),
""))</f>
        <v>#REF!</v>
      </c>
      <c r="J307" t="e">
        <f>IF(OR($A307="",$A307=0),"",IF(OR(B307=2,B307=4,B307=6,B307=7),
    INDEX(Tabla1[CECO], MATCH($A307, Tabla1[N Doc], 0)),
""))</f>
        <v>#REF!</v>
      </c>
      <c r="M307" t="e">
        <f>IF(C307=31,INDEX(Tabla1[Descripción], MATCH($A307, Tabla1[N Doc], 0)),"")</f>
        <v>#REF!</v>
      </c>
    </row>
    <row r="308" spans="1:13" x14ac:dyDescent="0.3">
      <c r="A308" t="e" cm="1">
        <f t="array" ref="A308">INDEX(Tabla1[N Doc], ROUNDUP((ROW()-1)/9, 0))</f>
        <v>#REF!</v>
      </c>
      <c r="B308" t="e">
        <f>IF(OR(A308="",A308=0),"",CHOOSE(
    COUNTIF($A$2:A308,A308),
    1,2,3,4,5,6,7,8,9
))</f>
        <v>#REF!</v>
      </c>
      <c r="C308" t="e">
        <f t="shared" si="4"/>
        <v>#REF!</v>
      </c>
      <c r="D308" s="7" t="e" cm="1">
        <f t="array" ref="D308">IF(OR($A308="",$A308=0),"",
IF(AND(INDEX(Formulario!$H$14:$H$100, $A308)="Si", C308&lt;&gt;31),
        VLOOKUP("cta puente",'Descripciones de gastos'!G:H, 2, FALSE),
IF(B308=1,
        INDEX(Tabla13[Titular], MATCH($A308, Tabla1[N Doc], 0)),
IF(B308=2,
        INDEX(Tabla1[Cuenta contable], MATCH($A308, Tabla1[N Doc], 0)),
IF(B308=3,
        INDEX(Tabla13[Cta Iva 22], MATCH($A308, Tabla1[N Doc], 0)),
IF(B308=4,
        INDEX(Tabla1[Cuenta contable], MATCH($A308, Tabla1[N Doc], 0)),
IF(B308=5,
        INDEX(Tabla13[Cta Iva 10], MATCH($A308, Tabla1[N Doc], 0)),
IF(B308=6,
        INDEX(Tabla1[Cuenta contable], MATCH($A308, Tabla1[N Doc], 0)),
IF(B308=7,
        INDEX(Tabla1[Cuenta contable], MATCH($A308, Tabla1[N Doc], 0)),
IF(B308=8,
        IF(INDEX(Tabla1[Tipo IVA], MATCH($A308, Tabla1[N Doc], 0))="22%",
             INDEX(Tabla13[Cta Iva 22], MATCH($A308, Tabla1[N Doc], 0)),
             INDEX(Tabla13[Cta Iva 10], MATCH($A308, Tabla1[N Doc], 0))),
IF(B308=9,
        INDEX(Tabla1[Cuenta contable], MATCH($A308, Tabla1[N Doc], 0))
)))))))))))</f>
        <v>#REF!</v>
      </c>
      <c r="F308" t="e">
        <f>IF(OR($A308="",$A308=0),"",IF(B308=1,
        INDEX(Tabla1[Importe total], MATCH($A308, Tabla1[N Doc], 0)),
IF(B308=2,
        INDEX(Tabla1[Base imponible 22], MATCH($A308, Tabla1[N Doc], 0)),
IF(B308=3,
        INDEX(Tabla1[Iva 22], MATCH($A308, Tabla1[N Doc], 0)),
IF(B308=4,
        INDEX(Tabla1[Base imponible 10], MATCH($A308, Tabla1[N Doc], 0)),
IF(B308=5,
        INDEX(Tabla1[Iva 10], MATCH($A308, Tabla1[N Doc], 0)),
IF(B308=6,
        INDEX(Tabla1[Exento], MATCH($A308, Tabla1[N Doc], 0)),
IF(B308=7,
        INDEX(#REF!, MATCH($A308, Tabla1[N Doc], 0)),
IF(B308=8,
        INDEX(#REF!, MATCH($A308, Tabla1[N Doc], 0)),
IF(B308=9,
        INDEX(Tabla1[Descuentos], MATCH($A308, Tabla1[N Doc], 0)),
""))))))))))</f>
        <v>#REF!</v>
      </c>
      <c r="G308" t="e">
        <f>IF(OR($A308="",$A308=0),"",IF(OR(B308=2,B308=4,B308=6,B308=7),
    INDEX(Tabla13[Ind impuestos], MATCH($A308, Tabla13[N Doc], 0)),
""))</f>
        <v>#REF!</v>
      </c>
      <c r="J308" t="e">
        <f>IF(OR($A308="",$A308=0),"",IF(OR(B308=2,B308=4,B308=6,B308=7),
    INDEX(Tabla1[CECO], MATCH($A308, Tabla1[N Doc], 0)),
""))</f>
        <v>#REF!</v>
      </c>
      <c r="M308" t="e">
        <f>IF(C308=31,INDEX(Tabla1[Descripción], MATCH($A308, Tabla1[N Doc], 0)),"")</f>
        <v>#REF!</v>
      </c>
    </row>
    <row r="309" spans="1:13" x14ac:dyDescent="0.3">
      <c r="A309" t="e" cm="1">
        <f t="array" ref="A309">INDEX(Tabla1[N Doc], ROUNDUP((ROW()-1)/9, 0))</f>
        <v>#REF!</v>
      </c>
      <c r="B309" t="e">
        <f>IF(OR(A309="",A309=0),"",CHOOSE(
    COUNTIF($A$2:A309,A309),
    1,2,3,4,5,6,7,8,9
))</f>
        <v>#REF!</v>
      </c>
      <c r="C309" t="e">
        <f t="shared" si="4"/>
        <v>#REF!</v>
      </c>
      <c r="D309" s="7" t="e" cm="1">
        <f t="array" ref="D309">IF(OR($A309="",$A309=0),"",
IF(AND(INDEX(Formulario!$H$14:$H$100, $A309)="Si", C309&lt;&gt;31),
        VLOOKUP("cta puente",'Descripciones de gastos'!G:H, 2, FALSE),
IF(B309=1,
        INDEX(Tabla13[Titular], MATCH($A309, Tabla1[N Doc], 0)),
IF(B309=2,
        INDEX(Tabla1[Cuenta contable], MATCH($A309, Tabla1[N Doc], 0)),
IF(B309=3,
        INDEX(Tabla13[Cta Iva 22], MATCH($A309, Tabla1[N Doc], 0)),
IF(B309=4,
        INDEX(Tabla1[Cuenta contable], MATCH($A309, Tabla1[N Doc], 0)),
IF(B309=5,
        INDEX(Tabla13[Cta Iva 10], MATCH($A309, Tabla1[N Doc], 0)),
IF(B309=6,
        INDEX(Tabla1[Cuenta contable], MATCH($A309, Tabla1[N Doc], 0)),
IF(B309=7,
        INDEX(Tabla1[Cuenta contable], MATCH($A309, Tabla1[N Doc], 0)),
IF(B309=8,
        IF(INDEX(Tabla1[Tipo IVA], MATCH($A309, Tabla1[N Doc], 0))="22%",
             INDEX(Tabla13[Cta Iva 22], MATCH($A309, Tabla1[N Doc], 0)),
             INDEX(Tabla13[Cta Iva 10], MATCH($A309, Tabla1[N Doc], 0))),
IF(B309=9,
        INDEX(Tabla1[Cuenta contable], MATCH($A309, Tabla1[N Doc], 0))
)))))))))))</f>
        <v>#REF!</v>
      </c>
      <c r="F309" t="e">
        <f>IF(OR($A309="",$A309=0),"",IF(B309=1,
        INDEX(Tabla1[Importe total], MATCH($A309, Tabla1[N Doc], 0)),
IF(B309=2,
        INDEX(Tabla1[Base imponible 22], MATCH($A309, Tabla1[N Doc], 0)),
IF(B309=3,
        INDEX(Tabla1[Iva 22], MATCH($A309, Tabla1[N Doc], 0)),
IF(B309=4,
        INDEX(Tabla1[Base imponible 10], MATCH($A309, Tabla1[N Doc], 0)),
IF(B309=5,
        INDEX(Tabla1[Iva 10], MATCH($A309, Tabla1[N Doc], 0)),
IF(B309=6,
        INDEX(Tabla1[Exento], MATCH($A309, Tabla1[N Doc], 0)),
IF(B309=7,
        INDEX(#REF!, MATCH($A309, Tabla1[N Doc], 0)),
IF(B309=8,
        INDEX(#REF!, MATCH($A309, Tabla1[N Doc], 0)),
IF(B309=9,
        INDEX(Tabla1[Descuentos], MATCH($A309, Tabla1[N Doc], 0)),
""))))))))))</f>
        <v>#REF!</v>
      </c>
      <c r="G309" t="e">
        <f>IF(OR($A309="",$A309=0),"",IF(OR(B309=2,B309=4,B309=6,B309=7),
    INDEX(Tabla13[Ind impuestos], MATCH($A309, Tabla13[N Doc], 0)),
""))</f>
        <v>#REF!</v>
      </c>
      <c r="J309" t="e">
        <f>IF(OR($A309="",$A309=0),"",IF(OR(B309=2,B309=4,B309=6,B309=7),
    INDEX(Tabla1[CECO], MATCH($A309, Tabla1[N Doc], 0)),
""))</f>
        <v>#REF!</v>
      </c>
      <c r="M309" t="e">
        <f>IF(C309=31,INDEX(Tabla1[Descripción], MATCH($A309, Tabla1[N Doc], 0)),"")</f>
        <v>#REF!</v>
      </c>
    </row>
    <row r="310" spans="1:13" x14ac:dyDescent="0.3">
      <c r="A310" t="e" cm="1">
        <f t="array" ref="A310">INDEX(Tabla1[N Doc], ROUNDUP((ROW()-1)/9, 0))</f>
        <v>#REF!</v>
      </c>
      <c r="B310" t="e">
        <f>IF(OR(A310="",A310=0),"",CHOOSE(
    COUNTIF($A$2:A310,A310),
    1,2,3,4,5,6,7,8,9
))</f>
        <v>#REF!</v>
      </c>
      <c r="C310" t="e">
        <f t="shared" si="4"/>
        <v>#REF!</v>
      </c>
      <c r="D310" s="7" t="e" cm="1">
        <f t="array" ref="D310">IF(OR($A310="",$A310=0),"",
IF(AND(INDEX(Formulario!$H$14:$H$100, $A310)="Si", C310&lt;&gt;31),
        VLOOKUP("cta puente",'Descripciones de gastos'!G:H, 2, FALSE),
IF(B310=1,
        INDEX(Tabla13[Titular], MATCH($A310, Tabla1[N Doc], 0)),
IF(B310=2,
        INDEX(Tabla1[Cuenta contable], MATCH($A310, Tabla1[N Doc], 0)),
IF(B310=3,
        INDEX(Tabla13[Cta Iva 22], MATCH($A310, Tabla1[N Doc], 0)),
IF(B310=4,
        INDEX(Tabla1[Cuenta contable], MATCH($A310, Tabla1[N Doc], 0)),
IF(B310=5,
        INDEX(Tabla13[Cta Iva 10], MATCH($A310, Tabla1[N Doc], 0)),
IF(B310=6,
        INDEX(Tabla1[Cuenta contable], MATCH($A310, Tabla1[N Doc], 0)),
IF(B310=7,
        INDEX(Tabla1[Cuenta contable], MATCH($A310, Tabla1[N Doc], 0)),
IF(B310=8,
        IF(INDEX(Tabla1[Tipo IVA], MATCH($A310, Tabla1[N Doc], 0))="22%",
             INDEX(Tabla13[Cta Iva 22], MATCH($A310, Tabla1[N Doc], 0)),
             INDEX(Tabla13[Cta Iva 10], MATCH($A310, Tabla1[N Doc], 0))),
IF(B310=9,
        INDEX(Tabla1[Cuenta contable], MATCH($A310, Tabla1[N Doc], 0))
)))))))))))</f>
        <v>#REF!</v>
      </c>
      <c r="F310" t="e">
        <f>IF(OR($A310="",$A310=0),"",IF(B310=1,
        INDEX(Tabla1[Importe total], MATCH($A310, Tabla1[N Doc], 0)),
IF(B310=2,
        INDEX(Tabla1[Base imponible 22], MATCH($A310, Tabla1[N Doc], 0)),
IF(B310=3,
        INDEX(Tabla1[Iva 22], MATCH($A310, Tabla1[N Doc], 0)),
IF(B310=4,
        INDEX(Tabla1[Base imponible 10], MATCH($A310, Tabla1[N Doc], 0)),
IF(B310=5,
        INDEX(Tabla1[Iva 10], MATCH($A310, Tabla1[N Doc], 0)),
IF(B310=6,
        INDEX(Tabla1[Exento], MATCH($A310, Tabla1[N Doc], 0)),
IF(B310=7,
        INDEX(#REF!, MATCH($A310, Tabla1[N Doc], 0)),
IF(B310=8,
        INDEX(#REF!, MATCH($A310, Tabla1[N Doc], 0)),
IF(B310=9,
        INDEX(Tabla1[Descuentos], MATCH($A310, Tabla1[N Doc], 0)),
""))))))))))</f>
        <v>#REF!</v>
      </c>
      <c r="G310" t="e">
        <f>IF(OR($A310="",$A310=0),"",IF(OR(B310=2,B310=4,B310=6,B310=7),
    INDEX(Tabla13[Ind impuestos], MATCH($A310, Tabla13[N Doc], 0)),
""))</f>
        <v>#REF!</v>
      </c>
      <c r="J310" t="e">
        <f>IF(OR($A310="",$A310=0),"",IF(OR(B310=2,B310=4,B310=6,B310=7),
    INDEX(Tabla1[CECO], MATCH($A310, Tabla1[N Doc], 0)),
""))</f>
        <v>#REF!</v>
      </c>
      <c r="M310" t="e">
        <f>IF(C310=31,INDEX(Tabla1[Descripción], MATCH($A310, Tabla1[N Doc], 0)),"")</f>
        <v>#REF!</v>
      </c>
    </row>
    <row r="311" spans="1:13" x14ac:dyDescent="0.3">
      <c r="A311" t="e" cm="1">
        <f t="array" ref="A311">INDEX(Tabla1[N Doc], ROUNDUP((ROW()-1)/9, 0))</f>
        <v>#REF!</v>
      </c>
      <c r="B311" t="e">
        <f>IF(OR(A311="",A311=0),"",CHOOSE(
    COUNTIF($A$2:A311,A311),
    1,2,3,4,5,6,7,8,9
))</f>
        <v>#REF!</v>
      </c>
      <c r="C311" t="e">
        <f t="shared" si="4"/>
        <v>#REF!</v>
      </c>
      <c r="D311" s="7" t="e" cm="1">
        <f t="array" ref="D311">IF(OR($A311="",$A311=0),"",
IF(AND(INDEX(Formulario!$H$14:$H$100, $A311)="Si", C311&lt;&gt;31),
        VLOOKUP("cta puente",'Descripciones de gastos'!G:H, 2, FALSE),
IF(B311=1,
        INDEX(Tabla13[Titular], MATCH($A311, Tabla1[N Doc], 0)),
IF(B311=2,
        INDEX(Tabla1[Cuenta contable], MATCH($A311, Tabla1[N Doc], 0)),
IF(B311=3,
        INDEX(Tabla13[Cta Iva 22], MATCH($A311, Tabla1[N Doc], 0)),
IF(B311=4,
        INDEX(Tabla1[Cuenta contable], MATCH($A311, Tabla1[N Doc], 0)),
IF(B311=5,
        INDEX(Tabla13[Cta Iva 10], MATCH($A311, Tabla1[N Doc], 0)),
IF(B311=6,
        INDEX(Tabla1[Cuenta contable], MATCH($A311, Tabla1[N Doc], 0)),
IF(B311=7,
        INDEX(Tabla1[Cuenta contable], MATCH($A311, Tabla1[N Doc], 0)),
IF(B311=8,
        IF(INDEX(Tabla1[Tipo IVA], MATCH($A311, Tabla1[N Doc], 0))="22%",
             INDEX(Tabla13[Cta Iva 22], MATCH($A311, Tabla1[N Doc], 0)),
             INDEX(Tabla13[Cta Iva 10], MATCH($A311, Tabla1[N Doc], 0))),
IF(B311=9,
        INDEX(Tabla1[Cuenta contable], MATCH($A311, Tabla1[N Doc], 0))
)))))))))))</f>
        <v>#REF!</v>
      </c>
      <c r="F311" t="e">
        <f>IF(OR($A311="",$A311=0),"",IF(B311=1,
        INDEX(Tabla1[Importe total], MATCH($A311, Tabla1[N Doc], 0)),
IF(B311=2,
        INDEX(Tabla1[Base imponible 22], MATCH($A311, Tabla1[N Doc], 0)),
IF(B311=3,
        INDEX(Tabla1[Iva 22], MATCH($A311, Tabla1[N Doc], 0)),
IF(B311=4,
        INDEX(Tabla1[Base imponible 10], MATCH($A311, Tabla1[N Doc], 0)),
IF(B311=5,
        INDEX(Tabla1[Iva 10], MATCH($A311, Tabla1[N Doc], 0)),
IF(B311=6,
        INDEX(Tabla1[Exento], MATCH($A311, Tabla1[N Doc], 0)),
IF(B311=7,
        INDEX(#REF!, MATCH($A311, Tabla1[N Doc], 0)),
IF(B311=8,
        INDEX(#REF!, MATCH($A311, Tabla1[N Doc], 0)),
IF(B311=9,
        INDEX(Tabla1[Descuentos], MATCH($A311, Tabla1[N Doc], 0)),
""))))))))))</f>
        <v>#REF!</v>
      </c>
      <c r="G311" t="e">
        <f>IF(OR($A311="",$A311=0),"",IF(OR(B311=2,B311=4,B311=6,B311=7),
    INDEX(Tabla13[Ind impuestos], MATCH($A311, Tabla13[N Doc], 0)),
""))</f>
        <v>#REF!</v>
      </c>
      <c r="J311" t="e">
        <f>IF(OR($A311="",$A311=0),"",IF(OR(B311=2,B311=4,B311=6,B311=7),
    INDEX(Tabla1[CECO], MATCH($A311, Tabla1[N Doc], 0)),
""))</f>
        <v>#REF!</v>
      </c>
      <c r="M311" t="e">
        <f>IF(C311=31,INDEX(Tabla1[Descripción], MATCH($A311, Tabla1[N Doc], 0)),"")</f>
        <v>#REF!</v>
      </c>
    </row>
    <row r="312" spans="1:13" x14ac:dyDescent="0.3">
      <c r="A312" t="e" cm="1">
        <f t="array" ref="A312">INDEX(Tabla1[N Doc], ROUNDUP((ROW()-1)/9, 0))</f>
        <v>#REF!</v>
      </c>
      <c r="B312" t="e">
        <f>IF(OR(A312="",A312=0),"",CHOOSE(
    COUNTIF($A$2:A312,A312),
    1,2,3,4,5,6,7,8,9
))</f>
        <v>#REF!</v>
      </c>
      <c r="C312" t="e">
        <f t="shared" si="4"/>
        <v>#REF!</v>
      </c>
      <c r="D312" s="7" t="e" cm="1">
        <f t="array" ref="D312">IF(OR($A312="",$A312=0),"",
IF(AND(INDEX(Formulario!$H$14:$H$100, $A312)="Si", C312&lt;&gt;31),
        VLOOKUP("cta puente",'Descripciones de gastos'!G:H, 2, FALSE),
IF(B312=1,
        INDEX(Tabla13[Titular], MATCH($A312, Tabla1[N Doc], 0)),
IF(B312=2,
        INDEX(Tabla1[Cuenta contable], MATCH($A312, Tabla1[N Doc], 0)),
IF(B312=3,
        INDEX(Tabla13[Cta Iva 22], MATCH($A312, Tabla1[N Doc], 0)),
IF(B312=4,
        INDEX(Tabla1[Cuenta contable], MATCH($A312, Tabla1[N Doc], 0)),
IF(B312=5,
        INDEX(Tabla13[Cta Iva 10], MATCH($A312, Tabla1[N Doc], 0)),
IF(B312=6,
        INDEX(Tabla1[Cuenta contable], MATCH($A312, Tabla1[N Doc], 0)),
IF(B312=7,
        INDEX(Tabla1[Cuenta contable], MATCH($A312, Tabla1[N Doc], 0)),
IF(B312=8,
        IF(INDEX(Tabla1[Tipo IVA], MATCH($A312, Tabla1[N Doc], 0))="22%",
             INDEX(Tabla13[Cta Iva 22], MATCH($A312, Tabla1[N Doc], 0)),
             INDEX(Tabla13[Cta Iva 10], MATCH($A312, Tabla1[N Doc], 0))),
IF(B312=9,
        INDEX(Tabla1[Cuenta contable], MATCH($A312, Tabla1[N Doc], 0))
)))))))))))</f>
        <v>#REF!</v>
      </c>
      <c r="F312" t="e">
        <f>IF(OR($A312="",$A312=0),"",IF(B312=1,
        INDEX(Tabla1[Importe total], MATCH($A312, Tabla1[N Doc], 0)),
IF(B312=2,
        INDEX(Tabla1[Base imponible 22], MATCH($A312, Tabla1[N Doc], 0)),
IF(B312=3,
        INDEX(Tabla1[Iva 22], MATCH($A312, Tabla1[N Doc], 0)),
IF(B312=4,
        INDEX(Tabla1[Base imponible 10], MATCH($A312, Tabla1[N Doc], 0)),
IF(B312=5,
        INDEX(Tabla1[Iva 10], MATCH($A312, Tabla1[N Doc], 0)),
IF(B312=6,
        INDEX(Tabla1[Exento], MATCH($A312, Tabla1[N Doc], 0)),
IF(B312=7,
        INDEX(#REF!, MATCH($A312, Tabla1[N Doc], 0)),
IF(B312=8,
        INDEX(#REF!, MATCH($A312, Tabla1[N Doc], 0)),
IF(B312=9,
        INDEX(Tabla1[Descuentos], MATCH($A312, Tabla1[N Doc], 0)),
""))))))))))</f>
        <v>#REF!</v>
      </c>
      <c r="G312" t="e">
        <f>IF(OR($A312="",$A312=0),"",IF(OR(B312=2,B312=4,B312=6,B312=7),
    INDEX(Tabla13[Ind impuestos], MATCH($A312, Tabla13[N Doc], 0)),
""))</f>
        <v>#REF!</v>
      </c>
      <c r="J312" t="e">
        <f>IF(OR($A312="",$A312=0),"",IF(OR(B312=2,B312=4,B312=6,B312=7),
    INDEX(Tabla1[CECO], MATCH($A312, Tabla1[N Doc], 0)),
""))</f>
        <v>#REF!</v>
      </c>
      <c r="M312" t="e">
        <f>IF(C312=31,INDEX(Tabla1[Descripción], MATCH($A312, Tabla1[N Doc], 0)),"")</f>
        <v>#REF!</v>
      </c>
    </row>
    <row r="313" spans="1:13" x14ac:dyDescent="0.3">
      <c r="A313" t="e" cm="1">
        <f t="array" ref="A313">INDEX(Tabla1[N Doc], ROUNDUP((ROW()-1)/9, 0))</f>
        <v>#REF!</v>
      </c>
      <c r="B313" t="e">
        <f>IF(OR(A313="",A313=0),"",CHOOSE(
    COUNTIF($A$2:A313,A313),
    1,2,3,4,5,6,7,8,9
))</f>
        <v>#REF!</v>
      </c>
      <c r="C313" t="e">
        <f t="shared" si="4"/>
        <v>#REF!</v>
      </c>
      <c r="D313" s="7" t="e" cm="1">
        <f t="array" ref="D313">IF(OR($A313="",$A313=0),"",
IF(AND(INDEX(Formulario!$H$14:$H$100, $A313)="Si", C313&lt;&gt;31),
        VLOOKUP("cta puente",'Descripciones de gastos'!G:H, 2, FALSE),
IF(B313=1,
        INDEX(Tabla13[Titular], MATCH($A313, Tabla1[N Doc], 0)),
IF(B313=2,
        INDEX(Tabla1[Cuenta contable], MATCH($A313, Tabla1[N Doc], 0)),
IF(B313=3,
        INDEX(Tabla13[Cta Iva 22], MATCH($A313, Tabla1[N Doc], 0)),
IF(B313=4,
        INDEX(Tabla1[Cuenta contable], MATCH($A313, Tabla1[N Doc], 0)),
IF(B313=5,
        INDEX(Tabla13[Cta Iva 10], MATCH($A313, Tabla1[N Doc], 0)),
IF(B313=6,
        INDEX(Tabla1[Cuenta contable], MATCH($A313, Tabla1[N Doc], 0)),
IF(B313=7,
        INDEX(Tabla1[Cuenta contable], MATCH($A313, Tabla1[N Doc], 0)),
IF(B313=8,
        IF(INDEX(Tabla1[Tipo IVA], MATCH($A313, Tabla1[N Doc], 0))="22%",
             INDEX(Tabla13[Cta Iva 22], MATCH($A313, Tabla1[N Doc], 0)),
             INDEX(Tabla13[Cta Iva 10], MATCH($A313, Tabla1[N Doc], 0))),
IF(B313=9,
        INDEX(Tabla1[Cuenta contable], MATCH($A313, Tabla1[N Doc], 0))
)))))))))))</f>
        <v>#REF!</v>
      </c>
      <c r="F313" t="e">
        <f>IF(OR($A313="",$A313=0),"",IF(B313=1,
        INDEX(Tabla1[Importe total], MATCH($A313, Tabla1[N Doc], 0)),
IF(B313=2,
        INDEX(Tabla1[Base imponible 22], MATCH($A313, Tabla1[N Doc], 0)),
IF(B313=3,
        INDEX(Tabla1[Iva 22], MATCH($A313, Tabla1[N Doc], 0)),
IF(B313=4,
        INDEX(Tabla1[Base imponible 10], MATCH($A313, Tabla1[N Doc], 0)),
IF(B313=5,
        INDEX(Tabla1[Iva 10], MATCH($A313, Tabla1[N Doc], 0)),
IF(B313=6,
        INDEX(Tabla1[Exento], MATCH($A313, Tabla1[N Doc], 0)),
IF(B313=7,
        INDEX(#REF!, MATCH($A313, Tabla1[N Doc], 0)),
IF(B313=8,
        INDEX(#REF!, MATCH($A313, Tabla1[N Doc], 0)),
IF(B313=9,
        INDEX(Tabla1[Descuentos], MATCH($A313, Tabla1[N Doc], 0)),
""))))))))))</f>
        <v>#REF!</v>
      </c>
      <c r="G313" t="e">
        <f>IF(OR($A313="",$A313=0),"",IF(OR(B313=2,B313=4,B313=6,B313=7),
    INDEX(Tabla13[Ind impuestos], MATCH($A313, Tabla13[N Doc], 0)),
""))</f>
        <v>#REF!</v>
      </c>
      <c r="J313" t="e">
        <f>IF(OR($A313="",$A313=0),"",IF(OR(B313=2,B313=4,B313=6,B313=7),
    INDEX(Tabla1[CECO], MATCH($A313, Tabla1[N Doc], 0)),
""))</f>
        <v>#REF!</v>
      </c>
      <c r="M313" t="e">
        <f>IF(C313=31,INDEX(Tabla1[Descripción], MATCH($A313, Tabla1[N Doc], 0)),"")</f>
        <v>#REF!</v>
      </c>
    </row>
    <row r="314" spans="1:13" x14ac:dyDescent="0.3">
      <c r="A314" t="e" cm="1">
        <f t="array" ref="A314">INDEX(Tabla1[N Doc], ROUNDUP((ROW()-1)/9, 0))</f>
        <v>#REF!</v>
      </c>
      <c r="B314" t="e">
        <f>IF(OR(A314="",A314=0),"",CHOOSE(
    COUNTIF($A$2:A314,A314),
    1,2,3,4,5,6,7,8,9
))</f>
        <v>#REF!</v>
      </c>
      <c r="C314" t="e">
        <f t="shared" si="4"/>
        <v>#REF!</v>
      </c>
      <c r="D314" s="7" t="e" cm="1">
        <f t="array" ref="D314">IF(OR($A314="",$A314=0),"",
IF(AND(INDEX(Formulario!$H$14:$H$100, $A314)="Si", C314&lt;&gt;31),
        VLOOKUP("cta puente",'Descripciones de gastos'!G:H, 2, FALSE),
IF(B314=1,
        INDEX(Tabla13[Titular], MATCH($A314, Tabla1[N Doc], 0)),
IF(B314=2,
        INDEX(Tabla1[Cuenta contable], MATCH($A314, Tabla1[N Doc], 0)),
IF(B314=3,
        INDEX(Tabla13[Cta Iva 22], MATCH($A314, Tabla1[N Doc], 0)),
IF(B314=4,
        INDEX(Tabla1[Cuenta contable], MATCH($A314, Tabla1[N Doc], 0)),
IF(B314=5,
        INDEX(Tabla13[Cta Iva 10], MATCH($A314, Tabla1[N Doc], 0)),
IF(B314=6,
        INDEX(Tabla1[Cuenta contable], MATCH($A314, Tabla1[N Doc], 0)),
IF(B314=7,
        INDEX(Tabla1[Cuenta contable], MATCH($A314, Tabla1[N Doc], 0)),
IF(B314=8,
        IF(INDEX(Tabla1[Tipo IVA], MATCH($A314, Tabla1[N Doc], 0))="22%",
             INDEX(Tabla13[Cta Iva 22], MATCH($A314, Tabla1[N Doc], 0)),
             INDEX(Tabla13[Cta Iva 10], MATCH($A314, Tabla1[N Doc], 0))),
IF(B314=9,
        INDEX(Tabla1[Cuenta contable], MATCH($A314, Tabla1[N Doc], 0))
)))))))))))</f>
        <v>#REF!</v>
      </c>
      <c r="F314" t="e">
        <f>IF(OR($A314="",$A314=0),"",IF(B314=1,
        INDEX(Tabla1[Importe total], MATCH($A314, Tabla1[N Doc], 0)),
IF(B314=2,
        INDEX(Tabla1[Base imponible 22], MATCH($A314, Tabla1[N Doc], 0)),
IF(B314=3,
        INDEX(Tabla1[Iva 22], MATCH($A314, Tabla1[N Doc], 0)),
IF(B314=4,
        INDEX(Tabla1[Base imponible 10], MATCH($A314, Tabla1[N Doc], 0)),
IF(B314=5,
        INDEX(Tabla1[Iva 10], MATCH($A314, Tabla1[N Doc], 0)),
IF(B314=6,
        INDEX(Tabla1[Exento], MATCH($A314, Tabla1[N Doc], 0)),
IF(B314=7,
        INDEX(#REF!, MATCH($A314, Tabla1[N Doc], 0)),
IF(B314=8,
        INDEX(#REF!, MATCH($A314, Tabla1[N Doc], 0)),
IF(B314=9,
        INDEX(Tabla1[Descuentos], MATCH($A314, Tabla1[N Doc], 0)),
""))))))))))</f>
        <v>#REF!</v>
      </c>
      <c r="G314" t="e">
        <f>IF(OR($A314="",$A314=0),"",IF(OR(B314=2,B314=4,B314=6,B314=7),
    INDEX(Tabla13[Ind impuestos], MATCH($A314, Tabla13[N Doc], 0)),
""))</f>
        <v>#REF!</v>
      </c>
      <c r="J314" t="e">
        <f>IF(OR($A314="",$A314=0),"",IF(OR(B314=2,B314=4,B314=6,B314=7),
    INDEX(Tabla1[CECO], MATCH($A314, Tabla1[N Doc], 0)),
""))</f>
        <v>#REF!</v>
      </c>
      <c r="M314" t="e">
        <f>IF(C314=31,INDEX(Tabla1[Descripción], MATCH($A314, Tabla1[N Doc], 0)),"")</f>
        <v>#REF!</v>
      </c>
    </row>
    <row r="315" spans="1:13" x14ac:dyDescent="0.3">
      <c r="A315" t="e" cm="1">
        <f t="array" ref="A315">INDEX(Tabla1[N Doc], ROUNDUP((ROW()-1)/9, 0))</f>
        <v>#REF!</v>
      </c>
      <c r="B315" t="e">
        <f>IF(OR(A315="",A315=0),"",CHOOSE(
    COUNTIF($A$2:A315,A315),
    1,2,3,4,5,6,7,8,9
))</f>
        <v>#REF!</v>
      </c>
      <c r="C315" t="e">
        <f t="shared" si="4"/>
        <v>#REF!</v>
      </c>
      <c r="D315" s="7" t="e" cm="1">
        <f t="array" ref="D315">IF(OR($A315="",$A315=0),"",
IF(AND(INDEX(Formulario!$H$14:$H$100, $A315)="Si", C315&lt;&gt;31),
        VLOOKUP("cta puente",'Descripciones de gastos'!G:H, 2, FALSE),
IF(B315=1,
        INDEX(Tabla13[Titular], MATCH($A315, Tabla1[N Doc], 0)),
IF(B315=2,
        INDEX(Tabla1[Cuenta contable], MATCH($A315, Tabla1[N Doc], 0)),
IF(B315=3,
        INDEX(Tabla13[Cta Iva 22], MATCH($A315, Tabla1[N Doc], 0)),
IF(B315=4,
        INDEX(Tabla1[Cuenta contable], MATCH($A315, Tabla1[N Doc], 0)),
IF(B315=5,
        INDEX(Tabla13[Cta Iva 10], MATCH($A315, Tabla1[N Doc], 0)),
IF(B315=6,
        INDEX(Tabla1[Cuenta contable], MATCH($A315, Tabla1[N Doc], 0)),
IF(B315=7,
        INDEX(Tabla1[Cuenta contable], MATCH($A315, Tabla1[N Doc], 0)),
IF(B315=8,
        IF(INDEX(Tabla1[Tipo IVA], MATCH($A315, Tabla1[N Doc], 0))="22%",
             INDEX(Tabla13[Cta Iva 22], MATCH($A315, Tabla1[N Doc], 0)),
             INDEX(Tabla13[Cta Iva 10], MATCH($A315, Tabla1[N Doc], 0))),
IF(B315=9,
        INDEX(Tabla1[Cuenta contable], MATCH($A315, Tabla1[N Doc], 0))
)))))))))))</f>
        <v>#REF!</v>
      </c>
      <c r="F315" t="e">
        <f>IF(OR($A315="",$A315=0),"",IF(B315=1,
        INDEX(Tabla1[Importe total], MATCH($A315, Tabla1[N Doc], 0)),
IF(B315=2,
        INDEX(Tabla1[Base imponible 22], MATCH($A315, Tabla1[N Doc], 0)),
IF(B315=3,
        INDEX(Tabla1[Iva 22], MATCH($A315, Tabla1[N Doc], 0)),
IF(B315=4,
        INDEX(Tabla1[Base imponible 10], MATCH($A315, Tabla1[N Doc], 0)),
IF(B315=5,
        INDEX(Tabla1[Iva 10], MATCH($A315, Tabla1[N Doc], 0)),
IF(B315=6,
        INDEX(Tabla1[Exento], MATCH($A315, Tabla1[N Doc], 0)),
IF(B315=7,
        INDEX(#REF!, MATCH($A315, Tabla1[N Doc], 0)),
IF(B315=8,
        INDEX(#REF!, MATCH($A315, Tabla1[N Doc], 0)),
IF(B315=9,
        INDEX(Tabla1[Descuentos], MATCH($A315, Tabla1[N Doc], 0)),
""))))))))))</f>
        <v>#REF!</v>
      </c>
      <c r="G315" t="e">
        <f>IF(OR($A315="",$A315=0),"",IF(OR(B315=2,B315=4,B315=6,B315=7),
    INDEX(Tabla13[Ind impuestos], MATCH($A315, Tabla13[N Doc], 0)),
""))</f>
        <v>#REF!</v>
      </c>
      <c r="J315" t="e">
        <f>IF(OR($A315="",$A315=0),"",IF(OR(B315=2,B315=4,B315=6,B315=7),
    INDEX(Tabla1[CECO], MATCH($A315, Tabla1[N Doc], 0)),
""))</f>
        <v>#REF!</v>
      </c>
      <c r="M315" t="e">
        <f>IF(C315=31,INDEX(Tabla1[Descripción], MATCH($A315, Tabla1[N Doc], 0)),"")</f>
        <v>#REF!</v>
      </c>
    </row>
    <row r="316" spans="1:13" x14ac:dyDescent="0.3">
      <c r="A316" t="e" cm="1">
        <f t="array" ref="A316">INDEX(Tabla1[N Doc], ROUNDUP((ROW()-1)/9, 0))</f>
        <v>#REF!</v>
      </c>
      <c r="B316" t="e">
        <f>IF(OR(A316="",A316=0),"",CHOOSE(
    COUNTIF($A$2:A316,A316),
    1,2,3,4,5,6,7,8,9
))</f>
        <v>#REF!</v>
      </c>
      <c r="C316" t="e">
        <f t="shared" si="4"/>
        <v>#REF!</v>
      </c>
      <c r="D316" s="7" t="e" cm="1">
        <f t="array" ref="D316">IF(OR($A316="",$A316=0),"",
IF(AND(INDEX(Formulario!$H$14:$H$100, $A316)="Si", C316&lt;&gt;31),
        VLOOKUP("cta puente",'Descripciones de gastos'!G:H, 2, FALSE),
IF(B316=1,
        INDEX(Tabla13[Titular], MATCH($A316, Tabla1[N Doc], 0)),
IF(B316=2,
        INDEX(Tabla1[Cuenta contable], MATCH($A316, Tabla1[N Doc], 0)),
IF(B316=3,
        INDEX(Tabla13[Cta Iva 22], MATCH($A316, Tabla1[N Doc], 0)),
IF(B316=4,
        INDEX(Tabla1[Cuenta contable], MATCH($A316, Tabla1[N Doc], 0)),
IF(B316=5,
        INDEX(Tabla13[Cta Iva 10], MATCH($A316, Tabla1[N Doc], 0)),
IF(B316=6,
        INDEX(Tabla1[Cuenta contable], MATCH($A316, Tabla1[N Doc], 0)),
IF(B316=7,
        INDEX(Tabla1[Cuenta contable], MATCH($A316, Tabla1[N Doc], 0)),
IF(B316=8,
        IF(INDEX(Tabla1[Tipo IVA], MATCH($A316, Tabla1[N Doc], 0))="22%",
             INDEX(Tabla13[Cta Iva 22], MATCH($A316, Tabla1[N Doc], 0)),
             INDEX(Tabla13[Cta Iva 10], MATCH($A316, Tabla1[N Doc], 0))),
IF(B316=9,
        INDEX(Tabla1[Cuenta contable], MATCH($A316, Tabla1[N Doc], 0))
)))))))))))</f>
        <v>#REF!</v>
      </c>
      <c r="F316" t="e">
        <f>IF(OR($A316="",$A316=0),"",IF(B316=1,
        INDEX(Tabla1[Importe total], MATCH($A316, Tabla1[N Doc], 0)),
IF(B316=2,
        INDEX(Tabla1[Base imponible 22], MATCH($A316, Tabla1[N Doc], 0)),
IF(B316=3,
        INDEX(Tabla1[Iva 22], MATCH($A316, Tabla1[N Doc], 0)),
IF(B316=4,
        INDEX(Tabla1[Base imponible 10], MATCH($A316, Tabla1[N Doc], 0)),
IF(B316=5,
        INDEX(Tabla1[Iva 10], MATCH($A316, Tabla1[N Doc], 0)),
IF(B316=6,
        INDEX(Tabla1[Exento], MATCH($A316, Tabla1[N Doc], 0)),
IF(B316=7,
        INDEX(#REF!, MATCH($A316, Tabla1[N Doc], 0)),
IF(B316=8,
        INDEX(#REF!, MATCH($A316, Tabla1[N Doc], 0)),
IF(B316=9,
        INDEX(Tabla1[Descuentos], MATCH($A316, Tabla1[N Doc], 0)),
""))))))))))</f>
        <v>#REF!</v>
      </c>
      <c r="G316" t="e">
        <f>IF(OR($A316="",$A316=0),"",IF(OR(B316=2,B316=4,B316=6,B316=7),
    INDEX(Tabla13[Ind impuestos], MATCH($A316, Tabla13[N Doc], 0)),
""))</f>
        <v>#REF!</v>
      </c>
      <c r="J316" t="e">
        <f>IF(OR($A316="",$A316=0),"",IF(OR(B316=2,B316=4,B316=6,B316=7),
    INDEX(Tabla1[CECO], MATCH($A316, Tabla1[N Doc], 0)),
""))</f>
        <v>#REF!</v>
      </c>
      <c r="M316" t="e">
        <f>IF(C316=31,INDEX(Tabla1[Descripción], MATCH($A316, Tabla1[N Doc], 0)),"")</f>
        <v>#REF!</v>
      </c>
    </row>
    <row r="317" spans="1:13" x14ac:dyDescent="0.3">
      <c r="A317" t="e" cm="1">
        <f t="array" ref="A317">INDEX(Tabla1[N Doc], ROUNDUP((ROW()-1)/9, 0))</f>
        <v>#REF!</v>
      </c>
      <c r="B317" t="e">
        <f>IF(OR(A317="",A317=0),"",CHOOSE(
    COUNTIF($A$2:A317,A317),
    1,2,3,4,5,6,7,8,9
))</f>
        <v>#REF!</v>
      </c>
      <c r="C317" t="e">
        <f t="shared" si="4"/>
        <v>#REF!</v>
      </c>
      <c r="D317" s="7" t="e" cm="1">
        <f t="array" ref="D317">IF(OR($A317="",$A317=0),"",
IF(AND(INDEX(Formulario!$H$14:$H$100, $A317)="Si", C317&lt;&gt;31),
        VLOOKUP("cta puente",'Descripciones de gastos'!G:H, 2, FALSE),
IF(B317=1,
        INDEX(Tabla13[Titular], MATCH($A317, Tabla1[N Doc], 0)),
IF(B317=2,
        INDEX(Tabla1[Cuenta contable], MATCH($A317, Tabla1[N Doc], 0)),
IF(B317=3,
        INDEX(Tabla13[Cta Iva 22], MATCH($A317, Tabla1[N Doc], 0)),
IF(B317=4,
        INDEX(Tabla1[Cuenta contable], MATCH($A317, Tabla1[N Doc], 0)),
IF(B317=5,
        INDEX(Tabla13[Cta Iva 10], MATCH($A317, Tabla1[N Doc], 0)),
IF(B317=6,
        INDEX(Tabla1[Cuenta contable], MATCH($A317, Tabla1[N Doc], 0)),
IF(B317=7,
        INDEX(Tabla1[Cuenta contable], MATCH($A317, Tabla1[N Doc], 0)),
IF(B317=8,
        IF(INDEX(Tabla1[Tipo IVA], MATCH($A317, Tabla1[N Doc], 0))="22%",
             INDEX(Tabla13[Cta Iva 22], MATCH($A317, Tabla1[N Doc], 0)),
             INDEX(Tabla13[Cta Iva 10], MATCH($A317, Tabla1[N Doc], 0))),
IF(B317=9,
        INDEX(Tabla1[Cuenta contable], MATCH($A317, Tabla1[N Doc], 0))
)))))))))))</f>
        <v>#REF!</v>
      </c>
      <c r="F317" t="e">
        <f>IF(OR($A317="",$A317=0),"",IF(B317=1,
        INDEX(Tabla1[Importe total], MATCH($A317, Tabla1[N Doc], 0)),
IF(B317=2,
        INDEX(Tabla1[Base imponible 22], MATCH($A317, Tabla1[N Doc], 0)),
IF(B317=3,
        INDEX(Tabla1[Iva 22], MATCH($A317, Tabla1[N Doc], 0)),
IF(B317=4,
        INDEX(Tabla1[Base imponible 10], MATCH($A317, Tabla1[N Doc], 0)),
IF(B317=5,
        INDEX(Tabla1[Iva 10], MATCH($A317, Tabla1[N Doc], 0)),
IF(B317=6,
        INDEX(Tabla1[Exento], MATCH($A317, Tabla1[N Doc], 0)),
IF(B317=7,
        INDEX(#REF!, MATCH($A317, Tabla1[N Doc], 0)),
IF(B317=8,
        INDEX(#REF!, MATCH($A317, Tabla1[N Doc], 0)),
IF(B317=9,
        INDEX(Tabla1[Descuentos], MATCH($A317, Tabla1[N Doc], 0)),
""))))))))))</f>
        <v>#REF!</v>
      </c>
      <c r="G317" t="e">
        <f>IF(OR($A317="",$A317=0),"",IF(OR(B317=2,B317=4,B317=6,B317=7),
    INDEX(Tabla13[Ind impuestos], MATCH($A317, Tabla13[N Doc], 0)),
""))</f>
        <v>#REF!</v>
      </c>
      <c r="J317" t="e">
        <f>IF(OR($A317="",$A317=0),"",IF(OR(B317=2,B317=4,B317=6,B317=7),
    INDEX(Tabla1[CECO], MATCH($A317, Tabla1[N Doc], 0)),
""))</f>
        <v>#REF!</v>
      </c>
      <c r="M317" t="e">
        <f>IF(C317=31,INDEX(Tabla1[Descripción], MATCH($A317, Tabla1[N Doc], 0)),"")</f>
        <v>#REF!</v>
      </c>
    </row>
    <row r="318" spans="1:13" x14ac:dyDescent="0.3">
      <c r="A318" t="e" cm="1">
        <f t="array" ref="A318">INDEX(Tabla1[N Doc], ROUNDUP((ROW()-1)/9, 0))</f>
        <v>#REF!</v>
      </c>
      <c r="B318" t="e">
        <f>IF(OR(A318="",A318=0),"",CHOOSE(
    COUNTIF($A$2:A318,A318),
    1,2,3,4,5,6,7,8,9
))</f>
        <v>#REF!</v>
      </c>
      <c r="C318" t="e">
        <f t="shared" si="4"/>
        <v>#REF!</v>
      </c>
      <c r="D318" s="7" t="e" cm="1">
        <f t="array" ref="D318">IF(OR($A318="",$A318=0),"",
IF(AND(INDEX(Formulario!$H$14:$H$100, $A318)="Si", C318&lt;&gt;31),
        VLOOKUP("cta puente",'Descripciones de gastos'!G:H, 2, FALSE),
IF(B318=1,
        INDEX(Tabla13[Titular], MATCH($A318, Tabla1[N Doc], 0)),
IF(B318=2,
        INDEX(Tabla1[Cuenta contable], MATCH($A318, Tabla1[N Doc], 0)),
IF(B318=3,
        INDEX(Tabla13[Cta Iva 22], MATCH($A318, Tabla1[N Doc], 0)),
IF(B318=4,
        INDEX(Tabla1[Cuenta contable], MATCH($A318, Tabla1[N Doc], 0)),
IF(B318=5,
        INDEX(Tabla13[Cta Iva 10], MATCH($A318, Tabla1[N Doc], 0)),
IF(B318=6,
        INDEX(Tabla1[Cuenta contable], MATCH($A318, Tabla1[N Doc], 0)),
IF(B318=7,
        INDEX(Tabla1[Cuenta contable], MATCH($A318, Tabla1[N Doc], 0)),
IF(B318=8,
        IF(INDEX(Tabla1[Tipo IVA], MATCH($A318, Tabla1[N Doc], 0))="22%",
             INDEX(Tabla13[Cta Iva 22], MATCH($A318, Tabla1[N Doc], 0)),
             INDEX(Tabla13[Cta Iva 10], MATCH($A318, Tabla1[N Doc], 0))),
IF(B318=9,
        INDEX(Tabla1[Cuenta contable], MATCH($A318, Tabla1[N Doc], 0))
)))))))))))</f>
        <v>#REF!</v>
      </c>
      <c r="F318" t="e">
        <f>IF(OR($A318="",$A318=0),"",IF(B318=1,
        INDEX(Tabla1[Importe total], MATCH($A318, Tabla1[N Doc], 0)),
IF(B318=2,
        INDEX(Tabla1[Base imponible 22], MATCH($A318, Tabla1[N Doc], 0)),
IF(B318=3,
        INDEX(Tabla1[Iva 22], MATCH($A318, Tabla1[N Doc], 0)),
IF(B318=4,
        INDEX(Tabla1[Base imponible 10], MATCH($A318, Tabla1[N Doc], 0)),
IF(B318=5,
        INDEX(Tabla1[Iva 10], MATCH($A318, Tabla1[N Doc], 0)),
IF(B318=6,
        INDEX(Tabla1[Exento], MATCH($A318, Tabla1[N Doc], 0)),
IF(B318=7,
        INDEX(#REF!, MATCH($A318, Tabla1[N Doc], 0)),
IF(B318=8,
        INDEX(#REF!, MATCH($A318, Tabla1[N Doc], 0)),
IF(B318=9,
        INDEX(Tabla1[Descuentos], MATCH($A318, Tabla1[N Doc], 0)),
""))))))))))</f>
        <v>#REF!</v>
      </c>
      <c r="G318" t="e">
        <f>IF(OR($A318="",$A318=0),"",IF(OR(B318=2,B318=4,B318=6,B318=7),
    INDEX(Tabla13[Ind impuestos], MATCH($A318, Tabla13[N Doc], 0)),
""))</f>
        <v>#REF!</v>
      </c>
      <c r="J318" t="e">
        <f>IF(OR($A318="",$A318=0),"",IF(OR(B318=2,B318=4,B318=6,B318=7),
    INDEX(Tabla1[CECO], MATCH($A318, Tabla1[N Doc], 0)),
""))</f>
        <v>#REF!</v>
      </c>
      <c r="M318" t="e">
        <f>IF(C318=31,INDEX(Tabla1[Descripción], MATCH($A318, Tabla1[N Doc], 0)),"")</f>
        <v>#REF!</v>
      </c>
    </row>
    <row r="319" spans="1:13" x14ac:dyDescent="0.3">
      <c r="A319" t="e" cm="1">
        <f t="array" ref="A319">INDEX(Tabla1[N Doc], ROUNDUP((ROW()-1)/9, 0))</f>
        <v>#REF!</v>
      </c>
      <c r="B319" t="e">
        <f>IF(OR(A319="",A319=0),"",CHOOSE(
    COUNTIF($A$2:A319,A319),
    1,2,3,4,5,6,7,8,9
))</f>
        <v>#REF!</v>
      </c>
      <c r="C319" t="e">
        <f t="shared" si="4"/>
        <v>#REF!</v>
      </c>
      <c r="D319" s="7" t="e" cm="1">
        <f t="array" ref="D319">IF(OR($A319="",$A319=0),"",
IF(AND(INDEX(Formulario!$H$14:$H$100, $A319)="Si", C319&lt;&gt;31),
        VLOOKUP("cta puente",'Descripciones de gastos'!G:H, 2, FALSE),
IF(B319=1,
        INDEX(Tabla13[Titular], MATCH($A319, Tabla1[N Doc], 0)),
IF(B319=2,
        INDEX(Tabla1[Cuenta contable], MATCH($A319, Tabla1[N Doc], 0)),
IF(B319=3,
        INDEX(Tabla13[Cta Iva 22], MATCH($A319, Tabla1[N Doc], 0)),
IF(B319=4,
        INDEX(Tabla1[Cuenta contable], MATCH($A319, Tabla1[N Doc], 0)),
IF(B319=5,
        INDEX(Tabla13[Cta Iva 10], MATCH($A319, Tabla1[N Doc], 0)),
IF(B319=6,
        INDEX(Tabla1[Cuenta contable], MATCH($A319, Tabla1[N Doc], 0)),
IF(B319=7,
        INDEX(Tabla1[Cuenta contable], MATCH($A319, Tabla1[N Doc], 0)),
IF(B319=8,
        IF(INDEX(Tabla1[Tipo IVA], MATCH($A319, Tabla1[N Doc], 0))="22%",
             INDEX(Tabla13[Cta Iva 22], MATCH($A319, Tabla1[N Doc], 0)),
             INDEX(Tabla13[Cta Iva 10], MATCH($A319, Tabla1[N Doc], 0))),
IF(B319=9,
        INDEX(Tabla1[Cuenta contable], MATCH($A319, Tabla1[N Doc], 0))
)))))))))))</f>
        <v>#REF!</v>
      </c>
      <c r="F319" t="e">
        <f>IF(OR($A319="",$A319=0),"",IF(B319=1,
        INDEX(Tabla1[Importe total], MATCH($A319, Tabla1[N Doc], 0)),
IF(B319=2,
        INDEX(Tabla1[Base imponible 22], MATCH($A319, Tabla1[N Doc], 0)),
IF(B319=3,
        INDEX(Tabla1[Iva 22], MATCH($A319, Tabla1[N Doc], 0)),
IF(B319=4,
        INDEX(Tabla1[Base imponible 10], MATCH($A319, Tabla1[N Doc], 0)),
IF(B319=5,
        INDEX(Tabla1[Iva 10], MATCH($A319, Tabla1[N Doc], 0)),
IF(B319=6,
        INDEX(Tabla1[Exento], MATCH($A319, Tabla1[N Doc], 0)),
IF(B319=7,
        INDEX(#REF!, MATCH($A319, Tabla1[N Doc], 0)),
IF(B319=8,
        INDEX(#REF!, MATCH($A319, Tabla1[N Doc], 0)),
IF(B319=9,
        INDEX(Tabla1[Descuentos], MATCH($A319, Tabla1[N Doc], 0)),
""))))))))))</f>
        <v>#REF!</v>
      </c>
      <c r="G319" t="e">
        <f>IF(OR($A319="",$A319=0),"",IF(OR(B319=2,B319=4,B319=6,B319=7),
    INDEX(Tabla13[Ind impuestos], MATCH($A319, Tabla13[N Doc], 0)),
""))</f>
        <v>#REF!</v>
      </c>
      <c r="J319" t="e">
        <f>IF(OR($A319="",$A319=0),"",IF(OR(B319=2,B319=4,B319=6,B319=7),
    INDEX(Tabla1[CECO], MATCH($A319, Tabla1[N Doc], 0)),
""))</f>
        <v>#REF!</v>
      </c>
      <c r="M319" t="e">
        <f>IF(C319=31,INDEX(Tabla1[Descripción], MATCH($A319, Tabla1[N Doc], 0)),"")</f>
        <v>#REF!</v>
      </c>
    </row>
    <row r="320" spans="1:13" x14ac:dyDescent="0.3">
      <c r="A320" t="e" cm="1">
        <f t="array" ref="A320">INDEX(Tabla1[N Doc], ROUNDUP((ROW()-1)/9, 0))</f>
        <v>#REF!</v>
      </c>
      <c r="B320" t="e">
        <f>IF(OR(A320="",A320=0),"",CHOOSE(
    COUNTIF($A$2:A320,A320),
    1,2,3,4,5,6,7,8,9
))</f>
        <v>#REF!</v>
      </c>
      <c r="C320" t="e">
        <f t="shared" si="4"/>
        <v>#REF!</v>
      </c>
      <c r="D320" s="7" t="e" cm="1">
        <f t="array" ref="D320">IF(OR($A320="",$A320=0),"",
IF(AND(INDEX(Formulario!$H$14:$H$100, $A320)="Si", C320&lt;&gt;31),
        VLOOKUP("cta puente",'Descripciones de gastos'!G:H, 2, FALSE),
IF(B320=1,
        INDEX(Tabla13[Titular], MATCH($A320, Tabla1[N Doc], 0)),
IF(B320=2,
        INDEX(Tabla1[Cuenta contable], MATCH($A320, Tabla1[N Doc], 0)),
IF(B320=3,
        INDEX(Tabla13[Cta Iva 22], MATCH($A320, Tabla1[N Doc], 0)),
IF(B320=4,
        INDEX(Tabla1[Cuenta contable], MATCH($A320, Tabla1[N Doc], 0)),
IF(B320=5,
        INDEX(Tabla13[Cta Iva 10], MATCH($A320, Tabla1[N Doc], 0)),
IF(B320=6,
        INDEX(Tabla1[Cuenta contable], MATCH($A320, Tabla1[N Doc], 0)),
IF(B320=7,
        INDEX(Tabla1[Cuenta contable], MATCH($A320, Tabla1[N Doc], 0)),
IF(B320=8,
        IF(INDEX(Tabla1[Tipo IVA], MATCH($A320, Tabla1[N Doc], 0))="22%",
             INDEX(Tabla13[Cta Iva 22], MATCH($A320, Tabla1[N Doc], 0)),
             INDEX(Tabla13[Cta Iva 10], MATCH($A320, Tabla1[N Doc], 0))),
IF(B320=9,
        INDEX(Tabla1[Cuenta contable], MATCH($A320, Tabla1[N Doc], 0))
)))))))))))</f>
        <v>#REF!</v>
      </c>
      <c r="F320" t="e">
        <f>IF(OR($A320="",$A320=0),"",IF(B320=1,
        INDEX(Tabla1[Importe total], MATCH($A320, Tabla1[N Doc], 0)),
IF(B320=2,
        INDEX(Tabla1[Base imponible 22], MATCH($A320, Tabla1[N Doc], 0)),
IF(B320=3,
        INDEX(Tabla1[Iva 22], MATCH($A320, Tabla1[N Doc], 0)),
IF(B320=4,
        INDEX(Tabla1[Base imponible 10], MATCH($A320, Tabla1[N Doc], 0)),
IF(B320=5,
        INDEX(Tabla1[Iva 10], MATCH($A320, Tabla1[N Doc], 0)),
IF(B320=6,
        INDEX(Tabla1[Exento], MATCH($A320, Tabla1[N Doc], 0)),
IF(B320=7,
        INDEX(#REF!, MATCH($A320, Tabla1[N Doc], 0)),
IF(B320=8,
        INDEX(#REF!, MATCH($A320, Tabla1[N Doc], 0)),
IF(B320=9,
        INDEX(Tabla1[Descuentos], MATCH($A320, Tabla1[N Doc], 0)),
""))))))))))</f>
        <v>#REF!</v>
      </c>
      <c r="G320" t="e">
        <f>IF(OR($A320="",$A320=0),"",IF(OR(B320=2,B320=4,B320=6,B320=7),
    INDEX(Tabla13[Ind impuestos], MATCH($A320, Tabla13[N Doc], 0)),
""))</f>
        <v>#REF!</v>
      </c>
      <c r="J320" t="e">
        <f>IF(OR($A320="",$A320=0),"",IF(OR(B320=2,B320=4,B320=6,B320=7),
    INDEX(Tabla1[CECO], MATCH($A320, Tabla1[N Doc], 0)),
""))</f>
        <v>#REF!</v>
      </c>
      <c r="M320" t="e">
        <f>IF(C320=31,INDEX(Tabla1[Descripción], MATCH($A320, Tabla1[N Doc], 0)),"")</f>
        <v>#REF!</v>
      </c>
    </row>
    <row r="321" spans="1:13" x14ac:dyDescent="0.3">
      <c r="A321" t="e" cm="1">
        <f t="array" ref="A321">INDEX(Tabla1[N Doc], ROUNDUP((ROW()-1)/9, 0))</f>
        <v>#REF!</v>
      </c>
      <c r="B321" t="e">
        <f>IF(OR(A321="",A321=0),"",CHOOSE(
    COUNTIF($A$2:A321,A321),
    1,2,3,4,5,6,7,8,9
))</f>
        <v>#REF!</v>
      </c>
      <c r="C321" t="e">
        <f t="shared" si="4"/>
        <v>#REF!</v>
      </c>
      <c r="D321" s="7" t="e" cm="1">
        <f t="array" ref="D321">IF(OR($A321="",$A321=0),"",
IF(AND(INDEX(Formulario!$H$14:$H$100, $A321)="Si", C321&lt;&gt;31),
        VLOOKUP("cta puente",'Descripciones de gastos'!G:H, 2, FALSE),
IF(B321=1,
        INDEX(Tabla13[Titular], MATCH($A321, Tabla1[N Doc], 0)),
IF(B321=2,
        INDEX(Tabla1[Cuenta contable], MATCH($A321, Tabla1[N Doc], 0)),
IF(B321=3,
        INDEX(Tabla13[Cta Iva 22], MATCH($A321, Tabla1[N Doc], 0)),
IF(B321=4,
        INDEX(Tabla1[Cuenta contable], MATCH($A321, Tabla1[N Doc], 0)),
IF(B321=5,
        INDEX(Tabla13[Cta Iva 10], MATCH($A321, Tabla1[N Doc], 0)),
IF(B321=6,
        INDEX(Tabla1[Cuenta contable], MATCH($A321, Tabla1[N Doc], 0)),
IF(B321=7,
        INDEX(Tabla1[Cuenta contable], MATCH($A321, Tabla1[N Doc], 0)),
IF(B321=8,
        IF(INDEX(Tabla1[Tipo IVA], MATCH($A321, Tabla1[N Doc], 0))="22%",
             INDEX(Tabla13[Cta Iva 22], MATCH($A321, Tabla1[N Doc], 0)),
             INDEX(Tabla13[Cta Iva 10], MATCH($A321, Tabla1[N Doc], 0))),
IF(B321=9,
        INDEX(Tabla1[Cuenta contable], MATCH($A321, Tabla1[N Doc], 0))
)))))))))))</f>
        <v>#REF!</v>
      </c>
      <c r="F321" t="e">
        <f>IF(OR($A321="",$A321=0),"",IF(B321=1,
        INDEX(Tabla1[Importe total], MATCH($A321, Tabla1[N Doc], 0)),
IF(B321=2,
        INDEX(Tabla1[Base imponible 22], MATCH($A321, Tabla1[N Doc], 0)),
IF(B321=3,
        INDEX(Tabla1[Iva 22], MATCH($A321, Tabla1[N Doc], 0)),
IF(B321=4,
        INDEX(Tabla1[Base imponible 10], MATCH($A321, Tabla1[N Doc], 0)),
IF(B321=5,
        INDEX(Tabla1[Iva 10], MATCH($A321, Tabla1[N Doc], 0)),
IF(B321=6,
        INDEX(Tabla1[Exento], MATCH($A321, Tabla1[N Doc], 0)),
IF(B321=7,
        INDEX(#REF!, MATCH($A321, Tabla1[N Doc], 0)),
IF(B321=8,
        INDEX(#REF!, MATCH($A321, Tabla1[N Doc], 0)),
IF(B321=9,
        INDEX(Tabla1[Descuentos], MATCH($A321, Tabla1[N Doc], 0)),
""))))))))))</f>
        <v>#REF!</v>
      </c>
      <c r="G321" t="e">
        <f>IF(OR($A321="",$A321=0),"",IF(OR(B321=2,B321=4,B321=6,B321=7),
    INDEX(Tabla13[Ind impuestos], MATCH($A321, Tabla13[N Doc], 0)),
""))</f>
        <v>#REF!</v>
      </c>
      <c r="J321" t="e">
        <f>IF(OR($A321="",$A321=0),"",IF(OR(B321=2,B321=4,B321=6,B321=7),
    INDEX(Tabla1[CECO], MATCH($A321, Tabla1[N Doc], 0)),
""))</f>
        <v>#REF!</v>
      </c>
      <c r="M321" t="e">
        <f>IF(C321=31,INDEX(Tabla1[Descripción], MATCH($A321, Tabla1[N Doc], 0)),"")</f>
        <v>#REF!</v>
      </c>
    </row>
    <row r="322" spans="1:13" x14ac:dyDescent="0.3">
      <c r="A322" t="e" cm="1">
        <f t="array" ref="A322">INDEX(Tabla1[N Doc], ROUNDUP((ROW()-1)/9, 0))</f>
        <v>#REF!</v>
      </c>
      <c r="B322" t="e">
        <f>IF(OR(A322="",A322=0),"",CHOOSE(
    COUNTIF($A$2:A322,A322),
    1,2,3,4,5,6,7,8,9
))</f>
        <v>#REF!</v>
      </c>
      <c r="C322" t="e">
        <f t="shared" si="4"/>
        <v>#REF!</v>
      </c>
      <c r="D322" s="7" t="e" cm="1">
        <f t="array" ref="D322">IF(OR($A322="",$A322=0),"",
IF(AND(INDEX(Formulario!$H$14:$H$100, $A322)="Si", C322&lt;&gt;31),
        VLOOKUP("cta puente",'Descripciones de gastos'!G:H, 2, FALSE),
IF(B322=1,
        INDEX(Tabla13[Titular], MATCH($A322, Tabla1[N Doc], 0)),
IF(B322=2,
        INDEX(Tabla1[Cuenta contable], MATCH($A322, Tabla1[N Doc], 0)),
IF(B322=3,
        INDEX(Tabla13[Cta Iva 22], MATCH($A322, Tabla1[N Doc], 0)),
IF(B322=4,
        INDEX(Tabla1[Cuenta contable], MATCH($A322, Tabla1[N Doc], 0)),
IF(B322=5,
        INDEX(Tabla13[Cta Iva 10], MATCH($A322, Tabla1[N Doc], 0)),
IF(B322=6,
        INDEX(Tabla1[Cuenta contable], MATCH($A322, Tabla1[N Doc], 0)),
IF(B322=7,
        INDEX(Tabla1[Cuenta contable], MATCH($A322, Tabla1[N Doc], 0)),
IF(B322=8,
        IF(INDEX(Tabla1[Tipo IVA], MATCH($A322, Tabla1[N Doc], 0))="22%",
             INDEX(Tabla13[Cta Iva 22], MATCH($A322, Tabla1[N Doc], 0)),
             INDEX(Tabla13[Cta Iva 10], MATCH($A322, Tabla1[N Doc], 0))),
IF(B322=9,
        INDEX(Tabla1[Cuenta contable], MATCH($A322, Tabla1[N Doc], 0))
)))))))))))</f>
        <v>#REF!</v>
      </c>
      <c r="F322" t="e">
        <f>IF(OR($A322="",$A322=0),"",IF(B322=1,
        INDEX(Tabla1[Importe total], MATCH($A322, Tabla1[N Doc], 0)),
IF(B322=2,
        INDEX(Tabla1[Base imponible 22], MATCH($A322, Tabla1[N Doc], 0)),
IF(B322=3,
        INDEX(Tabla1[Iva 22], MATCH($A322, Tabla1[N Doc], 0)),
IF(B322=4,
        INDEX(Tabla1[Base imponible 10], MATCH($A322, Tabla1[N Doc], 0)),
IF(B322=5,
        INDEX(Tabla1[Iva 10], MATCH($A322, Tabla1[N Doc], 0)),
IF(B322=6,
        INDEX(Tabla1[Exento], MATCH($A322, Tabla1[N Doc], 0)),
IF(B322=7,
        INDEX(#REF!, MATCH($A322, Tabla1[N Doc], 0)),
IF(B322=8,
        INDEX(#REF!, MATCH($A322, Tabla1[N Doc], 0)),
IF(B322=9,
        INDEX(Tabla1[Descuentos], MATCH($A322, Tabla1[N Doc], 0)),
""))))))))))</f>
        <v>#REF!</v>
      </c>
      <c r="G322" t="e">
        <f>IF(OR($A322="",$A322=0),"",IF(OR(B322=2,B322=4,B322=6,B322=7),
    INDEX(Tabla13[Ind impuestos], MATCH($A322, Tabla13[N Doc], 0)),
""))</f>
        <v>#REF!</v>
      </c>
      <c r="J322" t="e">
        <f>IF(OR($A322="",$A322=0),"",IF(OR(B322=2,B322=4,B322=6,B322=7),
    INDEX(Tabla1[CECO], MATCH($A322, Tabla1[N Doc], 0)),
""))</f>
        <v>#REF!</v>
      </c>
      <c r="M322" t="e">
        <f>IF(C322=31,INDEX(Tabla1[Descripción], MATCH($A322, Tabla1[N Doc], 0)),"")</f>
        <v>#REF!</v>
      </c>
    </row>
    <row r="323" spans="1:13" x14ac:dyDescent="0.3">
      <c r="A323" t="e" cm="1">
        <f t="array" ref="A323">INDEX(Tabla1[N Doc], ROUNDUP((ROW()-1)/9, 0))</f>
        <v>#REF!</v>
      </c>
      <c r="B323" t="e">
        <f>IF(OR(A323="",A323=0),"",CHOOSE(
    COUNTIF($A$2:A323,A323),
    1,2,3,4,5,6,7,8,9
))</f>
        <v>#REF!</v>
      </c>
      <c r="C323" t="e">
        <f t="shared" ref="C323:C372" si="5">IF(A323="","",IF(B323=1,31,IF(B323=9,50,40)))</f>
        <v>#REF!</v>
      </c>
      <c r="D323" s="7" t="e" cm="1">
        <f t="array" ref="D323">IF(OR($A323="",$A323=0),"",
IF(AND(INDEX(Formulario!$H$14:$H$100, $A323)="Si", C323&lt;&gt;31),
        VLOOKUP("cta puente",'Descripciones de gastos'!G:H, 2, FALSE),
IF(B323=1,
        INDEX(Tabla13[Titular], MATCH($A323, Tabla1[N Doc], 0)),
IF(B323=2,
        INDEX(Tabla1[Cuenta contable], MATCH($A323, Tabla1[N Doc], 0)),
IF(B323=3,
        INDEX(Tabla13[Cta Iva 22], MATCH($A323, Tabla1[N Doc], 0)),
IF(B323=4,
        INDEX(Tabla1[Cuenta contable], MATCH($A323, Tabla1[N Doc], 0)),
IF(B323=5,
        INDEX(Tabla13[Cta Iva 10], MATCH($A323, Tabla1[N Doc], 0)),
IF(B323=6,
        INDEX(Tabla1[Cuenta contable], MATCH($A323, Tabla1[N Doc], 0)),
IF(B323=7,
        INDEX(Tabla1[Cuenta contable], MATCH($A323, Tabla1[N Doc], 0)),
IF(B323=8,
        IF(INDEX(Tabla1[Tipo IVA], MATCH($A323, Tabla1[N Doc], 0))="22%",
             INDEX(Tabla13[Cta Iva 22], MATCH($A323, Tabla1[N Doc], 0)),
             INDEX(Tabla13[Cta Iva 10], MATCH($A323, Tabla1[N Doc], 0))),
IF(B323=9,
        INDEX(Tabla1[Cuenta contable], MATCH($A323, Tabla1[N Doc], 0))
)))))))))))</f>
        <v>#REF!</v>
      </c>
      <c r="F323" t="e">
        <f>IF(OR($A323="",$A323=0),"",IF(B323=1,
        INDEX(Tabla1[Importe total], MATCH($A323, Tabla1[N Doc], 0)),
IF(B323=2,
        INDEX(Tabla1[Base imponible 22], MATCH($A323, Tabla1[N Doc], 0)),
IF(B323=3,
        INDEX(Tabla1[Iva 22], MATCH($A323, Tabla1[N Doc], 0)),
IF(B323=4,
        INDEX(Tabla1[Base imponible 10], MATCH($A323, Tabla1[N Doc], 0)),
IF(B323=5,
        INDEX(Tabla1[Iva 10], MATCH($A323, Tabla1[N Doc], 0)),
IF(B323=6,
        INDEX(Tabla1[Exento], MATCH($A323, Tabla1[N Doc], 0)),
IF(B323=7,
        INDEX(#REF!, MATCH($A323, Tabla1[N Doc], 0)),
IF(B323=8,
        INDEX(#REF!, MATCH($A323, Tabla1[N Doc], 0)),
IF(B323=9,
        INDEX(Tabla1[Descuentos], MATCH($A323, Tabla1[N Doc], 0)),
""))))))))))</f>
        <v>#REF!</v>
      </c>
      <c r="G323" t="e">
        <f>IF(OR($A323="",$A323=0),"",IF(OR(B323=2,B323=4,B323=6,B323=7),
    INDEX(Tabla13[Ind impuestos], MATCH($A323, Tabla13[N Doc], 0)),
""))</f>
        <v>#REF!</v>
      </c>
      <c r="J323" t="e">
        <f>IF(OR($A323="",$A323=0),"",IF(OR(B323=2,B323=4,B323=6,B323=7),
    INDEX(Tabla1[CECO], MATCH($A323, Tabla1[N Doc], 0)),
""))</f>
        <v>#REF!</v>
      </c>
      <c r="M323" t="e">
        <f>IF(C323=31,INDEX(Tabla1[Descripción], MATCH($A323, Tabla1[N Doc], 0)),"")</f>
        <v>#REF!</v>
      </c>
    </row>
    <row r="324" spans="1:13" x14ac:dyDescent="0.3">
      <c r="A324" t="e" cm="1">
        <f t="array" ref="A324">INDEX(Tabla1[N Doc], ROUNDUP((ROW()-1)/9, 0))</f>
        <v>#REF!</v>
      </c>
      <c r="B324" t="e">
        <f>IF(OR(A324="",A324=0),"",CHOOSE(
    COUNTIF($A$2:A324,A324),
    1,2,3,4,5,6,7,8,9
))</f>
        <v>#REF!</v>
      </c>
      <c r="C324" t="e">
        <f t="shared" si="5"/>
        <v>#REF!</v>
      </c>
      <c r="D324" s="7" t="e" cm="1">
        <f t="array" ref="D324">IF(OR($A324="",$A324=0),"",
IF(AND(INDEX(Formulario!$H$14:$H$100, $A324)="Si", C324&lt;&gt;31),
        VLOOKUP("cta puente",'Descripciones de gastos'!G:H, 2, FALSE),
IF(B324=1,
        INDEX(Tabla13[Titular], MATCH($A324, Tabla1[N Doc], 0)),
IF(B324=2,
        INDEX(Tabla1[Cuenta contable], MATCH($A324, Tabla1[N Doc], 0)),
IF(B324=3,
        INDEX(Tabla13[Cta Iva 22], MATCH($A324, Tabla1[N Doc], 0)),
IF(B324=4,
        INDEX(Tabla1[Cuenta contable], MATCH($A324, Tabla1[N Doc], 0)),
IF(B324=5,
        INDEX(Tabla13[Cta Iva 10], MATCH($A324, Tabla1[N Doc], 0)),
IF(B324=6,
        INDEX(Tabla1[Cuenta contable], MATCH($A324, Tabla1[N Doc], 0)),
IF(B324=7,
        INDEX(Tabla1[Cuenta contable], MATCH($A324, Tabla1[N Doc], 0)),
IF(B324=8,
        IF(INDEX(Tabla1[Tipo IVA], MATCH($A324, Tabla1[N Doc], 0))="22%",
             INDEX(Tabla13[Cta Iva 22], MATCH($A324, Tabla1[N Doc], 0)),
             INDEX(Tabla13[Cta Iva 10], MATCH($A324, Tabla1[N Doc], 0))),
IF(B324=9,
        INDEX(Tabla1[Cuenta contable], MATCH($A324, Tabla1[N Doc], 0))
)))))))))))</f>
        <v>#REF!</v>
      </c>
      <c r="F324" t="e">
        <f>IF(OR($A324="",$A324=0),"",IF(B324=1,
        INDEX(Tabla1[Importe total], MATCH($A324, Tabla1[N Doc], 0)),
IF(B324=2,
        INDEX(Tabla1[Base imponible 22], MATCH($A324, Tabla1[N Doc], 0)),
IF(B324=3,
        INDEX(Tabla1[Iva 22], MATCH($A324, Tabla1[N Doc], 0)),
IF(B324=4,
        INDEX(Tabla1[Base imponible 10], MATCH($A324, Tabla1[N Doc], 0)),
IF(B324=5,
        INDEX(Tabla1[Iva 10], MATCH($A324, Tabla1[N Doc], 0)),
IF(B324=6,
        INDEX(Tabla1[Exento], MATCH($A324, Tabla1[N Doc], 0)),
IF(B324=7,
        INDEX(#REF!, MATCH($A324, Tabla1[N Doc], 0)),
IF(B324=8,
        INDEX(#REF!, MATCH($A324, Tabla1[N Doc], 0)),
IF(B324=9,
        INDEX(Tabla1[Descuentos], MATCH($A324, Tabla1[N Doc], 0)),
""))))))))))</f>
        <v>#REF!</v>
      </c>
      <c r="G324" t="e">
        <f>IF(OR($A324="",$A324=0),"",IF(OR(B324=2,B324=4,B324=6,B324=7),
    INDEX(Tabla13[Ind impuestos], MATCH($A324, Tabla13[N Doc], 0)),
""))</f>
        <v>#REF!</v>
      </c>
      <c r="J324" t="e">
        <f>IF(OR($A324="",$A324=0),"",IF(OR(B324=2,B324=4,B324=6,B324=7),
    INDEX(Tabla1[CECO], MATCH($A324, Tabla1[N Doc], 0)),
""))</f>
        <v>#REF!</v>
      </c>
      <c r="M324" t="e">
        <f>IF(C324=31,INDEX(Tabla1[Descripción], MATCH($A324, Tabla1[N Doc], 0)),"")</f>
        <v>#REF!</v>
      </c>
    </row>
    <row r="325" spans="1:13" x14ac:dyDescent="0.3">
      <c r="A325" t="e" cm="1">
        <f t="array" ref="A325">INDEX(Tabla1[N Doc], ROUNDUP((ROW()-1)/9, 0))</f>
        <v>#REF!</v>
      </c>
      <c r="B325" t="e">
        <f>IF(OR(A325="",A325=0),"",CHOOSE(
    COUNTIF($A$2:A325,A325),
    1,2,3,4,5,6,7,8,9
))</f>
        <v>#REF!</v>
      </c>
      <c r="C325" t="e">
        <f t="shared" si="5"/>
        <v>#REF!</v>
      </c>
      <c r="D325" s="7" t="e" cm="1">
        <f t="array" ref="D325">IF(OR($A325="",$A325=0),"",
IF(AND(INDEX(Formulario!$H$14:$H$100, $A325)="Si", C325&lt;&gt;31),
        VLOOKUP("cta puente",'Descripciones de gastos'!G:H, 2, FALSE),
IF(B325=1,
        INDEX(Tabla13[Titular], MATCH($A325, Tabla1[N Doc], 0)),
IF(B325=2,
        INDEX(Tabla1[Cuenta contable], MATCH($A325, Tabla1[N Doc], 0)),
IF(B325=3,
        INDEX(Tabla13[Cta Iva 22], MATCH($A325, Tabla1[N Doc], 0)),
IF(B325=4,
        INDEX(Tabla1[Cuenta contable], MATCH($A325, Tabla1[N Doc], 0)),
IF(B325=5,
        INDEX(Tabla13[Cta Iva 10], MATCH($A325, Tabla1[N Doc], 0)),
IF(B325=6,
        INDEX(Tabla1[Cuenta contable], MATCH($A325, Tabla1[N Doc], 0)),
IF(B325=7,
        INDEX(Tabla1[Cuenta contable], MATCH($A325, Tabla1[N Doc], 0)),
IF(B325=8,
        IF(INDEX(Tabla1[Tipo IVA], MATCH($A325, Tabla1[N Doc], 0))="22%",
             INDEX(Tabla13[Cta Iva 22], MATCH($A325, Tabla1[N Doc], 0)),
             INDEX(Tabla13[Cta Iva 10], MATCH($A325, Tabla1[N Doc], 0))),
IF(B325=9,
        INDEX(Tabla1[Cuenta contable], MATCH($A325, Tabla1[N Doc], 0))
)))))))))))</f>
        <v>#REF!</v>
      </c>
      <c r="F325" t="e">
        <f>IF(OR($A325="",$A325=0),"",IF(B325=1,
        INDEX(Tabla1[Importe total], MATCH($A325, Tabla1[N Doc], 0)),
IF(B325=2,
        INDEX(Tabla1[Base imponible 22], MATCH($A325, Tabla1[N Doc], 0)),
IF(B325=3,
        INDEX(Tabla1[Iva 22], MATCH($A325, Tabla1[N Doc], 0)),
IF(B325=4,
        INDEX(Tabla1[Base imponible 10], MATCH($A325, Tabla1[N Doc], 0)),
IF(B325=5,
        INDEX(Tabla1[Iva 10], MATCH($A325, Tabla1[N Doc], 0)),
IF(B325=6,
        INDEX(Tabla1[Exento], MATCH($A325, Tabla1[N Doc], 0)),
IF(B325=7,
        INDEX(#REF!, MATCH($A325, Tabla1[N Doc], 0)),
IF(B325=8,
        INDEX(#REF!, MATCH($A325, Tabla1[N Doc], 0)),
IF(B325=9,
        INDEX(Tabla1[Descuentos], MATCH($A325, Tabla1[N Doc], 0)),
""))))))))))</f>
        <v>#REF!</v>
      </c>
      <c r="G325" t="e">
        <f>IF(OR($A325="",$A325=0),"",IF(OR(B325=2,B325=4,B325=6,B325=7),
    INDEX(Tabla13[Ind impuestos], MATCH($A325, Tabla13[N Doc], 0)),
""))</f>
        <v>#REF!</v>
      </c>
      <c r="J325" t="e">
        <f>IF(OR($A325="",$A325=0),"",IF(OR(B325=2,B325=4,B325=6,B325=7),
    INDEX(Tabla1[CECO], MATCH($A325, Tabla1[N Doc], 0)),
""))</f>
        <v>#REF!</v>
      </c>
      <c r="M325" t="e">
        <f>IF(C325=31,INDEX(Tabla1[Descripción], MATCH($A325, Tabla1[N Doc], 0)),"")</f>
        <v>#REF!</v>
      </c>
    </row>
    <row r="326" spans="1:13" x14ac:dyDescent="0.3">
      <c r="A326" t="e" cm="1">
        <f t="array" ref="A326">INDEX(Tabla1[N Doc], ROUNDUP((ROW()-1)/9, 0))</f>
        <v>#REF!</v>
      </c>
      <c r="B326" t="e">
        <f>IF(OR(A326="",A326=0),"",CHOOSE(
    COUNTIF($A$2:A326,A326),
    1,2,3,4,5,6,7,8,9
))</f>
        <v>#REF!</v>
      </c>
      <c r="C326" t="e">
        <f t="shared" si="5"/>
        <v>#REF!</v>
      </c>
      <c r="D326" s="7" t="e" cm="1">
        <f t="array" ref="D326">IF(OR($A326="",$A326=0),"",
IF(AND(INDEX(Formulario!$H$14:$H$100, $A326)="Si", C326&lt;&gt;31),
        VLOOKUP("cta puente",'Descripciones de gastos'!G:H, 2, FALSE),
IF(B326=1,
        INDEX(Tabla13[Titular], MATCH($A326, Tabla1[N Doc], 0)),
IF(B326=2,
        INDEX(Tabla1[Cuenta contable], MATCH($A326, Tabla1[N Doc], 0)),
IF(B326=3,
        INDEX(Tabla13[Cta Iva 22], MATCH($A326, Tabla1[N Doc], 0)),
IF(B326=4,
        INDEX(Tabla1[Cuenta contable], MATCH($A326, Tabla1[N Doc], 0)),
IF(B326=5,
        INDEX(Tabla13[Cta Iva 10], MATCH($A326, Tabla1[N Doc], 0)),
IF(B326=6,
        INDEX(Tabla1[Cuenta contable], MATCH($A326, Tabla1[N Doc], 0)),
IF(B326=7,
        INDEX(Tabla1[Cuenta contable], MATCH($A326, Tabla1[N Doc], 0)),
IF(B326=8,
        IF(INDEX(Tabla1[Tipo IVA], MATCH($A326, Tabla1[N Doc], 0))="22%",
             INDEX(Tabla13[Cta Iva 22], MATCH($A326, Tabla1[N Doc], 0)),
             INDEX(Tabla13[Cta Iva 10], MATCH($A326, Tabla1[N Doc], 0))),
IF(B326=9,
        INDEX(Tabla1[Cuenta contable], MATCH($A326, Tabla1[N Doc], 0))
)))))))))))</f>
        <v>#REF!</v>
      </c>
      <c r="F326" t="e">
        <f>IF(OR($A326="",$A326=0),"",IF(B326=1,
        INDEX(Tabla1[Importe total], MATCH($A326, Tabla1[N Doc], 0)),
IF(B326=2,
        INDEX(Tabla1[Base imponible 22], MATCH($A326, Tabla1[N Doc], 0)),
IF(B326=3,
        INDEX(Tabla1[Iva 22], MATCH($A326, Tabla1[N Doc], 0)),
IF(B326=4,
        INDEX(Tabla1[Base imponible 10], MATCH($A326, Tabla1[N Doc], 0)),
IF(B326=5,
        INDEX(Tabla1[Iva 10], MATCH($A326, Tabla1[N Doc], 0)),
IF(B326=6,
        INDEX(Tabla1[Exento], MATCH($A326, Tabla1[N Doc], 0)),
IF(B326=7,
        INDEX(#REF!, MATCH($A326, Tabla1[N Doc], 0)),
IF(B326=8,
        INDEX(#REF!, MATCH($A326, Tabla1[N Doc], 0)),
IF(B326=9,
        INDEX(Tabla1[Descuentos], MATCH($A326, Tabla1[N Doc], 0)),
""))))))))))</f>
        <v>#REF!</v>
      </c>
      <c r="G326" t="e">
        <f>IF(OR($A326="",$A326=0),"",IF(OR(B326=2,B326=4,B326=6,B326=7),
    INDEX(Tabla13[Ind impuestos], MATCH($A326, Tabla13[N Doc], 0)),
""))</f>
        <v>#REF!</v>
      </c>
      <c r="J326" t="e">
        <f>IF(OR($A326="",$A326=0),"",IF(OR(B326=2,B326=4,B326=6,B326=7),
    INDEX(Tabla1[CECO], MATCH($A326, Tabla1[N Doc], 0)),
""))</f>
        <v>#REF!</v>
      </c>
      <c r="M326" t="e">
        <f>IF(C326=31,INDEX(Tabla1[Descripción], MATCH($A326, Tabla1[N Doc], 0)),"")</f>
        <v>#REF!</v>
      </c>
    </row>
    <row r="327" spans="1:13" x14ac:dyDescent="0.3">
      <c r="A327" t="e" cm="1">
        <f t="array" ref="A327">INDEX(Tabla1[N Doc], ROUNDUP((ROW()-1)/9, 0))</f>
        <v>#REF!</v>
      </c>
      <c r="B327" t="e">
        <f>IF(OR(A327="",A327=0),"",CHOOSE(
    COUNTIF($A$2:A327,A327),
    1,2,3,4,5,6,7,8,9
))</f>
        <v>#REF!</v>
      </c>
      <c r="C327" t="e">
        <f t="shared" si="5"/>
        <v>#REF!</v>
      </c>
      <c r="D327" s="7" t="e" cm="1">
        <f t="array" ref="D327">IF(OR($A327="",$A327=0),"",
IF(AND(INDEX(Formulario!$H$14:$H$100, $A327)="Si", C327&lt;&gt;31),
        VLOOKUP("cta puente",'Descripciones de gastos'!G:H, 2, FALSE),
IF(B327=1,
        INDEX(Tabla13[Titular], MATCH($A327, Tabla1[N Doc], 0)),
IF(B327=2,
        INDEX(Tabla1[Cuenta contable], MATCH($A327, Tabla1[N Doc], 0)),
IF(B327=3,
        INDEX(Tabla13[Cta Iva 22], MATCH($A327, Tabla1[N Doc], 0)),
IF(B327=4,
        INDEX(Tabla1[Cuenta contable], MATCH($A327, Tabla1[N Doc], 0)),
IF(B327=5,
        INDEX(Tabla13[Cta Iva 10], MATCH($A327, Tabla1[N Doc], 0)),
IF(B327=6,
        INDEX(Tabla1[Cuenta contable], MATCH($A327, Tabla1[N Doc], 0)),
IF(B327=7,
        INDEX(Tabla1[Cuenta contable], MATCH($A327, Tabla1[N Doc], 0)),
IF(B327=8,
        IF(INDEX(Tabla1[Tipo IVA], MATCH($A327, Tabla1[N Doc], 0))="22%",
             INDEX(Tabla13[Cta Iva 22], MATCH($A327, Tabla1[N Doc], 0)),
             INDEX(Tabla13[Cta Iva 10], MATCH($A327, Tabla1[N Doc], 0))),
IF(B327=9,
        INDEX(Tabla1[Cuenta contable], MATCH($A327, Tabla1[N Doc], 0))
)))))))))))</f>
        <v>#REF!</v>
      </c>
      <c r="F327" t="e">
        <f>IF(OR($A327="",$A327=0),"",IF(B327=1,
        INDEX(Tabla1[Importe total], MATCH($A327, Tabla1[N Doc], 0)),
IF(B327=2,
        INDEX(Tabla1[Base imponible 22], MATCH($A327, Tabla1[N Doc], 0)),
IF(B327=3,
        INDEX(Tabla1[Iva 22], MATCH($A327, Tabla1[N Doc], 0)),
IF(B327=4,
        INDEX(Tabla1[Base imponible 10], MATCH($A327, Tabla1[N Doc], 0)),
IF(B327=5,
        INDEX(Tabla1[Iva 10], MATCH($A327, Tabla1[N Doc], 0)),
IF(B327=6,
        INDEX(Tabla1[Exento], MATCH($A327, Tabla1[N Doc], 0)),
IF(B327=7,
        INDEX(#REF!, MATCH($A327, Tabla1[N Doc], 0)),
IF(B327=8,
        INDEX(#REF!, MATCH($A327, Tabla1[N Doc], 0)),
IF(B327=9,
        INDEX(Tabla1[Descuentos], MATCH($A327, Tabla1[N Doc], 0)),
""))))))))))</f>
        <v>#REF!</v>
      </c>
      <c r="G327" t="e">
        <f>IF(OR($A327="",$A327=0),"",IF(OR(B327=2,B327=4,B327=6,B327=7),
    INDEX(Tabla13[Ind impuestos], MATCH($A327, Tabla13[N Doc], 0)),
""))</f>
        <v>#REF!</v>
      </c>
      <c r="J327" t="e">
        <f>IF(OR($A327="",$A327=0),"",IF(OR(B327=2,B327=4,B327=6,B327=7),
    INDEX(Tabla1[CECO], MATCH($A327, Tabla1[N Doc], 0)),
""))</f>
        <v>#REF!</v>
      </c>
      <c r="M327" t="e">
        <f>IF(C327=31,INDEX(Tabla1[Descripción], MATCH($A327, Tabla1[N Doc], 0)),"")</f>
        <v>#REF!</v>
      </c>
    </row>
    <row r="328" spans="1:13" x14ac:dyDescent="0.3">
      <c r="A328" t="e" cm="1">
        <f t="array" ref="A328">INDEX(Tabla1[N Doc], ROUNDUP((ROW()-1)/9, 0))</f>
        <v>#REF!</v>
      </c>
      <c r="B328" t="e">
        <f>IF(OR(A328="",A328=0),"",CHOOSE(
    COUNTIF($A$2:A328,A328),
    1,2,3,4,5,6,7,8,9
))</f>
        <v>#REF!</v>
      </c>
      <c r="C328" t="e">
        <f t="shared" si="5"/>
        <v>#REF!</v>
      </c>
      <c r="D328" s="7" t="e" cm="1">
        <f t="array" ref="D328">IF(OR($A328="",$A328=0),"",
IF(AND(INDEX(Formulario!$H$14:$H$100, $A328)="Si", C328&lt;&gt;31),
        VLOOKUP("cta puente",'Descripciones de gastos'!G:H, 2, FALSE),
IF(B328=1,
        INDEX(Tabla13[Titular], MATCH($A328, Tabla1[N Doc], 0)),
IF(B328=2,
        INDEX(Tabla1[Cuenta contable], MATCH($A328, Tabla1[N Doc], 0)),
IF(B328=3,
        INDEX(Tabla13[Cta Iva 22], MATCH($A328, Tabla1[N Doc], 0)),
IF(B328=4,
        INDEX(Tabla1[Cuenta contable], MATCH($A328, Tabla1[N Doc], 0)),
IF(B328=5,
        INDEX(Tabla13[Cta Iva 10], MATCH($A328, Tabla1[N Doc], 0)),
IF(B328=6,
        INDEX(Tabla1[Cuenta contable], MATCH($A328, Tabla1[N Doc], 0)),
IF(B328=7,
        INDEX(Tabla1[Cuenta contable], MATCH($A328, Tabla1[N Doc], 0)),
IF(B328=8,
        IF(INDEX(Tabla1[Tipo IVA], MATCH($A328, Tabla1[N Doc], 0))="22%",
             INDEX(Tabla13[Cta Iva 22], MATCH($A328, Tabla1[N Doc], 0)),
             INDEX(Tabla13[Cta Iva 10], MATCH($A328, Tabla1[N Doc], 0))),
IF(B328=9,
        INDEX(Tabla1[Cuenta contable], MATCH($A328, Tabla1[N Doc], 0))
)))))))))))</f>
        <v>#REF!</v>
      </c>
      <c r="F328" t="e">
        <f>IF(OR($A328="",$A328=0),"",IF(B328=1,
        INDEX(Tabla1[Importe total], MATCH($A328, Tabla1[N Doc], 0)),
IF(B328=2,
        INDEX(Tabla1[Base imponible 22], MATCH($A328, Tabla1[N Doc], 0)),
IF(B328=3,
        INDEX(Tabla1[Iva 22], MATCH($A328, Tabla1[N Doc], 0)),
IF(B328=4,
        INDEX(Tabla1[Base imponible 10], MATCH($A328, Tabla1[N Doc], 0)),
IF(B328=5,
        INDEX(Tabla1[Iva 10], MATCH($A328, Tabla1[N Doc], 0)),
IF(B328=6,
        INDEX(Tabla1[Exento], MATCH($A328, Tabla1[N Doc], 0)),
IF(B328=7,
        INDEX(#REF!, MATCH($A328, Tabla1[N Doc], 0)),
IF(B328=8,
        INDEX(#REF!, MATCH($A328, Tabla1[N Doc], 0)),
IF(B328=9,
        INDEX(Tabla1[Descuentos], MATCH($A328, Tabla1[N Doc], 0)),
""))))))))))</f>
        <v>#REF!</v>
      </c>
      <c r="G328" t="e">
        <f>IF(OR($A328="",$A328=0),"",IF(OR(B328=2,B328=4,B328=6,B328=7),
    INDEX(Tabla13[Ind impuestos], MATCH($A328, Tabla13[N Doc], 0)),
""))</f>
        <v>#REF!</v>
      </c>
      <c r="J328" t="e">
        <f>IF(OR($A328="",$A328=0),"",IF(OR(B328=2,B328=4,B328=6,B328=7),
    INDEX(Tabla1[CECO], MATCH($A328, Tabla1[N Doc], 0)),
""))</f>
        <v>#REF!</v>
      </c>
      <c r="M328" t="e">
        <f>IF(C328=31,INDEX(Tabla1[Descripción], MATCH($A328, Tabla1[N Doc], 0)),"")</f>
        <v>#REF!</v>
      </c>
    </row>
    <row r="329" spans="1:13" x14ac:dyDescent="0.3">
      <c r="A329" t="e" cm="1">
        <f t="array" ref="A329">INDEX(Tabla1[N Doc], ROUNDUP((ROW()-1)/9, 0))</f>
        <v>#REF!</v>
      </c>
      <c r="B329" t="e">
        <f>IF(OR(A329="",A329=0),"",CHOOSE(
    COUNTIF($A$2:A329,A329),
    1,2,3,4,5,6,7,8,9
))</f>
        <v>#REF!</v>
      </c>
      <c r="C329" t="e">
        <f t="shared" si="5"/>
        <v>#REF!</v>
      </c>
      <c r="D329" s="7" t="e" cm="1">
        <f t="array" ref="D329">IF(OR($A329="",$A329=0),"",
IF(AND(INDEX(Formulario!$H$14:$H$100, $A329)="Si", C329&lt;&gt;31),
        VLOOKUP("cta puente",'Descripciones de gastos'!G:H, 2, FALSE),
IF(B329=1,
        INDEX(Tabla13[Titular], MATCH($A329, Tabla1[N Doc], 0)),
IF(B329=2,
        INDEX(Tabla1[Cuenta contable], MATCH($A329, Tabla1[N Doc], 0)),
IF(B329=3,
        INDEX(Tabla13[Cta Iva 22], MATCH($A329, Tabla1[N Doc], 0)),
IF(B329=4,
        INDEX(Tabla1[Cuenta contable], MATCH($A329, Tabla1[N Doc], 0)),
IF(B329=5,
        INDEX(Tabla13[Cta Iva 10], MATCH($A329, Tabla1[N Doc], 0)),
IF(B329=6,
        INDEX(Tabla1[Cuenta contable], MATCH($A329, Tabla1[N Doc], 0)),
IF(B329=7,
        INDEX(Tabla1[Cuenta contable], MATCH($A329, Tabla1[N Doc], 0)),
IF(B329=8,
        IF(INDEX(Tabla1[Tipo IVA], MATCH($A329, Tabla1[N Doc], 0))="22%",
             INDEX(Tabla13[Cta Iva 22], MATCH($A329, Tabla1[N Doc], 0)),
             INDEX(Tabla13[Cta Iva 10], MATCH($A329, Tabla1[N Doc], 0))),
IF(B329=9,
        INDEX(Tabla1[Cuenta contable], MATCH($A329, Tabla1[N Doc], 0))
)))))))))))</f>
        <v>#REF!</v>
      </c>
      <c r="F329" t="e">
        <f>IF(OR($A329="",$A329=0),"",IF(B329=1,
        INDEX(Tabla1[Importe total], MATCH($A329, Tabla1[N Doc], 0)),
IF(B329=2,
        INDEX(Tabla1[Base imponible 22], MATCH($A329, Tabla1[N Doc], 0)),
IF(B329=3,
        INDEX(Tabla1[Iva 22], MATCH($A329, Tabla1[N Doc], 0)),
IF(B329=4,
        INDEX(Tabla1[Base imponible 10], MATCH($A329, Tabla1[N Doc], 0)),
IF(B329=5,
        INDEX(Tabla1[Iva 10], MATCH($A329, Tabla1[N Doc], 0)),
IF(B329=6,
        INDEX(Tabla1[Exento], MATCH($A329, Tabla1[N Doc], 0)),
IF(B329=7,
        INDEX(#REF!, MATCH($A329, Tabla1[N Doc], 0)),
IF(B329=8,
        INDEX(#REF!, MATCH($A329, Tabla1[N Doc], 0)),
IF(B329=9,
        INDEX(Tabla1[Descuentos], MATCH($A329, Tabla1[N Doc], 0)),
""))))))))))</f>
        <v>#REF!</v>
      </c>
      <c r="G329" t="e">
        <f>IF(OR($A329="",$A329=0),"",IF(OR(B329=2,B329=4,B329=6,B329=7),
    INDEX(Tabla13[Ind impuestos], MATCH($A329, Tabla13[N Doc], 0)),
""))</f>
        <v>#REF!</v>
      </c>
      <c r="J329" t="e">
        <f>IF(OR($A329="",$A329=0),"",IF(OR(B329=2,B329=4,B329=6,B329=7),
    INDEX(Tabla1[CECO], MATCH($A329, Tabla1[N Doc], 0)),
""))</f>
        <v>#REF!</v>
      </c>
      <c r="M329" t="e">
        <f>IF(C329=31,INDEX(Tabla1[Descripción], MATCH($A329, Tabla1[N Doc], 0)),"")</f>
        <v>#REF!</v>
      </c>
    </row>
    <row r="330" spans="1:13" x14ac:dyDescent="0.3">
      <c r="A330" t="e" cm="1">
        <f t="array" ref="A330">INDEX(Tabla1[N Doc], ROUNDUP((ROW()-1)/9, 0))</f>
        <v>#REF!</v>
      </c>
      <c r="B330" t="e">
        <f>IF(OR(A330="",A330=0),"",CHOOSE(
    COUNTIF($A$2:A330,A330),
    1,2,3,4,5,6,7,8,9
))</f>
        <v>#REF!</v>
      </c>
      <c r="C330" t="e">
        <f t="shared" si="5"/>
        <v>#REF!</v>
      </c>
      <c r="D330" s="7" t="e" cm="1">
        <f t="array" ref="D330">IF(OR($A330="",$A330=0),"",
IF(AND(INDEX(Formulario!$H$14:$H$100, $A330)="Si", C330&lt;&gt;31),
        VLOOKUP("cta puente",'Descripciones de gastos'!G:H, 2, FALSE),
IF(B330=1,
        INDEX(Tabla13[Titular], MATCH($A330, Tabla1[N Doc], 0)),
IF(B330=2,
        INDEX(Tabla1[Cuenta contable], MATCH($A330, Tabla1[N Doc], 0)),
IF(B330=3,
        INDEX(Tabla13[Cta Iva 22], MATCH($A330, Tabla1[N Doc], 0)),
IF(B330=4,
        INDEX(Tabla1[Cuenta contable], MATCH($A330, Tabla1[N Doc], 0)),
IF(B330=5,
        INDEX(Tabla13[Cta Iva 10], MATCH($A330, Tabla1[N Doc], 0)),
IF(B330=6,
        INDEX(Tabla1[Cuenta contable], MATCH($A330, Tabla1[N Doc], 0)),
IF(B330=7,
        INDEX(Tabla1[Cuenta contable], MATCH($A330, Tabla1[N Doc], 0)),
IF(B330=8,
        IF(INDEX(Tabla1[Tipo IVA], MATCH($A330, Tabla1[N Doc], 0))="22%",
             INDEX(Tabla13[Cta Iva 22], MATCH($A330, Tabla1[N Doc], 0)),
             INDEX(Tabla13[Cta Iva 10], MATCH($A330, Tabla1[N Doc], 0))),
IF(B330=9,
        INDEX(Tabla1[Cuenta contable], MATCH($A330, Tabla1[N Doc], 0))
)))))))))))</f>
        <v>#REF!</v>
      </c>
      <c r="F330" t="e">
        <f>IF(OR($A330="",$A330=0),"",IF(B330=1,
        INDEX(Tabla1[Importe total], MATCH($A330, Tabla1[N Doc], 0)),
IF(B330=2,
        INDEX(Tabla1[Base imponible 22], MATCH($A330, Tabla1[N Doc], 0)),
IF(B330=3,
        INDEX(Tabla1[Iva 22], MATCH($A330, Tabla1[N Doc], 0)),
IF(B330=4,
        INDEX(Tabla1[Base imponible 10], MATCH($A330, Tabla1[N Doc], 0)),
IF(B330=5,
        INDEX(Tabla1[Iva 10], MATCH($A330, Tabla1[N Doc], 0)),
IF(B330=6,
        INDEX(Tabla1[Exento], MATCH($A330, Tabla1[N Doc], 0)),
IF(B330=7,
        INDEX(#REF!, MATCH($A330, Tabla1[N Doc], 0)),
IF(B330=8,
        INDEX(#REF!, MATCH($A330, Tabla1[N Doc], 0)),
IF(B330=9,
        INDEX(Tabla1[Descuentos], MATCH($A330, Tabla1[N Doc], 0)),
""))))))))))</f>
        <v>#REF!</v>
      </c>
      <c r="G330" t="e">
        <f>IF(OR($A330="",$A330=0),"",IF(OR(B330=2,B330=4,B330=6,B330=7),
    INDEX(Tabla13[Ind impuestos], MATCH($A330, Tabla13[N Doc], 0)),
""))</f>
        <v>#REF!</v>
      </c>
      <c r="J330" t="e">
        <f>IF(OR($A330="",$A330=0),"",IF(OR(B330=2,B330=4,B330=6,B330=7),
    INDEX(Tabla1[CECO], MATCH($A330, Tabla1[N Doc], 0)),
""))</f>
        <v>#REF!</v>
      </c>
      <c r="M330" t="e">
        <f>IF(C330=31,INDEX(Tabla1[Descripción], MATCH($A330, Tabla1[N Doc], 0)),"")</f>
        <v>#REF!</v>
      </c>
    </row>
    <row r="331" spans="1:13" x14ac:dyDescent="0.3">
      <c r="A331" t="e" cm="1">
        <f t="array" ref="A331">INDEX(Tabla1[N Doc], ROUNDUP((ROW()-1)/9, 0))</f>
        <v>#REF!</v>
      </c>
      <c r="B331" t="e">
        <f>IF(OR(A331="",A331=0),"",CHOOSE(
    COUNTIF($A$2:A331,A331),
    1,2,3,4,5,6,7,8,9
))</f>
        <v>#REF!</v>
      </c>
      <c r="C331" t="e">
        <f t="shared" si="5"/>
        <v>#REF!</v>
      </c>
      <c r="D331" s="7" t="e" cm="1">
        <f t="array" ref="D331">IF(OR($A331="",$A331=0),"",
IF(AND(INDEX(Formulario!$H$14:$H$100, $A331)="Si", C331&lt;&gt;31),
        VLOOKUP("cta puente",'Descripciones de gastos'!G:H, 2, FALSE),
IF(B331=1,
        INDEX(Tabla13[Titular], MATCH($A331, Tabla1[N Doc], 0)),
IF(B331=2,
        INDEX(Tabla1[Cuenta contable], MATCH($A331, Tabla1[N Doc], 0)),
IF(B331=3,
        INDEX(Tabla13[Cta Iva 22], MATCH($A331, Tabla1[N Doc], 0)),
IF(B331=4,
        INDEX(Tabla1[Cuenta contable], MATCH($A331, Tabla1[N Doc], 0)),
IF(B331=5,
        INDEX(Tabla13[Cta Iva 10], MATCH($A331, Tabla1[N Doc], 0)),
IF(B331=6,
        INDEX(Tabla1[Cuenta contable], MATCH($A331, Tabla1[N Doc], 0)),
IF(B331=7,
        INDEX(Tabla1[Cuenta contable], MATCH($A331, Tabla1[N Doc], 0)),
IF(B331=8,
        IF(INDEX(Tabla1[Tipo IVA], MATCH($A331, Tabla1[N Doc], 0))="22%",
             INDEX(Tabla13[Cta Iva 22], MATCH($A331, Tabla1[N Doc], 0)),
             INDEX(Tabla13[Cta Iva 10], MATCH($A331, Tabla1[N Doc], 0))),
IF(B331=9,
        INDEX(Tabla1[Cuenta contable], MATCH($A331, Tabla1[N Doc], 0))
)))))))))))</f>
        <v>#REF!</v>
      </c>
      <c r="F331" t="e">
        <f>IF(OR($A331="",$A331=0),"",IF(B331=1,
        INDEX(Tabla1[Importe total], MATCH($A331, Tabla1[N Doc], 0)),
IF(B331=2,
        INDEX(Tabla1[Base imponible 22], MATCH($A331, Tabla1[N Doc], 0)),
IF(B331=3,
        INDEX(Tabla1[Iva 22], MATCH($A331, Tabla1[N Doc], 0)),
IF(B331=4,
        INDEX(Tabla1[Base imponible 10], MATCH($A331, Tabla1[N Doc], 0)),
IF(B331=5,
        INDEX(Tabla1[Iva 10], MATCH($A331, Tabla1[N Doc], 0)),
IF(B331=6,
        INDEX(Tabla1[Exento], MATCH($A331, Tabla1[N Doc], 0)),
IF(B331=7,
        INDEX(#REF!, MATCH($A331, Tabla1[N Doc], 0)),
IF(B331=8,
        INDEX(#REF!, MATCH($A331, Tabla1[N Doc], 0)),
IF(B331=9,
        INDEX(Tabla1[Descuentos], MATCH($A331, Tabla1[N Doc], 0)),
""))))))))))</f>
        <v>#REF!</v>
      </c>
      <c r="G331" t="e">
        <f>IF(OR($A331="",$A331=0),"",IF(OR(B331=2,B331=4,B331=6,B331=7),
    INDEX(Tabla13[Ind impuestos], MATCH($A331, Tabla13[N Doc], 0)),
""))</f>
        <v>#REF!</v>
      </c>
      <c r="J331" t="e">
        <f>IF(OR($A331="",$A331=0),"",IF(OR(B331=2,B331=4,B331=6,B331=7),
    INDEX(Tabla1[CECO], MATCH($A331, Tabla1[N Doc], 0)),
""))</f>
        <v>#REF!</v>
      </c>
      <c r="M331" t="e">
        <f>IF(C331=31,INDEX(Tabla1[Descripción], MATCH($A331, Tabla1[N Doc], 0)),"")</f>
        <v>#REF!</v>
      </c>
    </row>
    <row r="332" spans="1:13" x14ac:dyDescent="0.3">
      <c r="A332" t="e" cm="1">
        <f t="array" ref="A332">INDEX(Tabla1[N Doc], ROUNDUP((ROW()-1)/9, 0))</f>
        <v>#REF!</v>
      </c>
      <c r="B332" t="e">
        <f>IF(OR(A332="",A332=0),"",CHOOSE(
    COUNTIF($A$2:A332,A332),
    1,2,3,4,5,6,7,8,9
))</f>
        <v>#REF!</v>
      </c>
      <c r="C332" t="e">
        <f t="shared" si="5"/>
        <v>#REF!</v>
      </c>
      <c r="D332" s="7" t="e" cm="1">
        <f t="array" ref="D332">IF(OR($A332="",$A332=0),"",
IF(AND(INDEX(Formulario!$H$14:$H$100, $A332)="Si", C332&lt;&gt;31),
        VLOOKUP("cta puente",'Descripciones de gastos'!G:H, 2, FALSE),
IF(B332=1,
        INDEX(Tabla13[Titular], MATCH($A332, Tabla1[N Doc], 0)),
IF(B332=2,
        INDEX(Tabla1[Cuenta contable], MATCH($A332, Tabla1[N Doc], 0)),
IF(B332=3,
        INDEX(Tabla13[Cta Iva 22], MATCH($A332, Tabla1[N Doc], 0)),
IF(B332=4,
        INDEX(Tabla1[Cuenta contable], MATCH($A332, Tabla1[N Doc], 0)),
IF(B332=5,
        INDEX(Tabla13[Cta Iva 10], MATCH($A332, Tabla1[N Doc], 0)),
IF(B332=6,
        INDEX(Tabla1[Cuenta contable], MATCH($A332, Tabla1[N Doc], 0)),
IF(B332=7,
        INDEX(Tabla1[Cuenta contable], MATCH($A332, Tabla1[N Doc], 0)),
IF(B332=8,
        IF(INDEX(Tabla1[Tipo IVA], MATCH($A332, Tabla1[N Doc], 0))="22%",
             INDEX(Tabla13[Cta Iva 22], MATCH($A332, Tabla1[N Doc], 0)),
             INDEX(Tabla13[Cta Iva 10], MATCH($A332, Tabla1[N Doc], 0))),
IF(B332=9,
        INDEX(Tabla1[Cuenta contable], MATCH($A332, Tabla1[N Doc], 0))
)))))))))))</f>
        <v>#REF!</v>
      </c>
      <c r="F332" t="e">
        <f>IF(OR($A332="",$A332=0),"",IF(B332=1,
        INDEX(Tabla1[Importe total], MATCH($A332, Tabla1[N Doc], 0)),
IF(B332=2,
        INDEX(Tabla1[Base imponible 22], MATCH($A332, Tabla1[N Doc], 0)),
IF(B332=3,
        INDEX(Tabla1[Iva 22], MATCH($A332, Tabla1[N Doc], 0)),
IF(B332=4,
        INDEX(Tabla1[Base imponible 10], MATCH($A332, Tabla1[N Doc], 0)),
IF(B332=5,
        INDEX(Tabla1[Iva 10], MATCH($A332, Tabla1[N Doc], 0)),
IF(B332=6,
        INDEX(Tabla1[Exento], MATCH($A332, Tabla1[N Doc], 0)),
IF(B332=7,
        INDEX(#REF!, MATCH($A332, Tabla1[N Doc], 0)),
IF(B332=8,
        INDEX(#REF!, MATCH($A332, Tabla1[N Doc], 0)),
IF(B332=9,
        INDEX(Tabla1[Descuentos], MATCH($A332, Tabla1[N Doc], 0)),
""))))))))))</f>
        <v>#REF!</v>
      </c>
      <c r="G332" t="e">
        <f>IF(OR($A332="",$A332=0),"",IF(OR(B332=2,B332=4,B332=6,B332=7),
    INDEX(Tabla13[Ind impuestos], MATCH($A332, Tabla13[N Doc], 0)),
""))</f>
        <v>#REF!</v>
      </c>
      <c r="J332" t="e">
        <f>IF(OR($A332="",$A332=0),"",IF(OR(B332=2,B332=4,B332=6,B332=7),
    INDEX(Tabla1[CECO], MATCH($A332, Tabla1[N Doc], 0)),
""))</f>
        <v>#REF!</v>
      </c>
      <c r="M332" t="e">
        <f>IF(C332=31,INDEX(Tabla1[Descripción], MATCH($A332, Tabla1[N Doc], 0)),"")</f>
        <v>#REF!</v>
      </c>
    </row>
    <row r="333" spans="1:13" x14ac:dyDescent="0.3">
      <c r="A333" t="e" cm="1">
        <f t="array" ref="A333">INDEX(Tabla1[N Doc], ROUNDUP((ROW()-1)/9, 0))</f>
        <v>#REF!</v>
      </c>
      <c r="B333" t="e">
        <f>IF(OR(A333="",A333=0),"",CHOOSE(
    COUNTIF($A$2:A333,A333),
    1,2,3,4,5,6,7,8,9
))</f>
        <v>#REF!</v>
      </c>
      <c r="C333" t="e">
        <f t="shared" si="5"/>
        <v>#REF!</v>
      </c>
      <c r="D333" s="7" t="e" cm="1">
        <f t="array" ref="D333">IF(OR($A333="",$A333=0),"",
IF(AND(INDEX(Formulario!$H$14:$H$100, $A333)="Si", C333&lt;&gt;31),
        VLOOKUP("cta puente",'Descripciones de gastos'!G:H, 2, FALSE),
IF(B333=1,
        INDEX(Tabla13[Titular], MATCH($A333, Tabla1[N Doc], 0)),
IF(B333=2,
        INDEX(Tabla1[Cuenta contable], MATCH($A333, Tabla1[N Doc], 0)),
IF(B333=3,
        INDEX(Tabla13[Cta Iva 22], MATCH($A333, Tabla1[N Doc], 0)),
IF(B333=4,
        INDEX(Tabla1[Cuenta contable], MATCH($A333, Tabla1[N Doc], 0)),
IF(B333=5,
        INDEX(Tabla13[Cta Iva 10], MATCH($A333, Tabla1[N Doc], 0)),
IF(B333=6,
        INDEX(Tabla1[Cuenta contable], MATCH($A333, Tabla1[N Doc], 0)),
IF(B333=7,
        INDEX(Tabla1[Cuenta contable], MATCH($A333, Tabla1[N Doc], 0)),
IF(B333=8,
        IF(INDEX(Tabla1[Tipo IVA], MATCH($A333, Tabla1[N Doc], 0))="22%",
             INDEX(Tabla13[Cta Iva 22], MATCH($A333, Tabla1[N Doc], 0)),
             INDEX(Tabla13[Cta Iva 10], MATCH($A333, Tabla1[N Doc], 0))),
IF(B333=9,
        INDEX(Tabla1[Cuenta contable], MATCH($A333, Tabla1[N Doc], 0))
)))))))))))</f>
        <v>#REF!</v>
      </c>
      <c r="F333" t="e">
        <f>IF(OR($A333="",$A333=0),"",IF(B333=1,
        INDEX(Tabla1[Importe total], MATCH($A333, Tabla1[N Doc], 0)),
IF(B333=2,
        INDEX(Tabla1[Base imponible 22], MATCH($A333, Tabla1[N Doc], 0)),
IF(B333=3,
        INDEX(Tabla1[Iva 22], MATCH($A333, Tabla1[N Doc], 0)),
IF(B333=4,
        INDEX(Tabla1[Base imponible 10], MATCH($A333, Tabla1[N Doc], 0)),
IF(B333=5,
        INDEX(Tabla1[Iva 10], MATCH($A333, Tabla1[N Doc], 0)),
IF(B333=6,
        INDEX(Tabla1[Exento], MATCH($A333, Tabla1[N Doc], 0)),
IF(B333=7,
        INDEX(#REF!, MATCH($A333, Tabla1[N Doc], 0)),
IF(B333=8,
        INDEX(#REF!, MATCH($A333, Tabla1[N Doc], 0)),
IF(B333=9,
        INDEX(Tabla1[Descuentos], MATCH($A333, Tabla1[N Doc], 0)),
""))))))))))</f>
        <v>#REF!</v>
      </c>
      <c r="G333" t="e">
        <f>IF(OR($A333="",$A333=0),"",IF(OR(B333=2,B333=4,B333=6,B333=7),
    INDEX(Tabla13[Ind impuestos], MATCH($A333, Tabla13[N Doc], 0)),
""))</f>
        <v>#REF!</v>
      </c>
      <c r="J333" t="e">
        <f>IF(OR($A333="",$A333=0),"",IF(OR(B333=2,B333=4,B333=6,B333=7),
    INDEX(Tabla1[CECO], MATCH($A333, Tabla1[N Doc], 0)),
""))</f>
        <v>#REF!</v>
      </c>
      <c r="M333" t="e">
        <f>IF(C333=31,INDEX(Tabla1[Descripción], MATCH($A333, Tabla1[N Doc], 0)),"")</f>
        <v>#REF!</v>
      </c>
    </row>
    <row r="334" spans="1:13" x14ac:dyDescent="0.3">
      <c r="A334" t="e" cm="1">
        <f t="array" ref="A334">INDEX(Tabla1[N Doc], ROUNDUP((ROW()-1)/9, 0))</f>
        <v>#REF!</v>
      </c>
      <c r="B334" t="e">
        <f>IF(OR(A334="",A334=0),"",CHOOSE(
    COUNTIF($A$2:A334,A334),
    1,2,3,4,5,6,7,8,9
))</f>
        <v>#REF!</v>
      </c>
      <c r="C334" t="e">
        <f t="shared" si="5"/>
        <v>#REF!</v>
      </c>
      <c r="D334" s="7" t="e" cm="1">
        <f t="array" ref="D334">IF(OR($A334="",$A334=0),"",
IF(AND(INDEX(Formulario!$H$14:$H$100, $A334)="Si", C334&lt;&gt;31),
        VLOOKUP("cta puente",'Descripciones de gastos'!G:H, 2, FALSE),
IF(B334=1,
        INDEX(Tabla13[Titular], MATCH($A334, Tabla1[N Doc], 0)),
IF(B334=2,
        INDEX(Tabla1[Cuenta contable], MATCH($A334, Tabla1[N Doc], 0)),
IF(B334=3,
        INDEX(Tabla13[Cta Iva 22], MATCH($A334, Tabla1[N Doc], 0)),
IF(B334=4,
        INDEX(Tabla1[Cuenta contable], MATCH($A334, Tabla1[N Doc], 0)),
IF(B334=5,
        INDEX(Tabla13[Cta Iva 10], MATCH($A334, Tabla1[N Doc], 0)),
IF(B334=6,
        INDEX(Tabla1[Cuenta contable], MATCH($A334, Tabla1[N Doc], 0)),
IF(B334=7,
        INDEX(Tabla1[Cuenta contable], MATCH($A334, Tabla1[N Doc], 0)),
IF(B334=8,
        IF(INDEX(Tabla1[Tipo IVA], MATCH($A334, Tabla1[N Doc], 0))="22%",
             INDEX(Tabla13[Cta Iva 22], MATCH($A334, Tabla1[N Doc], 0)),
             INDEX(Tabla13[Cta Iva 10], MATCH($A334, Tabla1[N Doc], 0))),
IF(B334=9,
        INDEX(Tabla1[Cuenta contable], MATCH($A334, Tabla1[N Doc], 0))
)))))))))))</f>
        <v>#REF!</v>
      </c>
      <c r="F334" t="e">
        <f>IF(OR($A334="",$A334=0),"",IF(B334=1,
        INDEX(Tabla1[Importe total], MATCH($A334, Tabla1[N Doc], 0)),
IF(B334=2,
        INDEX(Tabla1[Base imponible 22], MATCH($A334, Tabla1[N Doc], 0)),
IF(B334=3,
        INDEX(Tabla1[Iva 22], MATCH($A334, Tabla1[N Doc], 0)),
IF(B334=4,
        INDEX(Tabla1[Base imponible 10], MATCH($A334, Tabla1[N Doc], 0)),
IF(B334=5,
        INDEX(Tabla1[Iva 10], MATCH($A334, Tabla1[N Doc], 0)),
IF(B334=6,
        INDEX(Tabla1[Exento], MATCH($A334, Tabla1[N Doc], 0)),
IF(B334=7,
        INDEX(#REF!, MATCH($A334, Tabla1[N Doc], 0)),
IF(B334=8,
        INDEX(#REF!, MATCH($A334, Tabla1[N Doc], 0)),
IF(B334=9,
        INDEX(Tabla1[Descuentos], MATCH($A334, Tabla1[N Doc], 0)),
""))))))))))</f>
        <v>#REF!</v>
      </c>
      <c r="G334" t="e">
        <f>IF(OR($A334="",$A334=0),"",IF(OR(B334=2,B334=4,B334=6,B334=7),
    INDEX(Tabla13[Ind impuestos], MATCH($A334, Tabla13[N Doc], 0)),
""))</f>
        <v>#REF!</v>
      </c>
      <c r="J334" t="e">
        <f>IF(OR($A334="",$A334=0),"",IF(OR(B334=2,B334=4,B334=6,B334=7),
    INDEX(Tabla1[CECO], MATCH($A334, Tabla1[N Doc], 0)),
""))</f>
        <v>#REF!</v>
      </c>
      <c r="M334" t="e">
        <f>IF(C334=31,INDEX(Tabla1[Descripción], MATCH($A334, Tabla1[N Doc], 0)),"")</f>
        <v>#REF!</v>
      </c>
    </row>
    <row r="335" spans="1:13" x14ac:dyDescent="0.3">
      <c r="A335" t="e" cm="1">
        <f t="array" ref="A335">INDEX(Tabla1[N Doc], ROUNDUP((ROW()-1)/9, 0))</f>
        <v>#REF!</v>
      </c>
      <c r="B335" t="e">
        <f>IF(OR(A335="",A335=0),"",CHOOSE(
    COUNTIF($A$2:A335,A335),
    1,2,3,4,5,6,7,8,9
))</f>
        <v>#REF!</v>
      </c>
      <c r="C335" t="e">
        <f t="shared" si="5"/>
        <v>#REF!</v>
      </c>
      <c r="D335" s="7" t="e" cm="1">
        <f t="array" ref="D335">IF(OR($A335="",$A335=0),"",
IF(AND(INDEX(Formulario!$H$14:$H$100, $A335)="Si", C335&lt;&gt;31),
        VLOOKUP("cta puente",'Descripciones de gastos'!G:H, 2, FALSE),
IF(B335=1,
        INDEX(Tabla13[Titular], MATCH($A335, Tabla1[N Doc], 0)),
IF(B335=2,
        INDEX(Tabla1[Cuenta contable], MATCH($A335, Tabla1[N Doc], 0)),
IF(B335=3,
        INDEX(Tabla13[Cta Iva 22], MATCH($A335, Tabla1[N Doc], 0)),
IF(B335=4,
        INDEX(Tabla1[Cuenta contable], MATCH($A335, Tabla1[N Doc], 0)),
IF(B335=5,
        INDEX(Tabla13[Cta Iva 10], MATCH($A335, Tabla1[N Doc], 0)),
IF(B335=6,
        INDEX(Tabla1[Cuenta contable], MATCH($A335, Tabla1[N Doc], 0)),
IF(B335=7,
        INDEX(Tabla1[Cuenta contable], MATCH($A335, Tabla1[N Doc], 0)),
IF(B335=8,
        IF(INDEX(Tabla1[Tipo IVA], MATCH($A335, Tabla1[N Doc], 0))="22%",
             INDEX(Tabla13[Cta Iva 22], MATCH($A335, Tabla1[N Doc], 0)),
             INDEX(Tabla13[Cta Iva 10], MATCH($A335, Tabla1[N Doc], 0))),
IF(B335=9,
        INDEX(Tabla1[Cuenta contable], MATCH($A335, Tabla1[N Doc], 0))
)))))))))))</f>
        <v>#REF!</v>
      </c>
      <c r="F335" t="e">
        <f>IF(OR($A335="",$A335=0),"",IF(B335=1,
        INDEX(Tabla1[Importe total], MATCH($A335, Tabla1[N Doc], 0)),
IF(B335=2,
        INDEX(Tabla1[Base imponible 22], MATCH($A335, Tabla1[N Doc], 0)),
IF(B335=3,
        INDEX(Tabla1[Iva 22], MATCH($A335, Tabla1[N Doc], 0)),
IF(B335=4,
        INDEX(Tabla1[Base imponible 10], MATCH($A335, Tabla1[N Doc], 0)),
IF(B335=5,
        INDEX(Tabla1[Iva 10], MATCH($A335, Tabla1[N Doc], 0)),
IF(B335=6,
        INDEX(Tabla1[Exento], MATCH($A335, Tabla1[N Doc], 0)),
IF(B335=7,
        INDEX(#REF!, MATCH($A335, Tabla1[N Doc], 0)),
IF(B335=8,
        INDEX(#REF!, MATCH($A335, Tabla1[N Doc], 0)),
IF(B335=9,
        INDEX(Tabla1[Descuentos], MATCH($A335, Tabla1[N Doc], 0)),
""))))))))))</f>
        <v>#REF!</v>
      </c>
      <c r="G335" t="e">
        <f>IF(OR($A335="",$A335=0),"",IF(OR(B335=2,B335=4,B335=6,B335=7),
    INDEX(Tabla13[Ind impuestos], MATCH($A335, Tabla13[N Doc], 0)),
""))</f>
        <v>#REF!</v>
      </c>
      <c r="J335" t="e">
        <f>IF(OR($A335="",$A335=0),"",IF(OR(B335=2,B335=4,B335=6,B335=7),
    INDEX(Tabla1[CECO], MATCH($A335, Tabla1[N Doc], 0)),
""))</f>
        <v>#REF!</v>
      </c>
      <c r="M335" t="e">
        <f>IF(C335=31,INDEX(Tabla1[Descripción], MATCH($A335, Tabla1[N Doc], 0)),"")</f>
        <v>#REF!</v>
      </c>
    </row>
    <row r="336" spans="1:13" x14ac:dyDescent="0.3">
      <c r="A336" t="e" cm="1">
        <f t="array" ref="A336">INDEX(Tabla1[N Doc], ROUNDUP((ROW()-1)/9, 0))</f>
        <v>#REF!</v>
      </c>
      <c r="B336" t="e">
        <f>IF(OR(A336="",A336=0),"",CHOOSE(
    COUNTIF($A$2:A336,A336),
    1,2,3,4,5,6,7,8,9
))</f>
        <v>#REF!</v>
      </c>
      <c r="C336" t="e">
        <f t="shared" si="5"/>
        <v>#REF!</v>
      </c>
      <c r="D336" s="7" t="e" cm="1">
        <f t="array" ref="D336">IF(OR($A336="",$A336=0),"",
IF(AND(INDEX(Formulario!$H$14:$H$100, $A336)="Si", C336&lt;&gt;31),
        VLOOKUP("cta puente",'Descripciones de gastos'!G:H, 2, FALSE),
IF(B336=1,
        INDEX(Tabla13[Titular], MATCH($A336, Tabla1[N Doc], 0)),
IF(B336=2,
        INDEX(Tabla1[Cuenta contable], MATCH($A336, Tabla1[N Doc], 0)),
IF(B336=3,
        INDEX(Tabla13[Cta Iva 22], MATCH($A336, Tabla1[N Doc], 0)),
IF(B336=4,
        INDEX(Tabla1[Cuenta contable], MATCH($A336, Tabla1[N Doc], 0)),
IF(B336=5,
        INDEX(Tabla13[Cta Iva 10], MATCH($A336, Tabla1[N Doc], 0)),
IF(B336=6,
        INDEX(Tabla1[Cuenta contable], MATCH($A336, Tabla1[N Doc], 0)),
IF(B336=7,
        INDEX(Tabla1[Cuenta contable], MATCH($A336, Tabla1[N Doc], 0)),
IF(B336=8,
        IF(INDEX(Tabla1[Tipo IVA], MATCH($A336, Tabla1[N Doc], 0))="22%",
             INDEX(Tabla13[Cta Iva 22], MATCH($A336, Tabla1[N Doc], 0)),
             INDEX(Tabla13[Cta Iva 10], MATCH($A336, Tabla1[N Doc], 0))),
IF(B336=9,
        INDEX(Tabla1[Cuenta contable], MATCH($A336, Tabla1[N Doc], 0))
)))))))))))</f>
        <v>#REF!</v>
      </c>
      <c r="F336" t="e">
        <f>IF(OR($A336="",$A336=0),"",IF(B336=1,
        INDEX(Tabla1[Importe total], MATCH($A336, Tabla1[N Doc], 0)),
IF(B336=2,
        INDEX(Tabla1[Base imponible 22], MATCH($A336, Tabla1[N Doc], 0)),
IF(B336=3,
        INDEX(Tabla1[Iva 22], MATCH($A336, Tabla1[N Doc], 0)),
IF(B336=4,
        INDEX(Tabla1[Base imponible 10], MATCH($A336, Tabla1[N Doc], 0)),
IF(B336=5,
        INDEX(Tabla1[Iva 10], MATCH($A336, Tabla1[N Doc], 0)),
IF(B336=6,
        INDEX(Tabla1[Exento], MATCH($A336, Tabla1[N Doc], 0)),
IF(B336=7,
        INDEX(#REF!, MATCH($A336, Tabla1[N Doc], 0)),
IF(B336=8,
        INDEX(#REF!, MATCH($A336, Tabla1[N Doc], 0)),
IF(B336=9,
        INDEX(Tabla1[Descuentos], MATCH($A336, Tabla1[N Doc], 0)),
""))))))))))</f>
        <v>#REF!</v>
      </c>
      <c r="G336" t="e">
        <f>IF(OR($A336="",$A336=0),"",IF(OR(B336=2,B336=4,B336=6,B336=7),
    INDEX(Tabla13[Ind impuestos], MATCH($A336, Tabla13[N Doc], 0)),
""))</f>
        <v>#REF!</v>
      </c>
      <c r="J336" t="e">
        <f>IF(OR($A336="",$A336=0),"",IF(OR(B336=2,B336=4,B336=6,B336=7),
    INDEX(Tabla1[CECO], MATCH($A336, Tabla1[N Doc], 0)),
""))</f>
        <v>#REF!</v>
      </c>
      <c r="M336" t="e">
        <f>IF(C336=31,INDEX(Tabla1[Descripción], MATCH($A336, Tabla1[N Doc], 0)),"")</f>
        <v>#REF!</v>
      </c>
    </row>
    <row r="337" spans="1:13" x14ac:dyDescent="0.3">
      <c r="A337" t="e" cm="1">
        <f t="array" ref="A337">INDEX(Tabla1[N Doc], ROUNDUP((ROW()-1)/9, 0))</f>
        <v>#REF!</v>
      </c>
      <c r="B337" t="e">
        <f>IF(OR(A337="",A337=0),"",CHOOSE(
    COUNTIF($A$2:A337,A337),
    1,2,3,4,5,6,7,8,9
))</f>
        <v>#REF!</v>
      </c>
      <c r="C337" t="e">
        <f t="shared" si="5"/>
        <v>#REF!</v>
      </c>
      <c r="D337" s="7" t="e" cm="1">
        <f t="array" ref="D337">IF(OR($A337="",$A337=0),"",
IF(AND(INDEX(Formulario!$H$14:$H$100, $A337)="Si", C337&lt;&gt;31),
        VLOOKUP("cta puente",'Descripciones de gastos'!G:H, 2, FALSE),
IF(B337=1,
        INDEX(Tabla13[Titular], MATCH($A337, Tabla1[N Doc], 0)),
IF(B337=2,
        INDEX(Tabla1[Cuenta contable], MATCH($A337, Tabla1[N Doc], 0)),
IF(B337=3,
        INDEX(Tabla13[Cta Iva 22], MATCH($A337, Tabla1[N Doc], 0)),
IF(B337=4,
        INDEX(Tabla1[Cuenta contable], MATCH($A337, Tabla1[N Doc], 0)),
IF(B337=5,
        INDEX(Tabla13[Cta Iva 10], MATCH($A337, Tabla1[N Doc], 0)),
IF(B337=6,
        INDEX(Tabla1[Cuenta contable], MATCH($A337, Tabla1[N Doc], 0)),
IF(B337=7,
        INDEX(Tabla1[Cuenta contable], MATCH($A337, Tabla1[N Doc], 0)),
IF(B337=8,
        IF(INDEX(Tabla1[Tipo IVA], MATCH($A337, Tabla1[N Doc], 0))="22%",
             INDEX(Tabla13[Cta Iva 22], MATCH($A337, Tabla1[N Doc], 0)),
             INDEX(Tabla13[Cta Iva 10], MATCH($A337, Tabla1[N Doc], 0))),
IF(B337=9,
        INDEX(Tabla1[Cuenta contable], MATCH($A337, Tabla1[N Doc], 0))
)))))))))))</f>
        <v>#REF!</v>
      </c>
      <c r="F337" t="e">
        <f>IF(OR($A337="",$A337=0),"",IF(B337=1,
        INDEX(Tabla1[Importe total], MATCH($A337, Tabla1[N Doc], 0)),
IF(B337=2,
        INDEX(Tabla1[Base imponible 22], MATCH($A337, Tabla1[N Doc], 0)),
IF(B337=3,
        INDEX(Tabla1[Iva 22], MATCH($A337, Tabla1[N Doc], 0)),
IF(B337=4,
        INDEX(Tabla1[Base imponible 10], MATCH($A337, Tabla1[N Doc], 0)),
IF(B337=5,
        INDEX(Tabla1[Iva 10], MATCH($A337, Tabla1[N Doc], 0)),
IF(B337=6,
        INDEX(Tabla1[Exento], MATCH($A337, Tabla1[N Doc], 0)),
IF(B337=7,
        INDEX(#REF!, MATCH($A337, Tabla1[N Doc], 0)),
IF(B337=8,
        INDEX(#REF!, MATCH($A337, Tabla1[N Doc], 0)),
IF(B337=9,
        INDEX(Tabla1[Descuentos], MATCH($A337, Tabla1[N Doc], 0)),
""))))))))))</f>
        <v>#REF!</v>
      </c>
      <c r="G337" t="e">
        <f>IF(OR($A337="",$A337=0),"",IF(OR(B337=2,B337=4,B337=6,B337=7),
    INDEX(Tabla13[Ind impuestos], MATCH($A337, Tabla13[N Doc], 0)),
""))</f>
        <v>#REF!</v>
      </c>
      <c r="J337" t="e">
        <f>IF(OR($A337="",$A337=0),"",IF(OR(B337=2,B337=4,B337=6,B337=7),
    INDEX(Tabla1[CECO], MATCH($A337, Tabla1[N Doc], 0)),
""))</f>
        <v>#REF!</v>
      </c>
      <c r="M337" t="e">
        <f>IF(C337=31,INDEX(Tabla1[Descripción], MATCH($A337, Tabla1[N Doc], 0)),"")</f>
        <v>#REF!</v>
      </c>
    </row>
    <row r="338" spans="1:13" x14ac:dyDescent="0.3">
      <c r="A338" t="e" cm="1">
        <f t="array" ref="A338">INDEX(Tabla1[N Doc], ROUNDUP((ROW()-1)/9, 0))</f>
        <v>#REF!</v>
      </c>
      <c r="B338" t="e">
        <f>IF(OR(A338="",A338=0),"",CHOOSE(
    COUNTIF($A$2:A338,A338),
    1,2,3,4,5,6,7,8,9
))</f>
        <v>#REF!</v>
      </c>
      <c r="C338" t="e">
        <f t="shared" si="5"/>
        <v>#REF!</v>
      </c>
      <c r="D338" s="7" t="e" cm="1">
        <f t="array" ref="D338">IF(OR($A338="",$A338=0),"",
IF(AND(INDEX(Formulario!$H$14:$H$100, $A338)="Si", C338&lt;&gt;31),
        VLOOKUP("cta puente",'Descripciones de gastos'!G:H, 2, FALSE),
IF(B338=1,
        INDEX(Tabla13[Titular], MATCH($A338, Tabla1[N Doc], 0)),
IF(B338=2,
        INDEX(Tabla1[Cuenta contable], MATCH($A338, Tabla1[N Doc], 0)),
IF(B338=3,
        INDEX(Tabla13[Cta Iva 22], MATCH($A338, Tabla1[N Doc], 0)),
IF(B338=4,
        INDEX(Tabla1[Cuenta contable], MATCH($A338, Tabla1[N Doc], 0)),
IF(B338=5,
        INDEX(Tabla13[Cta Iva 10], MATCH($A338, Tabla1[N Doc], 0)),
IF(B338=6,
        INDEX(Tabla1[Cuenta contable], MATCH($A338, Tabla1[N Doc], 0)),
IF(B338=7,
        INDEX(Tabla1[Cuenta contable], MATCH($A338, Tabla1[N Doc], 0)),
IF(B338=8,
        IF(INDEX(Tabla1[Tipo IVA], MATCH($A338, Tabla1[N Doc], 0))="22%",
             INDEX(Tabla13[Cta Iva 22], MATCH($A338, Tabla1[N Doc], 0)),
             INDEX(Tabla13[Cta Iva 10], MATCH($A338, Tabla1[N Doc], 0))),
IF(B338=9,
        INDEX(Tabla1[Cuenta contable], MATCH($A338, Tabla1[N Doc], 0))
)))))))))))</f>
        <v>#REF!</v>
      </c>
      <c r="F338" t="e">
        <f>IF(OR($A338="",$A338=0),"",IF(B338=1,
        INDEX(Tabla1[Importe total], MATCH($A338, Tabla1[N Doc], 0)),
IF(B338=2,
        INDEX(Tabla1[Base imponible 22], MATCH($A338, Tabla1[N Doc], 0)),
IF(B338=3,
        INDEX(Tabla1[Iva 22], MATCH($A338, Tabla1[N Doc], 0)),
IF(B338=4,
        INDEX(Tabla1[Base imponible 10], MATCH($A338, Tabla1[N Doc], 0)),
IF(B338=5,
        INDEX(Tabla1[Iva 10], MATCH($A338, Tabla1[N Doc], 0)),
IF(B338=6,
        INDEX(Tabla1[Exento], MATCH($A338, Tabla1[N Doc], 0)),
IF(B338=7,
        INDEX(#REF!, MATCH($A338, Tabla1[N Doc], 0)),
IF(B338=8,
        INDEX(#REF!, MATCH($A338, Tabla1[N Doc], 0)),
IF(B338=9,
        INDEX(Tabla1[Descuentos], MATCH($A338, Tabla1[N Doc], 0)),
""))))))))))</f>
        <v>#REF!</v>
      </c>
      <c r="G338" t="e">
        <f>IF(OR($A338="",$A338=0),"",IF(OR(B338=2,B338=4,B338=6,B338=7),
    INDEX(Tabla13[Ind impuestos], MATCH($A338, Tabla13[N Doc], 0)),
""))</f>
        <v>#REF!</v>
      </c>
      <c r="J338" t="e">
        <f>IF(OR($A338="",$A338=0),"",IF(OR(B338=2,B338=4,B338=6,B338=7),
    INDEX(Tabla1[CECO], MATCH($A338, Tabla1[N Doc], 0)),
""))</f>
        <v>#REF!</v>
      </c>
      <c r="M338" t="e">
        <f>IF(C338=31,INDEX(Tabla1[Descripción], MATCH($A338, Tabla1[N Doc], 0)),"")</f>
        <v>#REF!</v>
      </c>
    </row>
    <row r="339" spans="1:13" x14ac:dyDescent="0.3">
      <c r="A339" t="e" cm="1">
        <f t="array" ref="A339">INDEX(Tabla1[N Doc], ROUNDUP((ROW()-1)/9, 0))</f>
        <v>#REF!</v>
      </c>
      <c r="B339" t="e">
        <f>IF(OR(A339="",A339=0),"",CHOOSE(
    COUNTIF($A$2:A339,A339),
    1,2,3,4,5,6,7,8,9
))</f>
        <v>#REF!</v>
      </c>
      <c r="C339" t="e">
        <f t="shared" si="5"/>
        <v>#REF!</v>
      </c>
      <c r="D339" s="7" t="e" cm="1">
        <f t="array" ref="D339">IF(OR($A339="",$A339=0),"",
IF(AND(INDEX(Formulario!$H$14:$H$100, $A339)="Si", C339&lt;&gt;31),
        VLOOKUP("cta puente",'Descripciones de gastos'!G:H, 2, FALSE),
IF(B339=1,
        INDEX(Tabla13[Titular], MATCH($A339, Tabla1[N Doc], 0)),
IF(B339=2,
        INDEX(Tabla1[Cuenta contable], MATCH($A339, Tabla1[N Doc], 0)),
IF(B339=3,
        INDEX(Tabla13[Cta Iva 22], MATCH($A339, Tabla1[N Doc], 0)),
IF(B339=4,
        INDEX(Tabla1[Cuenta contable], MATCH($A339, Tabla1[N Doc], 0)),
IF(B339=5,
        INDEX(Tabla13[Cta Iva 10], MATCH($A339, Tabla1[N Doc], 0)),
IF(B339=6,
        INDEX(Tabla1[Cuenta contable], MATCH($A339, Tabla1[N Doc], 0)),
IF(B339=7,
        INDEX(Tabla1[Cuenta contable], MATCH($A339, Tabla1[N Doc], 0)),
IF(B339=8,
        IF(INDEX(Tabla1[Tipo IVA], MATCH($A339, Tabla1[N Doc], 0))="22%",
             INDEX(Tabla13[Cta Iva 22], MATCH($A339, Tabla1[N Doc], 0)),
             INDEX(Tabla13[Cta Iva 10], MATCH($A339, Tabla1[N Doc], 0))),
IF(B339=9,
        INDEX(Tabla1[Cuenta contable], MATCH($A339, Tabla1[N Doc], 0))
)))))))))))</f>
        <v>#REF!</v>
      </c>
      <c r="F339" t="e">
        <f>IF(OR($A339="",$A339=0),"",IF(B339=1,
        INDEX(Tabla1[Importe total], MATCH($A339, Tabla1[N Doc], 0)),
IF(B339=2,
        INDEX(Tabla1[Base imponible 22], MATCH($A339, Tabla1[N Doc], 0)),
IF(B339=3,
        INDEX(Tabla1[Iva 22], MATCH($A339, Tabla1[N Doc], 0)),
IF(B339=4,
        INDEX(Tabla1[Base imponible 10], MATCH($A339, Tabla1[N Doc], 0)),
IF(B339=5,
        INDEX(Tabla1[Iva 10], MATCH($A339, Tabla1[N Doc], 0)),
IF(B339=6,
        INDEX(Tabla1[Exento], MATCH($A339, Tabla1[N Doc], 0)),
IF(B339=7,
        INDEX(#REF!, MATCH($A339, Tabla1[N Doc], 0)),
IF(B339=8,
        INDEX(#REF!, MATCH($A339, Tabla1[N Doc], 0)),
IF(B339=9,
        INDEX(Tabla1[Descuentos], MATCH($A339, Tabla1[N Doc], 0)),
""))))))))))</f>
        <v>#REF!</v>
      </c>
      <c r="G339" t="e">
        <f>IF(OR($A339="",$A339=0),"",IF(OR(B339=2,B339=4,B339=6,B339=7),
    INDEX(Tabla13[Ind impuestos], MATCH($A339, Tabla13[N Doc], 0)),
""))</f>
        <v>#REF!</v>
      </c>
      <c r="J339" t="e">
        <f>IF(OR($A339="",$A339=0),"",IF(OR(B339=2,B339=4,B339=6,B339=7),
    INDEX(Tabla1[CECO], MATCH($A339, Tabla1[N Doc], 0)),
""))</f>
        <v>#REF!</v>
      </c>
      <c r="M339" t="e">
        <f>IF(C339=31,INDEX(Tabla1[Descripción], MATCH($A339, Tabla1[N Doc], 0)),"")</f>
        <v>#REF!</v>
      </c>
    </row>
    <row r="340" spans="1:13" x14ac:dyDescent="0.3">
      <c r="A340" t="e" cm="1">
        <f t="array" ref="A340">INDEX(Tabla1[N Doc], ROUNDUP((ROW()-1)/9, 0))</f>
        <v>#REF!</v>
      </c>
      <c r="B340" t="e">
        <f>IF(OR(A340="",A340=0),"",CHOOSE(
    COUNTIF($A$2:A340,A340),
    1,2,3,4,5,6,7,8,9
))</f>
        <v>#REF!</v>
      </c>
      <c r="C340" t="e">
        <f t="shared" si="5"/>
        <v>#REF!</v>
      </c>
      <c r="D340" s="7" t="e" cm="1">
        <f t="array" ref="D340">IF(OR($A340="",$A340=0),"",
IF(AND(INDEX(Formulario!$H$14:$H$100, $A340)="Si", C340&lt;&gt;31),
        VLOOKUP("cta puente",'Descripciones de gastos'!G:H, 2, FALSE),
IF(B340=1,
        INDEX(Tabla13[Titular], MATCH($A340, Tabla1[N Doc], 0)),
IF(B340=2,
        INDEX(Tabla1[Cuenta contable], MATCH($A340, Tabla1[N Doc], 0)),
IF(B340=3,
        INDEX(Tabla13[Cta Iva 22], MATCH($A340, Tabla1[N Doc], 0)),
IF(B340=4,
        INDEX(Tabla1[Cuenta contable], MATCH($A340, Tabla1[N Doc], 0)),
IF(B340=5,
        INDEX(Tabla13[Cta Iva 10], MATCH($A340, Tabla1[N Doc], 0)),
IF(B340=6,
        INDEX(Tabla1[Cuenta contable], MATCH($A340, Tabla1[N Doc], 0)),
IF(B340=7,
        INDEX(Tabla1[Cuenta contable], MATCH($A340, Tabla1[N Doc], 0)),
IF(B340=8,
        IF(INDEX(Tabla1[Tipo IVA], MATCH($A340, Tabla1[N Doc], 0))="22%",
             INDEX(Tabla13[Cta Iva 22], MATCH($A340, Tabla1[N Doc], 0)),
             INDEX(Tabla13[Cta Iva 10], MATCH($A340, Tabla1[N Doc], 0))),
IF(B340=9,
        INDEX(Tabla1[Cuenta contable], MATCH($A340, Tabla1[N Doc], 0))
)))))))))))</f>
        <v>#REF!</v>
      </c>
      <c r="F340" t="e">
        <f>IF(OR($A340="",$A340=0),"",IF(B340=1,
        INDEX(Tabla1[Importe total], MATCH($A340, Tabla1[N Doc], 0)),
IF(B340=2,
        INDEX(Tabla1[Base imponible 22], MATCH($A340, Tabla1[N Doc], 0)),
IF(B340=3,
        INDEX(Tabla1[Iva 22], MATCH($A340, Tabla1[N Doc], 0)),
IF(B340=4,
        INDEX(Tabla1[Base imponible 10], MATCH($A340, Tabla1[N Doc], 0)),
IF(B340=5,
        INDEX(Tabla1[Iva 10], MATCH($A340, Tabla1[N Doc], 0)),
IF(B340=6,
        INDEX(Tabla1[Exento], MATCH($A340, Tabla1[N Doc], 0)),
IF(B340=7,
        INDEX(#REF!, MATCH($A340, Tabla1[N Doc], 0)),
IF(B340=8,
        INDEX(#REF!, MATCH($A340, Tabla1[N Doc], 0)),
IF(B340=9,
        INDEX(Tabla1[Descuentos], MATCH($A340, Tabla1[N Doc], 0)),
""))))))))))</f>
        <v>#REF!</v>
      </c>
      <c r="G340" t="e">
        <f>IF(OR($A340="",$A340=0),"",IF(OR(B340=2,B340=4,B340=6,B340=7),
    INDEX(Tabla13[Ind impuestos], MATCH($A340, Tabla13[N Doc], 0)),
""))</f>
        <v>#REF!</v>
      </c>
      <c r="J340" t="e">
        <f>IF(OR($A340="",$A340=0),"",IF(OR(B340=2,B340=4,B340=6,B340=7),
    INDEX(Tabla1[CECO], MATCH($A340, Tabla1[N Doc], 0)),
""))</f>
        <v>#REF!</v>
      </c>
      <c r="M340" t="e">
        <f>IF(C340=31,INDEX(Tabla1[Descripción], MATCH($A340, Tabla1[N Doc], 0)),"")</f>
        <v>#REF!</v>
      </c>
    </row>
    <row r="341" spans="1:13" x14ac:dyDescent="0.3">
      <c r="A341" t="e" cm="1">
        <f t="array" ref="A341">INDEX(Tabla1[N Doc], ROUNDUP((ROW()-1)/9, 0))</f>
        <v>#REF!</v>
      </c>
      <c r="B341" t="e">
        <f>IF(OR(A341="",A341=0),"",CHOOSE(
    COUNTIF($A$2:A341,A341),
    1,2,3,4,5,6,7,8,9
))</f>
        <v>#REF!</v>
      </c>
      <c r="C341" t="e">
        <f t="shared" si="5"/>
        <v>#REF!</v>
      </c>
      <c r="D341" s="7" t="e" cm="1">
        <f t="array" ref="D341">IF(OR($A341="",$A341=0),"",
IF(AND(INDEX(Formulario!$H$14:$H$100, $A341)="Si", C341&lt;&gt;31),
        VLOOKUP("cta puente",'Descripciones de gastos'!G:H, 2, FALSE),
IF(B341=1,
        INDEX(Tabla13[Titular], MATCH($A341, Tabla1[N Doc], 0)),
IF(B341=2,
        INDEX(Tabla1[Cuenta contable], MATCH($A341, Tabla1[N Doc], 0)),
IF(B341=3,
        INDEX(Tabla13[Cta Iva 22], MATCH($A341, Tabla1[N Doc], 0)),
IF(B341=4,
        INDEX(Tabla1[Cuenta contable], MATCH($A341, Tabla1[N Doc], 0)),
IF(B341=5,
        INDEX(Tabla13[Cta Iva 10], MATCH($A341, Tabla1[N Doc], 0)),
IF(B341=6,
        INDEX(Tabla1[Cuenta contable], MATCH($A341, Tabla1[N Doc], 0)),
IF(B341=7,
        INDEX(Tabla1[Cuenta contable], MATCH($A341, Tabla1[N Doc], 0)),
IF(B341=8,
        IF(INDEX(Tabla1[Tipo IVA], MATCH($A341, Tabla1[N Doc], 0))="22%",
             INDEX(Tabla13[Cta Iva 22], MATCH($A341, Tabla1[N Doc], 0)),
             INDEX(Tabla13[Cta Iva 10], MATCH($A341, Tabla1[N Doc], 0))),
IF(B341=9,
        INDEX(Tabla1[Cuenta contable], MATCH($A341, Tabla1[N Doc], 0))
)))))))))))</f>
        <v>#REF!</v>
      </c>
      <c r="F341" t="e">
        <f>IF(OR($A341="",$A341=0),"",IF(B341=1,
        INDEX(Tabla1[Importe total], MATCH($A341, Tabla1[N Doc], 0)),
IF(B341=2,
        INDEX(Tabla1[Base imponible 22], MATCH($A341, Tabla1[N Doc], 0)),
IF(B341=3,
        INDEX(Tabla1[Iva 22], MATCH($A341, Tabla1[N Doc], 0)),
IF(B341=4,
        INDEX(Tabla1[Base imponible 10], MATCH($A341, Tabla1[N Doc], 0)),
IF(B341=5,
        INDEX(Tabla1[Iva 10], MATCH($A341, Tabla1[N Doc], 0)),
IF(B341=6,
        INDEX(Tabla1[Exento], MATCH($A341, Tabla1[N Doc], 0)),
IF(B341=7,
        INDEX(#REF!, MATCH($A341, Tabla1[N Doc], 0)),
IF(B341=8,
        INDEX(#REF!, MATCH($A341, Tabla1[N Doc], 0)),
IF(B341=9,
        INDEX(Tabla1[Descuentos], MATCH($A341, Tabla1[N Doc], 0)),
""))))))))))</f>
        <v>#REF!</v>
      </c>
      <c r="G341" t="e">
        <f>IF(OR($A341="",$A341=0),"",IF(OR(B341=2,B341=4,B341=6,B341=7),
    INDEX(Tabla13[Ind impuestos], MATCH($A341, Tabla13[N Doc], 0)),
""))</f>
        <v>#REF!</v>
      </c>
      <c r="J341" t="e">
        <f>IF(OR($A341="",$A341=0),"",IF(OR(B341=2,B341=4,B341=6,B341=7),
    INDEX(Tabla1[CECO], MATCH($A341, Tabla1[N Doc], 0)),
""))</f>
        <v>#REF!</v>
      </c>
      <c r="M341" t="e">
        <f>IF(C341=31,INDEX(Tabla1[Descripción], MATCH($A341, Tabla1[N Doc], 0)),"")</f>
        <v>#REF!</v>
      </c>
    </row>
    <row r="342" spans="1:13" x14ac:dyDescent="0.3">
      <c r="A342" t="e" cm="1">
        <f t="array" ref="A342">INDEX(Tabla1[N Doc], ROUNDUP((ROW()-1)/9, 0))</f>
        <v>#REF!</v>
      </c>
      <c r="B342" t="e">
        <f>IF(OR(A342="",A342=0),"",CHOOSE(
    COUNTIF($A$2:A342,A342),
    1,2,3,4,5,6,7,8,9
))</f>
        <v>#REF!</v>
      </c>
      <c r="C342" t="e">
        <f t="shared" si="5"/>
        <v>#REF!</v>
      </c>
      <c r="D342" s="7" t="e" cm="1">
        <f t="array" ref="D342">IF(OR($A342="",$A342=0),"",
IF(AND(INDEX(Formulario!$H$14:$H$100, $A342)="Si", C342&lt;&gt;31),
        VLOOKUP("cta puente",'Descripciones de gastos'!G:H, 2, FALSE),
IF(B342=1,
        INDEX(Tabla13[Titular], MATCH($A342, Tabla1[N Doc], 0)),
IF(B342=2,
        INDEX(Tabla1[Cuenta contable], MATCH($A342, Tabla1[N Doc], 0)),
IF(B342=3,
        INDEX(Tabla13[Cta Iva 22], MATCH($A342, Tabla1[N Doc], 0)),
IF(B342=4,
        INDEX(Tabla1[Cuenta contable], MATCH($A342, Tabla1[N Doc], 0)),
IF(B342=5,
        INDEX(Tabla13[Cta Iva 10], MATCH($A342, Tabla1[N Doc], 0)),
IF(B342=6,
        INDEX(Tabla1[Cuenta contable], MATCH($A342, Tabla1[N Doc], 0)),
IF(B342=7,
        INDEX(Tabla1[Cuenta contable], MATCH($A342, Tabla1[N Doc], 0)),
IF(B342=8,
        IF(INDEX(Tabla1[Tipo IVA], MATCH($A342, Tabla1[N Doc], 0))="22%",
             INDEX(Tabla13[Cta Iva 22], MATCH($A342, Tabla1[N Doc], 0)),
             INDEX(Tabla13[Cta Iva 10], MATCH($A342, Tabla1[N Doc], 0))),
IF(B342=9,
        INDEX(Tabla1[Cuenta contable], MATCH($A342, Tabla1[N Doc], 0))
)))))))))))</f>
        <v>#REF!</v>
      </c>
      <c r="F342" t="e">
        <f>IF(OR($A342="",$A342=0),"",IF(B342=1,
        INDEX(Tabla1[Importe total], MATCH($A342, Tabla1[N Doc], 0)),
IF(B342=2,
        INDEX(Tabla1[Base imponible 22], MATCH($A342, Tabla1[N Doc], 0)),
IF(B342=3,
        INDEX(Tabla1[Iva 22], MATCH($A342, Tabla1[N Doc], 0)),
IF(B342=4,
        INDEX(Tabla1[Base imponible 10], MATCH($A342, Tabla1[N Doc], 0)),
IF(B342=5,
        INDEX(Tabla1[Iva 10], MATCH($A342, Tabla1[N Doc], 0)),
IF(B342=6,
        INDEX(Tabla1[Exento], MATCH($A342, Tabla1[N Doc], 0)),
IF(B342=7,
        INDEX(#REF!, MATCH($A342, Tabla1[N Doc], 0)),
IF(B342=8,
        INDEX(#REF!, MATCH($A342, Tabla1[N Doc], 0)),
IF(B342=9,
        INDEX(Tabla1[Descuentos], MATCH($A342, Tabla1[N Doc], 0)),
""))))))))))</f>
        <v>#REF!</v>
      </c>
      <c r="G342" t="e">
        <f>IF(OR($A342="",$A342=0),"",IF(OR(B342=2,B342=4,B342=6,B342=7),
    INDEX(Tabla13[Ind impuestos], MATCH($A342, Tabla13[N Doc], 0)),
""))</f>
        <v>#REF!</v>
      </c>
      <c r="J342" t="e">
        <f>IF(OR($A342="",$A342=0),"",IF(OR(B342=2,B342=4,B342=6,B342=7),
    INDEX(Tabla1[CECO], MATCH($A342, Tabla1[N Doc], 0)),
""))</f>
        <v>#REF!</v>
      </c>
      <c r="M342" t="e">
        <f>IF(C342=31,INDEX(Tabla1[Descripción], MATCH($A342, Tabla1[N Doc], 0)),"")</f>
        <v>#REF!</v>
      </c>
    </row>
    <row r="343" spans="1:13" x14ac:dyDescent="0.3">
      <c r="A343" t="e" cm="1">
        <f t="array" ref="A343">INDEX(Tabla1[N Doc], ROUNDUP((ROW()-1)/9, 0))</f>
        <v>#REF!</v>
      </c>
      <c r="B343" t="e">
        <f>IF(OR(A343="",A343=0),"",CHOOSE(
    COUNTIF($A$2:A343,A343),
    1,2,3,4,5,6,7,8,9
))</f>
        <v>#REF!</v>
      </c>
      <c r="C343" t="e">
        <f t="shared" si="5"/>
        <v>#REF!</v>
      </c>
      <c r="D343" s="7" t="e" cm="1">
        <f t="array" ref="D343">IF(OR($A343="",$A343=0),"",
IF(AND(INDEX(Formulario!$H$14:$H$100, $A343)="Si", C343&lt;&gt;31),
        VLOOKUP("cta puente",'Descripciones de gastos'!G:H, 2, FALSE),
IF(B343=1,
        INDEX(Tabla13[Titular], MATCH($A343, Tabla1[N Doc], 0)),
IF(B343=2,
        INDEX(Tabla1[Cuenta contable], MATCH($A343, Tabla1[N Doc], 0)),
IF(B343=3,
        INDEX(Tabla13[Cta Iva 22], MATCH($A343, Tabla1[N Doc], 0)),
IF(B343=4,
        INDEX(Tabla1[Cuenta contable], MATCH($A343, Tabla1[N Doc], 0)),
IF(B343=5,
        INDEX(Tabla13[Cta Iva 10], MATCH($A343, Tabla1[N Doc], 0)),
IF(B343=6,
        INDEX(Tabla1[Cuenta contable], MATCH($A343, Tabla1[N Doc], 0)),
IF(B343=7,
        INDEX(Tabla1[Cuenta contable], MATCH($A343, Tabla1[N Doc], 0)),
IF(B343=8,
        IF(INDEX(Tabla1[Tipo IVA], MATCH($A343, Tabla1[N Doc], 0))="22%",
             INDEX(Tabla13[Cta Iva 22], MATCH($A343, Tabla1[N Doc], 0)),
             INDEX(Tabla13[Cta Iva 10], MATCH($A343, Tabla1[N Doc], 0))),
IF(B343=9,
        INDEX(Tabla1[Cuenta contable], MATCH($A343, Tabla1[N Doc], 0))
)))))))))))</f>
        <v>#REF!</v>
      </c>
      <c r="F343" t="e">
        <f>IF(OR($A343="",$A343=0),"",IF(B343=1,
        INDEX(Tabla1[Importe total], MATCH($A343, Tabla1[N Doc], 0)),
IF(B343=2,
        INDEX(Tabla1[Base imponible 22], MATCH($A343, Tabla1[N Doc], 0)),
IF(B343=3,
        INDEX(Tabla1[Iva 22], MATCH($A343, Tabla1[N Doc], 0)),
IF(B343=4,
        INDEX(Tabla1[Base imponible 10], MATCH($A343, Tabla1[N Doc], 0)),
IF(B343=5,
        INDEX(Tabla1[Iva 10], MATCH($A343, Tabla1[N Doc], 0)),
IF(B343=6,
        INDEX(Tabla1[Exento], MATCH($A343, Tabla1[N Doc], 0)),
IF(B343=7,
        INDEX(#REF!, MATCH($A343, Tabla1[N Doc], 0)),
IF(B343=8,
        INDEX(#REF!, MATCH($A343, Tabla1[N Doc], 0)),
IF(B343=9,
        INDEX(Tabla1[Descuentos], MATCH($A343, Tabla1[N Doc], 0)),
""))))))))))</f>
        <v>#REF!</v>
      </c>
      <c r="G343" t="e">
        <f>IF(OR($A343="",$A343=0),"",IF(OR(B343=2,B343=4,B343=6,B343=7),
    INDEX(Tabla13[Ind impuestos], MATCH($A343, Tabla13[N Doc], 0)),
""))</f>
        <v>#REF!</v>
      </c>
      <c r="J343" t="e">
        <f>IF(OR($A343="",$A343=0),"",IF(OR(B343=2,B343=4,B343=6,B343=7),
    INDEX(Tabla1[CECO], MATCH($A343, Tabla1[N Doc], 0)),
""))</f>
        <v>#REF!</v>
      </c>
      <c r="M343" t="e">
        <f>IF(C343=31,INDEX(Tabla1[Descripción], MATCH($A343, Tabla1[N Doc], 0)),"")</f>
        <v>#REF!</v>
      </c>
    </row>
    <row r="344" spans="1:13" x14ac:dyDescent="0.3">
      <c r="A344" t="e" cm="1">
        <f t="array" ref="A344">INDEX(Tabla1[N Doc], ROUNDUP((ROW()-1)/9, 0))</f>
        <v>#REF!</v>
      </c>
      <c r="B344" t="e">
        <f>IF(OR(A344="",A344=0),"",CHOOSE(
    COUNTIF($A$2:A344,A344),
    1,2,3,4,5,6,7,8,9
))</f>
        <v>#REF!</v>
      </c>
      <c r="C344" t="e">
        <f t="shared" si="5"/>
        <v>#REF!</v>
      </c>
      <c r="D344" s="7" t="e" cm="1">
        <f t="array" ref="D344">IF(OR($A344="",$A344=0),"",
IF(AND(INDEX(Formulario!$H$14:$H$100, $A344)="Si", C344&lt;&gt;31),
        VLOOKUP("cta puente",'Descripciones de gastos'!G:H, 2, FALSE),
IF(B344=1,
        INDEX(Tabla13[Titular], MATCH($A344, Tabla1[N Doc], 0)),
IF(B344=2,
        INDEX(Tabla1[Cuenta contable], MATCH($A344, Tabla1[N Doc], 0)),
IF(B344=3,
        INDEX(Tabla13[Cta Iva 22], MATCH($A344, Tabla1[N Doc], 0)),
IF(B344=4,
        INDEX(Tabla1[Cuenta contable], MATCH($A344, Tabla1[N Doc], 0)),
IF(B344=5,
        INDEX(Tabla13[Cta Iva 10], MATCH($A344, Tabla1[N Doc], 0)),
IF(B344=6,
        INDEX(Tabla1[Cuenta contable], MATCH($A344, Tabla1[N Doc], 0)),
IF(B344=7,
        INDEX(Tabla1[Cuenta contable], MATCH($A344, Tabla1[N Doc], 0)),
IF(B344=8,
        IF(INDEX(Tabla1[Tipo IVA], MATCH($A344, Tabla1[N Doc], 0))="22%",
             INDEX(Tabla13[Cta Iva 22], MATCH($A344, Tabla1[N Doc], 0)),
             INDEX(Tabla13[Cta Iva 10], MATCH($A344, Tabla1[N Doc], 0))),
IF(B344=9,
        INDEX(Tabla1[Cuenta contable], MATCH($A344, Tabla1[N Doc], 0))
)))))))))))</f>
        <v>#REF!</v>
      </c>
      <c r="F344" t="e">
        <f>IF(OR($A344="",$A344=0),"",IF(B344=1,
        INDEX(Tabla1[Importe total], MATCH($A344, Tabla1[N Doc], 0)),
IF(B344=2,
        INDEX(Tabla1[Base imponible 22], MATCH($A344, Tabla1[N Doc], 0)),
IF(B344=3,
        INDEX(Tabla1[Iva 22], MATCH($A344, Tabla1[N Doc], 0)),
IF(B344=4,
        INDEX(Tabla1[Base imponible 10], MATCH($A344, Tabla1[N Doc], 0)),
IF(B344=5,
        INDEX(Tabla1[Iva 10], MATCH($A344, Tabla1[N Doc], 0)),
IF(B344=6,
        INDEX(Tabla1[Exento], MATCH($A344, Tabla1[N Doc], 0)),
IF(B344=7,
        INDEX(#REF!, MATCH($A344, Tabla1[N Doc], 0)),
IF(B344=8,
        INDEX(#REF!, MATCH($A344, Tabla1[N Doc], 0)),
IF(B344=9,
        INDEX(Tabla1[Descuentos], MATCH($A344, Tabla1[N Doc], 0)),
""))))))))))</f>
        <v>#REF!</v>
      </c>
      <c r="G344" t="e">
        <f>IF(OR($A344="",$A344=0),"",IF(OR(B344=2,B344=4,B344=6,B344=7),
    INDEX(Tabla13[Ind impuestos], MATCH($A344, Tabla13[N Doc], 0)),
""))</f>
        <v>#REF!</v>
      </c>
      <c r="J344" t="e">
        <f>IF(OR($A344="",$A344=0),"",IF(OR(B344=2,B344=4,B344=6,B344=7),
    INDEX(Tabla1[CECO], MATCH($A344, Tabla1[N Doc], 0)),
""))</f>
        <v>#REF!</v>
      </c>
      <c r="M344" t="e">
        <f>IF(C344=31,INDEX(Tabla1[Descripción], MATCH($A344, Tabla1[N Doc], 0)),"")</f>
        <v>#REF!</v>
      </c>
    </row>
    <row r="345" spans="1:13" x14ac:dyDescent="0.3">
      <c r="A345" t="e" cm="1">
        <f t="array" ref="A345">INDEX(Tabla1[N Doc], ROUNDUP((ROW()-1)/9, 0))</f>
        <v>#REF!</v>
      </c>
      <c r="B345" t="e">
        <f>IF(OR(A345="",A345=0),"",CHOOSE(
    COUNTIF($A$2:A345,A345),
    1,2,3,4,5,6,7,8,9
))</f>
        <v>#REF!</v>
      </c>
      <c r="C345" t="e">
        <f t="shared" si="5"/>
        <v>#REF!</v>
      </c>
      <c r="D345" s="7" t="e" cm="1">
        <f t="array" ref="D345">IF(OR($A345="",$A345=0),"",
IF(AND(INDEX(Formulario!$H$14:$H$100, $A345)="Si", C345&lt;&gt;31),
        VLOOKUP("cta puente",'Descripciones de gastos'!G:H, 2, FALSE),
IF(B345=1,
        INDEX(Tabla13[Titular], MATCH($A345, Tabla1[N Doc], 0)),
IF(B345=2,
        INDEX(Tabla1[Cuenta contable], MATCH($A345, Tabla1[N Doc], 0)),
IF(B345=3,
        INDEX(Tabla13[Cta Iva 22], MATCH($A345, Tabla1[N Doc], 0)),
IF(B345=4,
        INDEX(Tabla1[Cuenta contable], MATCH($A345, Tabla1[N Doc], 0)),
IF(B345=5,
        INDEX(Tabla13[Cta Iva 10], MATCH($A345, Tabla1[N Doc], 0)),
IF(B345=6,
        INDEX(Tabla1[Cuenta contable], MATCH($A345, Tabla1[N Doc], 0)),
IF(B345=7,
        INDEX(Tabla1[Cuenta contable], MATCH($A345, Tabla1[N Doc], 0)),
IF(B345=8,
        IF(INDEX(Tabla1[Tipo IVA], MATCH($A345, Tabla1[N Doc], 0))="22%",
             INDEX(Tabla13[Cta Iva 22], MATCH($A345, Tabla1[N Doc], 0)),
             INDEX(Tabla13[Cta Iva 10], MATCH($A345, Tabla1[N Doc], 0))),
IF(B345=9,
        INDEX(Tabla1[Cuenta contable], MATCH($A345, Tabla1[N Doc], 0))
)))))))))))</f>
        <v>#REF!</v>
      </c>
      <c r="F345" t="e">
        <f>IF(OR($A345="",$A345=0),"",IF(B345=1,
        INDEX(Tabla1[Importe total], MATCH($A345, Tabla1[N Doc], 0)),
IF(B345=2,
        INDEX(Tabla1[Base imponible 22], MATCH($A345, Tabla1[N Doc], 0)),
IF(B345=3,
        INDEX(Tabla1[Iva 22], MATCH($A345, Tabla1[N Doc], 0)),
IF(B345=4,
        INDEX(Tabla1[Base imponible 10], MATCH($A345, Tabla1[N Doc], 0)),
IF(B345=5,
        INDEX(Tabla1[Iva 10], MATCH($A345, Tabla1[N Doc], 0)),
IF(B345=6,
        INDEX(Tabla1[Exento], MATCH($A345, Tabla1[N Doc], 0)),
IF(B345=7,
        INDEX(#REF!, MATCH($A345, Tabla1[N Doc], 0)),
IF(B345=8,
        INDEX(#REF!, MATCH($A345, Tabla1[N Doc], 0)),
IF(B345=9,
        INDEX(Tabla1[Descuentos], MATCH($A345, Tabla1[N Doc], 0)),
""))))))))))</f>
        <v>#REF!</v>
      </c>
      <c r="G345" t="e">
        <f>IF(OR($A345="",$A345=0),"",IF(OR(B345=2,B345=4,B345=6,B345=7),
    INDEX(Tabla13[Ind impuestos], MATCH($A345, Tabla13[N Doc], 0)),
""))</f>
        <v>#REF!</v>
      </c>
      <c r="J345" t="e">
        <f>IF(OR($A345="",$A345=0),"",IF(OR(B345=2,B345=4,B345=6,B345=7),
    INDEX(Tabla1[CECO], MATCH($A345, Tabla1[N Doc], 0)),
""))</f>
        <v>#REF!</v>
      </c>
      <c r="M345" t="e">
        <f>IF(C345=31,INDEX(Tabla1[Descripción], MATCH($A345, Tabla1[N Doc], 0)),"")</f>
        <v>#REF!</v>
      </c>
    </row>
    <row r="346" spans="1:13" x14ac:dyDescent="0.3">
      <c r="A346" t="e" cm="1">
        <f t="array" ref="A346">INDEX(Tabla1[N Doc], ROUNDUP((ROW()-1)/9, 0))</f>
        <v>#REF!</v>
      </c>
      <c r="B346" t="e">
        <f>IF(OR(A346="",A346=0),"",CHOOSE(
    COUNTIF($A$2:A346,A346),
    1,2,3,4,5,6,7,8,9
))</f>
        <v>#REF!</v>
      </c>
      <c r="C346" t="e">
        <f t="shared" si="5"/>
        <v>#REF!</v>
      </c>
      <c r="D346" s="7" t="e" cm="1">
        <f t="array" ref="D346">IF(OR($A346="",$A346=0),"",
IF(AND(INDEX(Formulario!$H$14:$H$100, $A346)="Si", C346&lt;&gt;31),
        VLOOKUP("cta puente",'Descripciones de gastos'!G:H, 2, FALSE),
IF(B346=1,
        INDEX(Tabla13[Titular], MATCH($A346, Tabla1[N Doc], 0)),
IF(B346=2,
        INDEX(Tabla1[Cuenta contable], MATCH($A346, Tabla1[N Doc], 0)),
IF(B346=3,
        INDEX(Tabla13[Cta Iva 22], MATCH($A346, Tabla1[N Doc], 0)),
IF(B346=4,
        INDEX(Tabla1[Cuenta contable], MATCH($A346, Tabla1[N Doc], 0)),
IF(B346=5,
        INDEX(Tabla13[Cta Iva 10], MATCH($A346, Tabla1[N Doc], 0)),
IF(B346=6,
        INDEX(Tabla1[Cuenta contable], MATCH($A346, Tabla1[N Doc], 0)),
IF(B346=7,
        INDEX(Tabla1[Cuenta contable], MATCH($A346, Tabla1[N Doc], 0)),
IF(B346=8,
        IF(INDEX(Tabla1[Tipo IVA], MATCH($A346, Tabla1[N Doc], 0))="22%",
             INDEX(Tabla13[Cta Iva 22], MATCH($A346, Tabla1[N Doc], 0)),
             INDEX(Tabla13[Cta Iva 10], MATCH($A346, Tabla1[N Doc], 0))),
IF(B346=9,
        INDEX(Tabla1[Cuenta contable], MATCH($A346, Tabla1[N Doc], 0))
)))))))))))</f>
        <v>#REF!</v>
      </c>
      <c r="F346" t="e">
        <f>IF(OR($A346="",$A346=0),"",IF(B346=1,
        INDEX(Tabla1[Importe total], MATCH($A346, Tabla1[N Doc], 0)),
IF(B346=2,
        INDEX(Tabla1[Base imponible 22], MATCH($A346, Tabla1[N Doc], 0)),
IF(B346=3,
        INDEX(Tabla1[Iva 22], MATCH($A346, Tabla1[N Doc], 0)),
IF(B346=4,
        INDEX(Tabla1[Base imponible 10], MATCH($A346, Tabla1[N Doc], 0)),
IF(B346=5,
        INDEX(Tabla1[Iva 10], MATCH($A346, Tabla1[N Doc], 0)),
IF(B346=6,
        INDEX(Tabla1[Exento], MATCH($A346, Tabla1[N Doc], 0)),
IF(B346=7,
        INDEX(#REF!, MATCH($A346, Tabla1[N Doc], 0)),
IF(B346=8,
        INDEX(#REF!, MATCH($A346, Tabla1[N Doc], 0)),
IF(B346=9,
        INDEX(Tabla1[Descuentos], MATCH($A346, Tabla1[N Doc], 0)),
""))))))))))</f>
        <v>#REF!</v>
      </c>
      <c r="G346" t="e">
        <f>IF(OR($A346="",$A346=0),"",IF(OR(B346=2,B346=4,B346=6,B346=7),
    INDEX(Tabla13[Ind impuestos], MATCH($A346, Tabla13[N Doc], 0)),
""))</f>
        <v>#REF!</v>
      </c>
      <c r="J346" t="e">
        <f>IF(OR($A346="",$A346=0),"",IF(OR(B346=2,B346=4,B346=6,B346=7),
    INDEX(Tabla1[CECO], MATCH($A346, Tabla1[N Doc], 0)),
""))</f>
        <v>#REF!</v>
      </c>
      <c r="M346" t="e">
        <f>IF(C346=31,INDEX(Tabla1[Descripción], MATCH($A346, Tabla1[N Doc], 0)),"")</f>
        <v>#REF!</v>
      </c>
    </row>
    <row r="347" spans="1:13" x14ac:dyDescent="0.3">
      <c r="A347" t="e" cm="1">
        <f t="array" ref="A347">INDEX(Tabla1[N Doc], ROUNDUP((ROW()-1)/9, 0))</f>
        <v>#REF!</v>
      </c>
      <c r="B347" t="e">
        <f>IF(OR(A347="",A347=0),"",CHOOSE(
    COUNTIF($A$2:A347,A347),
    1,2,3,4,5,6,7,8,9
))</f>
        <v>#REF!</v>
      </c>
      <c r="C347" t="e">
        <f t="shared" si="5"/>
        <v>#REF!</v>
      </c>
      <c r="D347" s="7" t="e" cm="1">
        <f t="array" ref="D347">IF(OR($A347="",$A347=0),"",
IF(AND(INDEX(Formulario!$H$14:$H$100, $A347)="Si", C347&lt;&gt;31),
        VLOOKUP("cta puente",'Descripciones de gastos'!G:H, 2, FALSE),
IF(B347=1,
        INDEX(Tabla13[Titular], MATCH($A347, Tabla1[N Doc], 0)),
IF(B347=2,
        INDEX(Tabla1[Cuenta contable], MATCH($A347, Tabla1[N Doc], 0)),
IF(B347=3,
        INDEX(Tabla13[Cta Iva 22], MATCH($A347, Tabla1[N Doc], 0)),
IF(B347=4,
        INDEX(Tabla1[Cuenta contable], MATCH($A347, Tabla1[N Doc], 0)),
IF(B347=5,
        INDEX(Tabla13[Cta Iva 10], MATCH($A347, Tabla1[N Doc], 0)),
IF(B347=6,
        INDEX(Tabla1[Cuenta contable], MATCH($A347, Tabla1[N Doc], 0)),
IF(B347=7,
        INDEX(Tabla1[Cuenta contable], MATCH($A347, Tabla1[N Doc], 0)),
IF(B347=8,
        IF(INDEX(Tabla1[Tipo IVA], MATCH($A347, Tabla1[N Doc], 0))="22%",
             INDEX(Tabla13[Cta Iva 22], MATCH($A347, Tabla1[N Doc], 0)),
             INDEX(Tabla13[Cta Iva 10], MATCH($A347, Tabla1[N Doc], 0))),
IF(B347=9,
        INDEX(Tabla1[Cuenta contable], MATCH($A347, Tabla1[N Doc], 0))
)))))))))))</f>
        <v>#REF!</v>
      </c>
      <c r="F347" t="e">
        <f>IF(OR($A347="",$A347=0),"",IF(B347=1,
        INDEX(Tabla1[Importe total], MATCH($A347, Tabla1[N Doc], 0)),
IF(B347=2,
        INDEX(Tabla1[Base imponible 22], MATCH($A347, Tabla1[N Doc], 0)),
IF(B347=3,
        INDEX(Tabla1[Iva 22], MATCH($A347, Tabla1[N Doc], 0)),
IF(B347=4,
        INDEX(Tabla1[Base imponible 10], MATCH($A347, Tabla1[N Doc], 0)),
IF(B347=5,
        INDEX(Tabla1[Iva 10], MATCH($A347, Tabla1[N Doc], 0)),
IF(B347=6,
        INDEX(Tabla1[Exento], MATCH($A347, Tabla1[N Doc], 0)),
IF(B347=7,
        INDEX(#REF!, MATCH($A347, Tabla1[N Doc], 0)),
IF(B347=8,
        INDEX(#REF!, MATCH($A347, Tabla1[N Doc], 0)),
IF(B347=9,
        INDEX(Tabla1[Descuentos], MATCH($A347, Tabla1[N Doc], 0)),
""))))))))))</f>
        <v>#REF!</v>
      </c>
      <c r="G347" t="e">
        <f>IF(OR($A347="",$A347=0),"",IF(OR(B347=2,B347=4,B347=6,B347=7),
    INDEX(Tabla13[Ind impuestos], MATCH($A347, Tabla13[N Doc], 0)),
""))</f>
        <v>#REF!</v>
      </c>
      <c r="J347" t="e">
        <f>IF(OR($A347="",$A347=0),"",IF(OR(B347=2,B347=4,B347=6,B347=7),
    INDEX(Tabla1[CECO], MATCH($A347, Tabla1[N Doc], 0)),
""))</f>
        <v>#REF!</v>
      </c>
      <c r="M347" t="e">
        <f>IF(C347=31,INDEX(Tabla1[Descripción], MATCH($A347, Tabla1[N Doc], 0)),"")</f>
        <v>#REF!</v>
      </c>
    </row>
    <row r="348" spans="1:13" x14ac:dyDescent="0.3">
      <c r="A348" t="e" cm="1">
        <f t="array" ref="A348">INDEX(Tabla1[N Doc], ROUNDUP((ROW()-1)/9, 0))</f>
        <v>#REF!</v>
      </c>
      <c r="B348" t="e">
        <f>IF(OR(A348="",A348=0),"",CHOOSE(
    COUNTIF($A$2:A348,A348),
    1,2,3,4,5,6,7,8,9
))</f>
        <v>#REF!</v>
      </c>
      <c r="C348" t="e">
        <f t="shared" si="5"/>
        <v>#REF!</v>
      </c>
      <c r="D348" s="7" t="e" cm="1">
        <f t="array" ref="D348">IF(OR($A348="",$A348=0),"",
IF(AND(INDEX(Formulario!$H$14:$H$100, $A348)="Si", C348&lt;&gt;31),
        VLOOKUP("cta puente",'Descripciones de gastos'!G:H, 2, FALSE),
IF(B348=1,
        INDEX(Tabla13[Titular], MATCH($A348, Tabla1[N Doc], 0)),
IF(B348=2,
        INDEX(Tabla1[Cuenta contable], MATCH($A348, Tabla1[N Doc], 0)),
IF(B348=3,
        INDEX(Tabla13[Cta Iva 22], MATCH($A348, Tabla1[N Doc], 0)),
IF(B348=4,
        INDEX(Tabla1[Cuenta contable], MATCH($A348, Tabla1[N Doc], 0)),
IF(B348=5,
        INDEX(Tabla13[Cta Iva 10], MATCH($A348, Tabla1[N Doc], 0)),
IF(B348=6,
        INDEX(Tabla1[Cuenta contable], MATCH($A348, Tabla1[N Doc], 0)),
IF(B348=7,
        INDEX(Tabla1[Cuenta contable], MATCH($A348, Tabla1[N Doc], 0)),
IF(B348=8,
        IF(INDEX(Tabla1[Tipo IVA], MATCH($A348, Tabla1[N Doc], 0))="22%",
             INDEX(Tabla13[Cta Iva 22], MATCH($A348, Tabla1[N Doc], 0)),
             INDEX(Tabla13[Cta Iva 10], MATCH($A348, Tabla1[N Doc], 0))),
IF(B348=9,
        INDEX(Tabla1[Cuenta contable], MATCH($A348, Tabla1[N Doc], 0))
)))))))))))</f>
        <v>#REF!</v>
      </c>
      <c r="F348" t="e">
        <f>IF(OR($A348="",$A348=0),"",IF(B348=1,
        INDEX(Tabla1[Importe total], MATCH($A348, Tabla1[N Doc], 0)),
IF(B348=2,
        INDEX(Tabla1[Base imponible 22], MATCH($A348, Tabla1[N Doc], 0)),
IF(B348=3,
        INDEX(Tabla1[Iva 22], MATCH($A348, Tabla1[N Doc], 0)),
IF(B348=4,
        INDEX(Tabla1[Base imponible 10], MATCH($A348, Tabla1[N Doc], 0)),
IF(B348=5,
        INDEX(Tabla1[Iva 10], MATCH($A348, Tabla1[N Doc], 0)),
IF(B348=6,
        INDEX(Tabla1[Exento], MATCH($A348, Tabla1[N Doc], 0)),
IF(B348=7,
        INDEX(#REF!, MATCH($A348, Tabla1[N Doc], 0)),
IF(B348=8,
        INDEX(#REF!, MATCH($A348, Tabla1[N Doc], 0)),
IF(B348=9,
        INDEX(Tabla1[Descuentos], MATCH($A348, Tabla1[N Doc], 0)),
""))))))))))</f>
        <v>#REF!</v>
      </c>
      <c r="G348" t="e">
        <f>IF(OR($A348="",$A348=0),"",IF(OR(B348=2,B348=4,B348=6,B348=7),
    INDEX(Tabla13[Ind impuestos], MATCH($A348, Tabla13[N Doc], 0)),
""))</f>
        <v>#REF!</v>
      </c>
      <c r="J348" t="e">
        <f>IF(OR($A348="",$A348=0),"",IF(OR(B348=2,B348=4,B348=6,B348=7),
    INDEX(Tabla1[CECO], MATCH($A348, Tabla1[N Doc], 0)),
""))</f>
        <v>#REF!</v>
      </c>
      <c r="M348" t="e">
        <f>IF(C348=31,INDEX(Tabla1[Descripción], MATCH($A348, Tabla1[N Doc], 0)),"")</f>
        <v>#REF!</v>
      </c>
    </row>
    <row r="349" spans="1:13" x14ac:dyDescent="0.3">
      <c r="A349" t="e" cm="1">
        <f t="array" ref="A349">INDEX(Tabla1[N Doc], ROUNDUP((ROW()-1)/9, 0))</f>
        <v>#REF!</v>
      </c>
      <c r="B349" t="e">
        <f>IF(OR(A349="",A349=0),"",CHOOSE(
    COUNTIF($A$2:A349,A349),
    1,2,3,4,5,6,7,8,9
))</f>
        <v>#REF!</v>
      </c>
      <c r="C349" t="e">
        <f t="shared" si="5"/>
        <v>#REF!</v>
      </c>
      <c r="D349" s="7" t="e" cm="1">
        <f t="array" ref="D349">IF(OR($A349="",$A349=0),"",
IF(AND(INDEX(Formulario!$H$14:$H$100, $A349)="Si", C349&lt;&gt;31),
        VLOOKUP("cta puente",'Descripciones de gastos'!G:H, 2, FALSE),
IF(B349=1,
        INDEX(Tabla13[Titular], MATCH($A349, Tabla1[N Doc], 0)),
IF(B349=2,
        INDEX(Tabla1[Cuenta contable], MATCH($A349, Tabla1[N Doc], 0)),
IF(B349=3,
        INDEX(Tabla13[Cta Iva 22], MATCH($A349, Tabla1[N Doc], 0)),
IF(B349=4,
        INDEX(Tabla1[Cuenta contable], MATCH($A349, Tabla1[N Doc], 0)),
IF(B349=5,
        INDEX(Tabla13[Cta Iva 10], MATCH($A349, Tabla1[N Doc], 0)),
IF(B349=6,
        INDEX(Tabla1[Cuenta contable], MATCH($A349, Tabla1[N Doc], 0)),
IF(B349=7,
        INDEX(Tabla1[Cuenta contable], MATCH($A349, Tabla1[N Doc], 0)),
IF(B349=8,
        IF(INDEX(Tabla1[Tipo IVA], MATCH($A349, Tabla1[N Doc], 0))="22%",
             INDEX(Tabla13[Cta Iva 22], MATCH($A349, Tabla1[N Doc], 0)),
             INDEX(Tabla13[Cta Iva 10], MATCH($A349, Tabla1[N Doc], 0))),
IF(B349=9,
        INDEX(Tabla1[Cuenta contable], MATCH($A349, Tabla1[N Doc], 0))
)))))))))))</f>
        <v>#REF!</v>
      </c>
      <c r="F349" t="e">
        <f>IF(OR($A349="",$A349=0),"",IF(B349=1,
        INDEX(Tabla1[Importe total], MATCH($A349, Tabla1[N Doc], 0)),
IF(B349=2,
        INDEX(Tabla1[Base imponible 22], MATCH($A349, Tabla1[N Doc], 0)),
IF(B349=3,
        INDEX(Tabla1[Iva 22], MATCH($A349, Tabla1[N Doc], 0)),
IF(B349=4,
        INDEX(Tabla1[Base imponible 10], MATCH($A349, Tabla1[N Doc], 0)),
IF(B349=5,
        INDEX(Tabla1[Iva 10], MATCH($A349, Tabla1[N Doc], 0)),
IF(B349=6,
        INDEX(Tabla1[Exento], MATCH($A349, Tabla1[N Doc], 0)),
IF(B349=7,
        INDEX(#REF!, MATCH($A349, Tabla1[N Doc], 0)),
IF(B349=8,
        INDEX(#REF!, MATCH($A349, Tabla1[N Doc], 0)),
IF(B349=9,
        INDEX(Tabla1[Descuentos], MATCH($A349, Tabla1[N Doc], 0)),
""))))))))))</f>
        <v>#REF!</v>
      </c>
      <c r="G349" t="e">
        <f>IF(OR($A349="",$A349=0),"",IF(OR(B349=2,B349=4,B349=6,B349=7),
    INDEX(Tabla13[Ind impuestos], MATCH($A349, Tabla13[N Doc], 0)),
""))</f>
        <v>#REF!</v>
      </c>
      <c r="J349" t="e">
        <f>IF(OR($A349="",$A349=0),"",IF(OR(B349=2,B349=4,B349=6,B349=7),
    INDEX(Tabla1[CECO], MATCH($A349, Tabla1[N Doc], 0)),
""))</f>
        <v>#REF!</v>
      </c>
      <c r="M349" t="e">
        <f>IF(C349=31,INDEX(Tabla1[Descripción], MATCH($A349, Tabla1[N Doc], 0)),"")</f>
        <v>#REF!</v>
      </c>
    </row>
    <row r="350" spans="1:13" x14ac:dyDescent="0.3">
      <c r="A350" t="e" cm="1">
        <f t="array" ref="A350">INDEX(Tabla1[N Doc], ROUNDUP((ROW()-1)/9, 0))</f>
        <v>#REF!</v>
      </c>
      <c r="B350" t="e">
        <f>IF(OR(A350="",A350=0),"",CHOOSE(
    COUNTIF($A$2:A350,A350),
    1,2,3,4,5,6,7,8,9
))</f>
        <v>#REF!</v>
      </c>
      <c r="C350" t="e">
        <f t="shared" si="5"/>
        <v>#REF!</v>
      </c>
      <c r="D350" s="7" t="e" cm="1">
        <f t="array" ref="D350">IF(OR($A350="",$A350=0),"",
IF(AND(INDEX(Formulario!$H$14:$H$100, $A350)="Si", C350&lt;&gt;31),
        VLOOKUP("cta puente",'Descripciones de gastos'!G:H, 2, FALSE),
IF(B350=1,
        INDEX(Tabla13[Titular], MATCH($A350, Tabla1[N Doc], 0)),
IF(B350=2,
        INDEX(Tabla1[Cuenta contable], MATCH($A350, Tabla1[N Doc], 0)),
IF(B350=3,
        INDEX(Tabla13[Cta Iva 22], MATCH($A350, Tabla1[N Doc], 0)),
IF(B350=4,
        INDEX(Tabla1[Cuenta contable], MATCH($A350, Tabla1[N Doc], 0)),
IF(B350=5,
        INDEX(Tabla13[Cta Iva 10], MATCH($A350, Tabla1[N Doc], 0)),
IF(B350=6,
        INDEX(Tabla1[Cuenta contable], MATCH($A350, Tabla1[N Doc], 0)),
IF(B350=7,
        INDEX(Tabla1[Cuenta contable], MATCH($A350, Tabla1[N Doc], 0)),
IF(B350=8,
        IF(INDEX(Tabla1[Tipo IVA], MATCH($A350, Tabla1[N Doc], 0))="22%",
             INDEX(Tabla13[Cta Iva 22], MATCH($A350, Tabla1[N Doc], 0)),
             INDEX(Tabla13[Cta Iva 10], MATCH($A350, Tabla1[N Doc], 0))),
IF(B350=9,
        INDEX(Tabla1[Cuenta contable], MATCH($A350, Tabla1[N Doc], 0))
)))))))))))</f>
        <v>#REF!</v>
      </c>
      <c r="F350" t="e">
        <f>IF(OR($A350="",$A350=0),"",IF(B350=1,
        INDEX(Tabla1[Importe total], MATCH($A350, Tabla1[N Doc], 0)),
IF(B350=2,
        INDEX(Tabla1[Base imponible 22], MATCH($A350, Tabla1[N Doc], 0)),
IF(B350=3,
        INDEX(Tabla1[Iva 22], MATCH($A350, Tabla1[N Doc], 0)),
IF(B350=4,
        INDEX(Tabla1[Base imponible 10], MATCH($A350, Tabla1[N Doc], 0)),
IF(B350=5,
        INDEX(Tabla1[Iva 10], MATCH($A350, Tabla1[N Doc], 0)),
IF(B350=6,
        INDEX(Tabla1[Exento], MATCH($A350, Tabla1[N Doc], 0)),
IF(B350=7,
        INDEX(#REF!, MATCH($A350, Tabla1[N Doc], 0)),
IF(B350=8,
        INDEX(#REF!, MATCH($A350, Tabla1[N Doc], 0)),
IF(B350=9,
        INDEX(Tabla1[Descuentos], MATCH($A350, Tabla1[N Doc], 0)),
""))))))))))</f>
        <v>#REF!</v>
      </c>
      <c r="G350" t="e">
        <f>IF(OR($A350="",$A350=0),"",IF(OR(B350=2,B350=4,B350=6,B350=7),
    INDEX(Tabla13[Ind impuestos], MATCH($A350, Tabla13[N Doc], 0)),
""))</f>
        <v>#REF!</v>
      </c>
      <c r="J350" t="e">
        <f>IF(OR($A350="",$A350=0),"",IF(OR(B350=2,B350=4,B350=6,B350=7),
    INDEX(Tabla1[CECO], MATCH($A350, Tabla1[N Doc], 0)),
""))</f>
        <v>#REF!</v>
      </c>
      <c r="M350" t="e">
        <f>IF(C350=31,INDEX(Tabla1[Descripción], MATCH($A350, Tabla1[N Doc], 0)),"")</f>
        <v>#REF!</v>
      </c>
    </row>
    <row r="351" spans="1:13" x14ac:dyDescent="0.3">
      <c r="A351" t="e" cm="1">
        <f t="array" ref="A351">INDEX(Tabla1[N Doc], ROUNDUP((ROW()-1)/9, 0))</f>
        <v>#REF!</v>
      </c>
      <c r="B351" t="e">
        <f>IF(OR(A351="",A351=0),"",CHOOSE(
    COUNTIF($A$2:A351,A351),
    1,2,3,4,5,6,7,8,9
))</f>
        <v>#REF!</v>
      </c>
      <c r="C351" t="e">
        <f t="shared" si="5"/>
        <v>#REF!</v>
      </c>
      <c r="D351" s="7" t="e" cm="1">
        <f t="array" ref="D351">IF(OR($A351="",$A351=0),"",
IF(AND(INDEX(Formulario!$H$14:$H$100, $A351)="Si", C351&lt;&gt;31),
        VLOOKUP("cta puente",'Descripciones de gastos'!G:H, 2, FALSE),
IF(B351=1,
        INDEX(Tabla13[Titular], MATCH($A351, Tabla1[N Doc], 0)),
IF(B351=2,
        INDEX(Tabla1[Cuenta contable], MATCH($A351, Tabla1[N Doc], 0)),
IF(B351=3,
        INDEX(Tabla13[Cta Iva 22], MATCH($A351, Tabla1[N Doc], 0)),
IF(B351=4,
        INDEX(Tabla1[Cuenta contable], MATCH($A351, Tabla1[N Doc], 0)),
IF(B351=5,
        INDEX(Tabla13[Cta Iva 10], MATCH($A351, Tabla1[N Doc], 0)),
IF(B351=6,
        INDEX(Tabla1[Cuenta contable], MATCH($A351, Tabla1[N Doc], 0)),
IF(B351=7,
        INDEX(Tabla1[Cuenta contable], MATCH($A351, Tabla1[N Doc], 0)),
IF(B351=8,
        IF(INDEX(Tabla1[Tipo IVA], MATCH($A351, Tabla1[N Doc], 0))="22%",
             INDEX(Tabla13[Cta Iva 22], MATCH($A351, Tabla1[N Doc], 0)),
             INDEX(Tabla13[Cta Iva 10], MATCH($A351, Tabla1[N Doc], 0))),
IF(B351=9,
        INDEX(Tabla1[Cuenta contable], MATCH($A351, Tabla1[N Doc], 0))
)))))))))))</f>
        <v>#REF!</v>
      </c>
      <c r="F351" t="e">
        <f>IF(OR($A351="",$A351=0),"",IF(B351=1,
        INDEX(Tabla1[Importe total], MATCH($A351, Tabla1[N Doc], 0)),
IF(B351=2,
        INDEX(Tabla1[Base imponible 22], MATCH($A351, Tabla1[N Doc], 0)),
IF(B351=3,
        INDEX(Tabla1[Iva 22], MATCH($A351, Tabla1[N Doc], 0)),
IF(B351=4,
        INDEX(Tabla1[Base imponible 10], MATCH($A351, Tabla1[N Doc], 0)),
IF(B351=5,
        INDEX(Tabla1[Iva 10], MATCH($A351, Tabla1[N Doc], 0)),
IF(B351=6,
        INDEX(Tabla1[Exento], MATCH($A351, Tabla1[N Doc], 0)),
IF(B351=7,
        INDEX(#REF!, MATCH($A351, Tabla1[N Doc], 0)),
IF(B351=8,
        INDEX(#REF!, MATCH($A351, Tabla1[N Doc], 0)),
IF(B351=9,
        INDEX(Tabla1[Descuentos], MATCH($A351, Tabla1[N Doc], 0)),
""))))))))))</f>
        <v>#REF!</v>
      </c>
      <c r="G351" t="e">
        <f>IF(OR($A351="",$A351=0),"",IF(OR(B351=2,B351=4,B351=6,B351=7),
    INDEX(Tabla13[Ind impuestos], MATCH($A351, Tabla13[N Doc], 0)),
""))</f>
        <v>#REF!</v>
      </c>
      <c r="J351" t="e">
        <f>IF(OR($A351="",$A351=0),"",IF(OR(B351=2,B351=4,B351=6,B351=7),
    INDEX(Tabla1[CECO], MATCH($A351, Tabla1[N Doc], 0)),
""))</f>
        <v>#REF!</v>
      </c>
      <c r="M351" t="e">
        <f>IF(C351=31,INDEX(Tabla1[Descripción], MATCH($A351, Tabla1[N Doc], 0)),"")</f>
        <v>#REF!</v>
      </c>
    </row>
    <row r="352" spans="1:13" x14ac:dyDescent="0.3">
      <c r="A352" t="e" cm="1">
        <f t="array" ref="A352">INDEX(Tabla1[N Doc], ROUNDUP((ROW()-1)/9, 0))</f>
        <v>#REF!</v>
      </c>
      <c r="B352" t="e">
        <f>IF(OR(A352="",A352=0),"",CHOOSE(
    COUNTIF($A$2:A352,A352),
    1,2,3,4,5,6,7,8,9
))</f>
        <v>#REF!</v>
      </c>
      <c r="C352" t="e">
        <f t="shared" si="5"/>
        <v>#REF!</v>
      </c>
      <c r="D352" s="7" t="e" cm="1">
        <f t="array" ref="D352">IF(OR($A352="",$A352=0),"",
IF(AND(INDEX(Formulario!$H$14:$H$100, $A352)="Si", C352&lt;&gt;31),
        VLOOKUP("cta puente",'Descripciones de gastos'!G:H, 2, FALSE),
IF(B352=1,
        INDEX(Tabla13[Titular], MATCH($A352, Tabla1[N Doc], 0)),
IF(B352=2,
        INDEX(Tabla1[Cuenta contable], MATCH($A352, Tabla1[N Doc], 0)),
IF(B352=3,
        INDEX(Tabla13[Cta Iva 22], MATCH($A352, Tabla1[N Doc], 0)),
IF(B352=4,
        INDEX(Tabla1[Cuenta contable], MATCH($A352, Tabla1[N Doc], 0)),
IF(B352=5,
        INDEX(Tabla13[Cta Iva 10], MATCH($A352, Tabla1[N Doc], 0)),
IF(B352=6,
        INDEX(Tabla1[Cuenta contable], MATCH($A352, Tabla1[N Doc], 0)),
IF(B352=7,
        INDEX(Tabla1[Cuenta contable], MATCH($A352, Tabla1[N Doc], 0)),
IF(B352=8,
        IF(INDEX(Tabla1[Tipo IVA], MATCH($A352, Tabla1[N Doc], 0))="22%",
             INDEX(Tabla13[Cta Iva 22], MATCH($A352, Tabla1[N Doc], 0)),
             INDEX(Tabla13[Cta Iva 10], MATCH($A352, Tabla1[N Doc], 0))),
IF(B352=9,
        INDEX(Tabla1[Cuenta contable], MATCH($A352, Tabla1[N Doc], 0))
)))))))))))</f>
        <v>#REF!</v>
      </c>
      <c r="F352" t="e">
        <f>IF(OR($A352="",$A352=0),"",IF(B352=1,
        INDEX(Tabla1[Importe total], MATCH($A352, Tabla1[N Doc], 0)),
IF(B352=2,
        INDEX(Tabla1[Base imponible 22], MATCH($A352, Tabla1[N Doc], 0)),
IF(B352=3,
        INDEX(Tabla1[Iva 22], MATCH($A352, Tabla1[N Doc], 0)),
IF(B352=4,
        INDEX(Tabla1[Base imponible 10], MATCH($A352, Tabla1[N Doc], 0)),
IF(B352=5,
        INDEX(Tabla1[Iva 10], MATCH($A352, Tabla1[N Doc], 0)),
IF(B352=6,
        INDEX(Tabla1[Exento], MATCH($A352, Tabla1[N Doc], 0)),
IF(B352=7,
        INDEX(#REF!, MATCH($A352, Tabla1[N Doc], 0)),
IF(B352=8,
        INDEX(#REF!, MATCH($A352, Tabla1[N Doc], 0)),
IF(B352=9,
        INDEX(Tabla1[Descuentos], MATCH($A352, Tabla1[N Doc], 0)),
""))))))))))</f>
        <v>#REF!</v>
      </c>
      <c r="G352" t="e">
        <f>IF(OR($A352="",$A352=0),"",IF(OR(B352=2,B352=4,B352=6,B352=7),
    INDEX(Tabla13[Ind impuestos], MATCH($A352, Tabla13[N Doc], 0)),
""))</f>
        <v>#REF!</v>
      </c>
      <c r="J352" t="e">
        <f>IF(OR($A352="",$A352=0),"",IF(OR(B352=2,B352=4,B352=6,B352=7),
    INDEX(Tabla1[CECO], MATCH($A352, Tabla1[N Doc], 0)),
""))</f>
        <v>#REF!</v>
      </c>
      <c r="M352" t="e">
        <f>IF(C352=31,INDEX(Tabla1[Descripción], MATCH($A352, Tabla1[N Doc], 0)),"")</f>
        <v>#REF!</v>
      </c>
    </row>
    <row r="353" spans="1:13" x14ac:dyDescent="0.3">
      <c r="A353" t="e" cm="1">
        <f t="array" ref="A353">INDEX(Tabla1[N Doc], ROUNDUP((ROW()-1)/9, 0))</f>
        <v>#REF!</v>
      </c>
      <c r="B353" t="e">
        <f>IF(OR(A353="",A353=0),"",CHOOSE(
    COUNTIF($A$2:A353,A353),
    1,2,3,4,5,6,7,8,9
))</f>
        <v>#REF!</v>
      </c>
      <c r="C353" t="e">
        <f t="shared" si="5"/>
        <v>#REF!</v>
      </c>
      <c r="D353" s="7" t="e" cm="1">
        <f t="array" ref="D353">IF(OR($A353="",$A353=0),"",
IF(AND(INDEX(Formulario!$H$14:$H$100, $A353)="Si", C353&lt;&gt;31),
        VLOOKUP("cta puente",'Descripciones de gastos'!G:H, 2, FALSE),
IF(B353=1,
        INDEX(Tabla13[Titular], MATCH($A353, Tabla1[N Doc], 0)),
IF(B353=2,
        INDEX(Tabla1[Cuenta contable], MATCH($A353, Tabla1[N Doc], 0)),
IF(B353=3,
        INDEX(Tabla13[Cta Iva 22], MATCH($A353, Tabla1[N Doc], 0)),
IF(B353=4,
        INDEX(Tabla1[Cuenta contable], MATCH($A353, Tabla1[N Doc], 0)),
IF(B353=5,
        INDEX(Tabla13[Cta Iva 10], MATCH($A353, Tabla1[N Doc], 0)),
IF(B353=6,
        INDEX(Tabla1[Cuenta contable], MATCH($A353, Tabla1[N Doc], 0)),
IF(B353=7,
        INDEX(Tabla1[Cuenta contable], MATCH($A353, Tabla1[N Doc], 0)),
IF(B353=8,
        IF(INDEX(Tabla1[Tipo IVA], MATCH($A353, Tabla1[N Doc], 0))="22%",
             INDEX(Tabla13[Cta Iva 22], MATCH($A353, Tabla1[N Doc], 0)),
             INDEX(Tabla13[Cta Iva 10], MATCH($A353, Tabla1[N Doc], 0))),
IF(B353=9,
        INDEX(Tabla1[Cuenta contable], MATCH($A353, Tabla1[N Doc], 0))
)))))))))))</f>
        <v>#REF!</v>
      </c>
      <c r="F353" t="e">
        <f>IF(OR($A353="",$A353=0),"",IF(B353=1,
        INDEX(Tabla1[Importe total], MATCH($A353, Tabla1[N Doc], 0)),
IF(B353=2,
        INDEX(Tabla1[Base imponible 22], MATCH($A353, Tabla1[N Doc], 0)),
IF(B353=3,
        INDEX(Tabla1[Iva 22], MATCH($A353, Tabla1[N Doc], 0)),
IF(B353=4,
        INDEX(Tabla1[Base imponible 10], MATCH($A353, Tabla1[N Doc], 0)),
IF(B353=5,
        INDEX(Tabla1[Iva 10], MATCH($A353, Tabla1[N Doc], 0)),
IF(B353=6,
        INDEX(Tabla1[Exento], MATCH($A353, Tabla1[N Doc], 0)),
IF(B353=7,
        INDEX(#REF!, MATCH($A353, Tabla1[N Doc], 0)),
IF(B353=8,
        INDEX(#REF!, MATCH($A353, Tabla1[N Doc], 0)),
IF(B353=9,
        INDEX(Tabla1[Descuentos], MATCH($A353, Tabla1[N Doc], 0)),
""))))))))))</f>
        <v>#REF!</v>
      </c>
      <c r="G353" t="e">
        <f>IF(OR($A353="",$A353=0),"",IF(OR(B353=2,B353=4,B353=6,B353=7),
    INDEX(Tabla13[Ind impuestos], MATCH($A353, Tabla13[N Doc], 0)),
""))</f>
        <v>#REF!</v>
      </c>
      <c r="J353" t="e">
        <f>IF(OR($A353="",$A353=0),"",IF(OR(B353=2,B353=4,B353=6,B353=7),
    INDEX(Tabla1[CECO], MATCH($A353, Tabla1[N Doc], 0)),
""))</f>
        <v>#REF!</v>
      </c>
      <c r="M353" t="e">
        <f>IF(C353=31,INDEX(Tabla1[Descripción], MATCH($A353, Tabla1[N Doc], 0)),"")</f>
        <v>#REF!</v>
      </c>
    </row>
    <row r="354" spans="1:13" x14ac:dyDescent="0.3">
      <c r="A354" t="e" cm="1">
        <f t="array" ref="A354">INDEX(Tabla1[N Doc], ROUNDUP((ROW()-1)/9, 0))</f>
        <v>#REF!</v>
      </c>
      <c r="B354" t="e">
        <f>IF(OR(A354="",A354=0),"",CHOOSE(
    COUNTIF($A$2:A354,A354),
    1,2,3,4,5,6,7,8,9
))</f>
        <v>#REF!</v>
      </c>
      <c r="C354" t="e">
        <f t="shared" si="5"/>
        <v>#REF!</v>
      </c>
      <c r="D354" s="7" t="e" cm="1">
        <f t="array" ref="D354">IF(OR($A354="",$A354=0),"",
IF(AND(INDEX(Formulario!$H$14:$H$100, $A354)="Si", C354&lt;&gt;31),
        VLOOKUP("cta puente",'Descripciones de gastos'!G:H, 2, FALSE),
IF(B354=1,
        INDEX(Tabla13[Titular], MATCH($A354, Tabla1[N Doc], 0)),
IF(B354=2,
        INDEX(Tabla1[Cuenta contable], MATCH($A354, Tabla1[N Doc], 0)),
IF(B354=3,
        INDEX(Tabla13[Cta Iva 22], MATCH($A354, Tabla1[N Doc], 0)),
IF(B354=4,
        INDEX(Tabla1[Cuenta contable], MATCH($A354, Tabla1[N Doc], 0)),
IF(B354=5,
        INDEX(Tabla13[Cta Iva 10], MATCH($A354, Tabla1[N Doc], 0)),
IF(B354=6,
        INDEX(Tabla1[Cuenta contable], MATCH($A354, Tabla1[N Doc], 0)),
IF(B354=7,
        INDEX(Tabla1[Cuenta contable], MATCH($A354, Tabla1[N Doc], 0)),
IF(B354=8,
        IF(INDEX(Tabla1[Tipo IVA], MATCH($A354, Tabla1[N Doc], 0))="22%",
             INDEX(Tabla13[Cta Iva 22], MATCH($A354, Tabla1[N Doc], 0)),
             INDEX(Tabla13[Cta Iva 10], MATCH($A354, Tabla1[N Doc], 0))),
IF(B354=9,
        INDEX(Tabla1[Cuenta contable], MATCH($A354, Tabla1[N Doc], 0))
)))))))))))</f>
        <v>#REF!</v>
      </c>
      <c r="F354" t="e">
        <f>IF(OR($A354="",$A354=0),"",IF(B354=1,
        INDEX(Tabla1[Importe total], MATCH($A354, Tabla1[N Doc], 0)),
IF(B354=2,
        INDEX(Tabla1[Base imponible 22], MATCH($A354, Tabla1[N Doc], 0)),
IF(B354=3,
        INDEX(Tabla1[Iva 22], MATCH($A354, Tabla1[N Doc], 0)),
IF(B354=4,
        INDEX(Tabla1[Base imponible 10], MATCH($A354, Tabla1[N Doc], 0)),
IF(B354=5,
        INDEX(Tabla1[Iva 10], MATCH($A354, Tabla1[N Doc], 0)),
IF(B354=6,
        INDEX(Tabla1[Exento], MATCH($A354, Tabla1[N Doc], 0)),
IF(B354=7,
        INDEX(#REF!, MATCH($A354, Tabla1[N Doc], 0)),
IF(B354=8,
        INDEX(#REF!, MATCH($A354, Tabla1[N Doc], 0)),
IF(B354=9,
        INDEX(Tabla1[Descuentos], MATCH($A354, Tabla1[N Doc], 0)),
""))))))))))</f>
        <v>#REF!</v>
      </c>
      <c r="G354" t="e">
        <f>IF(OR($A354="",$A354=0),"",IF(OR(B354=2,B354=4,B354=6,B354=7),
    INDEX(Tabla13[Ind impuestos], MATCH($A354, Tabla13[N Doc], 0)),
""))</f>
        <v>#REF!</v>
      </c>
      <c r="J354" t="e">
        <f>IF(OR($A354="",$A354=0),"",IF(OR(B354=2,B354=4,B354=6,B354=7),
    INDEX(Tabla1[CECO], MATCH($A354, Tabla1[N Doc], 0)),
""))</f>
        <v>#REF!</v>
      </c>
      <c r="M354" t="e">
        <f>IF(C354=31,INDEX(Tabla1[Descripción], MATCH($A354, Tabla1[N Doc], 0)),"")</f>
        <v>#REF!</v>
      </c>
    </row>
    <row r="355" spans="1:13" x14ac:dyDescent="0.3">
      <c r="A355" t="e" cm="1">
        <f t="array" ref="A355">INDEX(Tabla1[N Doc], ROUNDUP((ROW()-1)/9, 0))</f>
        <v>#REF!</v>
      </c>
      <c r="B355" t="e">
        <f>IF(OR(A355="",A355=0),"",CHOOSE(
    COUNTIF($A$2:A355,A355),
    1,2,3,4,5,6,7,8,9
))</f>
        <v>#REF!</v>
      </c>
      <c r="C355" t="e">
        <f t="shared" si="5"/>
        <v>#REF!</v>
      </c>
      <c r="D355" s="7" t="e" cm="1">
        <f t="array" ref="D355">IF(OR($A355="",$A355=0),"",
IF(AND(INDEX(Formulario!$H$14:$H$100, $A355)="Si", C355&lt;&gt;31),
        VLOOKUP("cta puente",'Descripciones de gastos'!G:H, 2, FALSE),
IF(B355=1,
        INDEX(Tabla13[Titular], MATCH($A355, Tabla1[N Doc], 0)),
IF(B355=2,
        INDEX(Tabla1[Cuenta contable], MATCH($A355, Tabla1[N Doc], 0)),
IF(B355=3,
        INDEX(Tabla13[Cta Iva 22], MATCH($A355, Tabla1[N Doc], 0)),
IF(B355=4,
        INDEX(Tabla1[Cuenta contable], MATCH($A355, Tabla1[N Doc], 0)),
IF(B355=5,
        INDEX(Tabla13[Cta Iva 10], MATCH($A355, Tabla1[N Doc], 0)),
IF(B355=6,
        INDEX(Tabla1[Cuenta contable], MATCH($A355, Tabla1[N Doc], 0)),
IF(B355=7,
        INDEX(Tabla1[Cuenta contable], MATCH($A355, Tabla1[N Doc], 0)),
IF(B355=8,
        IF(INDEX(Tabla1[Tipo IVA], MATCH($A355, Tabla1[N Doc], 0))="22%",
             INDEX(Tabla13[Cta Iva 22], MATCH($A355, Tabla1[N Doc], 0)),
             INDEX(Tabla13[Cta Iva 10], MATCH($A355, Tabla1[N Doc], 0))),
IF(B355=9,
        INDEX(Tabla1[Cuenta contable], MATCH($A355, Tabla1[N Doc], 0))
)))))))))))</f>
        <v>#REF!</v>
      </c>
      <c r="F355" t="e">
        <f>IF(OR($A355="",$A355=0),"",IF(B355=1,
        INDEX(Tabla1[Importe total], MATCH($A355, Tabla1[N Doc], 0)),
IF(B355=2,
        INDEX(Tabla1[Base imponible 22], MATCH($A355, Tabla1[N Doc], 0)),
IF(B355=3,
        INDEX(Tabla1[Iva 22], MATCH($A355, Tabla1[N Doc], 0)),
IF(B355=4,
        INDEX(Tabla1[Base imponible 10], MATCH($A355, Tabla1[N Doc], 0)),
IF(B355=5,
        INDEX(Tabla1[Iva 10], MATCH($A355, Tabla1[N Doc], 0)),
IF(B355=6,
        INDEX(Tabla1[Exento], MATCH($A355, Tabla1[N Doc], 0)),
IF(B355=7,
        INDEX(#REF!, MATCH($A355, Tabla1[N Doc], 0)),
IF(B355=8,
        INDEX(#REF!, MATCH($A355, Tabla1[N Doc], 0)),
IF(B355=9,
        INDEX(Tabla1[Descuentos], MATCH($A355, Tabla1[N Doc], 0)),
""))))))))))</f>
        <v>#REF!</v>
      </c>
      <c r="G355" t="e">
        <f>IF(OR($A355="",$A355=0),"",IF(OR(B355=2,B355=4,B355=6,B355=7),
    INDEX(Tabla13[Ind impuestos], MATCH($A355, Tabla13[N Doc], 0)),
""))</f>
        <v>#REF!</v>
      </c>
      <c r="J355" t="e">
        <f>IF(OR($A355="",$A355=0),"",IF(OR(B355=2,B355=4,B355=6,B355=7),
    INDEX(Tabla1[CECO], MATCH($A355, Tabla1[N Doc], 0)),
""))</f>
        <v>#REF!</v>
      </c>
      <c r="M355" t="e">
        <f>IF(C355=31,INDEX(Tabla1[Descripción], MATCH($A355, Tabla1[N Doc], 0)),"")</f>
        <v>#REF!</v>
      </c>
    </row>
    <row r="356" spans="1:13" x14ac:dyDescent="0.3">
      <c r="A356" t="e" cm="1">
        <f t="array" ref="A356">INDEX(Tabla1[N Doc], ROUNDUP((ROW()-1)/9, 0))</f>
        <v>#REF!</v>
      </c>
      <c r="B356" t="e">
        <f>IF(OR(A356="",A356=0),"",CHOOSE(
    COUNTIF($A$2:A356,A356),
    1,2,3,4,5,6,7,8,9
))</f>
        <v>#REF!</v>
      </c>
      <c r="C356" t="e">
        <f t="shared" si="5"/>
        <v>#REF!</v>
      </c>
      <c r="D356" s="7" t="e" cm="1">
        <f t="array" ref="D356">IF(OR($A356="",$A356=0),"",
IF(AND(INDEX(Formulario!$H$14:$H$100, $A356)="Si", C356&lt;&gt;31),
        VLOOKUP("cta puente",'Descripciones de gastos'!G:H, 2, FALSE),
IF(B356=1,
        INDEX(Tabla13[Titular], MATCH($A356, Tabla1[N Doc], 0)),
IF(B356=2,
        INDEX(Tabla1[Cuenta contable], MATCH($A356, Tabla1[N Doc], 0)),
IF(B356=3,
        INDEX(Tabla13[Cta Iva 22], MATCH($A356, Tabla1[N Doc], 0)),
IF(B356=4,
        INDEX(Tabla1[Cuenta contable], MATCH($A356, Tabla1[N Doc], 0)),
IF(B356=5,
        INDEX(Tabla13[Cta Iva 10], MATCH($A356, Tabla1[N Doc], 0)),
IF(B356=6,
        INDEX(Tabla1[Cuenta contable], MATCH($A356, Tabla1[N Doc], 0)),
IF(B356=7,
        INDEX(Tabla1[Cuenta contable], MATCH($A356, Tabla1[N Doc], 0)),
IF(B356=8,
        IF(INDEX(Tabla1[Tipo IVA], MATCH($A356, Tabla1[N Doc], 0))="22%",
             INDEX(Tabla13[Cta Iva 22], MATCH($A356, Tabla1[N Doc], 0)),
             INDEX(Tabla13[Cta Iva 10], MATCH($A356, Tabla1[N Doc], 0))),
IF(B356=9,
        INDEX(Tabla1[Cuenta contable], MATCH($A356, Tabla1[N Doc], 0))
)))))))))))</f>
        <v>#REF!</v>
      </c>
      <c r="F356" t="e">
        <f>IF(OR($A356="",$A356=0),"",IF(B356=1,
        INDEX(Tabla1[Importe total], MATCH($A356, Tabla1[N Doc], 0)),
IF(B356=2,
        INDEX(Tabla1[Base imponible 22], MATCH($A356, Tabla1[N Doc], 0)),
IF(B356=3,
        INDEX(Tabla1[Iva 22], MATCH($A356, Tabla1[N Doc], 0)),
IF(B356=4,
        INDEX(Tabla1[Base imponible 10], MATCH($A356, Tabla1[N Doc], 0)),
IF(B356=5,
        INDEX(Tabla1[Iva 10], MATCH($A356, Tabla1[N Doc], 0)),
IF(B356=6,
        INDEX(Tabla1[Exento], MATCH($A356, Tabla1[N Doc], 0)),
IF(B356=7,
        INDEX(#REF!, MATCH($A356, Tabla1[N Doc], 0)),
IF(B356=8,
        INDEX(#REF!, MATCH($A356, Tabla1[N Doc], 0)),
IF(B356=9,
        INDEX(Tabla1[Descuentos], MATCH($A356, Tabla1[N Doc], 0)),
""))))))))))</f>
        <v>#REF!</v>
      </c>
      <c r="G356" t="e">
        <f>IF(OR($A356="",$A356=0),"",IF(OR(B356=2,B356=4,B356=6,B356=7),
    INDEX(Tabla13[Ind impuestos], MATCH($A356, Tabla13[N Doc], 0)),
""))</f>
        <v>#REF!</v>
      </c>
      <c r="J356" t="e">
        <f>IF(OR($A356="",$A356=0),"",IF(OR(B356=2,B356=4,B356=6,B356=7),
    INDEX(Tabla1[CECO], MATCH($A356, Tabla1[N Doc], 0)),
""))</f>
        <v>#REF!</v>
      </c>
      <c r="M356" t="e">
        <f>IF(C356=31,INDEX(Tabla1[Descripción], MATCH($A356, Tabla1[N Doc], 0)),"")</f>
        <v>#REF!</v>
      </c>
    </row>
    <row r="357" spans="1:13" x14ac:dyDescent="0.3">
      <c r="A357" t="e" cm="1">
        <f t="array" ref="A357">INDEX(Tabla1[N Doc], ROUNDUP((ROW()-1)/9, 0))</f>
        <v>#REF!</v>
      </c>
      <c r="B357" t="e">
        <f>IF(OR(A357="",A357=0),"",CHOOSE(
    COUNTIF($A$2:A357,A357),
    1,2,3,4,5,6,7,8,9
))</f>
        <v>#REF!</v>
      </c>
      <c r="C357" t="e">
        <f t="shared" si="5"/>
        <v>#REF!</v>
      </c>
      <c r="D357" s="7" t="e" cm="1">
        <f t="array" ref="D357">IF(OR($A357="",$A357=0),"",
IF(AND(INDEX(Formulario!$H$14:$H$100, $A357)="Si", C357&lt;&gt;31),
        VLOOKUP("cta puente",'Descripciones de gastos'!G:H, 2, FALSE),
IF(B357=1,
        INDEX(Tabla13[Titular], MATCH($A357, Tabla1[N Doc], 0)),
IF(B357=2,
        INDEX(Tabla1[Cuenta contable], MATCH($A357, Tabla1[N Doc], 0)),
IF(B357=3,
        INDEX(Tabla13[Cta Iva 22], MATCH($A357, Tabla1[N Doc], 0)),
IF(B357=4,
        INDEX(Tabla1[Cuenta contable], MATCH($A357, Tabla1[N Doc], 0)),
IF(B357=5,
        INDEX(Tabla13[Cta Iva 10], MATCH($A357, Tabla1[N Doc], 0)),
IF(B357=6,
        INDEX(Tabla1[Cuenta contable], MATCH($A357, Tabla1[N Doc], 0)),
IF(B357=7,
        INDEX(Tabla1[Cuenta contable], MATCH($A357, Tabla1[N Doc], 0)),
IF(B357=8,
        IF(INDEX(Tabla1[Tipo IVA], MATCH($A357, Tabla1[N Doc], 0))="22%",
             INDEX(Tabla13[Cta Iva 22], MATCH($A357, Tabla1[N Doc], 0)),
             INDEX(Tabla13[Cta Iva 10], MATCH($A357, Tabla1[N Doc], 0))),
IF(B357=9,
        INDEX(Tabla1[Cuenta contable], MATCH($A357, Tabla1[N Doc], 0))
)))))))))))</f>
        <v>#REF!</v>
      </c>
      <c r="F357" t="e">
        <f>IF(OR($A357="",$A357=0),"",IF(B357=1,
        INDEX(Tabla1[Importe total], MATCH($A357, Tabla1[N Doc], 0)),
IF(B357=2,
        INDEX(Tabla1[Base imponible 22], MATCH($A357, Tabla1[N Doc], 0)),
IF(B357=3,
        INDEX(Tabla1[Iva 22], MATCH($A357, Tabla1[N Doc], 0)),
IF(B357=4,
        INDEX(Tabla1[Base imponible 10], MATCH($A357, Tabla1[N Doc], 0)),
IF(B357=5,
        INDEX(Tabla1[Iva 10], MATCH($A357, Tabla1[N Doc], 0)),
IF(B357=6,
        INDEX(Tabla1[Exento], MATCH($A357, Tabla1[N Doc], 0)),
IF(B357=7,
        INDEX(#REF!, MATCH($A357, Tabla1[N Doc], 0)),
IF(B357=8,
        INDEX(#REF!, MATCH($A357, Tabla1[N Doc], 0)),
IF(B357=9,
        INDEX(Tabla1[Descuentos], MATCH($A357, Tabla1[N Doc], 0)),
""))))))))))</f>
        <v>#REF!</v>
      </c>
      <c r="G357" t="e">
        <f>IF(OR($A357="",$A357=0),"",IF(OR(B357=2,B357=4,B357=6,B357=7),
    INDEX(Tabla13[Ind impuestos], MATCH($A357, Tabla13[N Doc], 0)),
""))</f>
        <v>#REF!</v>
      </c>
      <c r="J357" t="e">
        <f>IF(OR($A357="",$A357=0),"",IF(OR(B357=2,B357=4,B357=6,B357=7),
    INDEX(Tabla1[CECO], MATCH($A357, Tabla1[N Doc], 0)),
""))</f>
        <v>#REF!</v>
      </c>
      <c r="M357" t="e">
        <f>IF(C357=31,INDEX(Tabla1[Descripción], MATCH($A357, Tabla1[N Doc], 0)),"")</f>
        <v>#REF!</v>
      </c>
    </row>
    <row r="358" spans="1:13" x14ac:dyDescent="0.3">
      <c r="A358" t="e" cm="1">
        <f t="array" ref="A358">INDEX(Tabla1[N Doc], ROUNDUP((ROW()-1)/9, 0))</f>
        <v>#REF!</v>
      </c>
      <c r="B358" t="e">
        <f>IF(OR(A358="",A358=0),"",CHOOSE(
    COUNTIF($A$2:A358,A358),
    1,2,3,4,5,6,7,8,9
))</f>
        <v>#REF!</v>
      </c>
      <c r="C358" t="e">
        <f t="shared" si="5"/>
        <v>#REF!</v>
      </c>
      <c r="D358" s="7" t="e" cm="1">
        <f t="array" ref="D358">IF(OR($A358="",$A358=0),"",
IF(AND(INDEX(Formulario!$H$14:$H$100, $A358)="Si", C358&lt;&gt;31),
        VLOOKUP("cta puente",'Descripciones de gastos'!G:H, 2, FALSE),
IF(B358=1,
        INDEX(Tabla13[Titular], MATCH($A358, Tabla1[N Doc], 0)),
IF(B358=2,
        INDEX(Tabla1[Cuenta contable], MATCH($A358, Tabla1[N Doc], 0)),
IF(B358=3,
        INDEX(Tabla13[Cta Iva 22], MATCH($A358, Tabla1[N Doc], 0)),
IF(B358=4,
        INDEX(Tabla1[Cuenta contable], MATCH($A358, Tabla1[N Doc], 0)),
IF(B358=5,
        INDEX(Tabla13[Cta Iva 10], MATCH($A358, Tabla1[N Doc], 0)),
IF(B358=6,
        INDEX(Tabla1[Cuenta contable], MATCH($A358, Tabla1[N Doc], 0)),
IF(B358=7,
        INDEX(Tabla1[Cuenta contable], MATCH($A358, Tabla1[N Doc], 0)),
IF(B358=8,
        IF(INDEX(Tabla1[Tipo IVA], MATCH($A358, Tabla1[N Doc], 0))="22%",
             INDEX(Tabla13[Cta Iva 22], MATCH($A358, Tabla1[N Doc], 0)),
             INDEX(Tabla13[Cta Iva 10], MATCH($A358, Tabla1[N Doc], 0))),
IF(B358=9,
        INDEX(Tabla1[Cuenta contable], MATCH($A358, Tabla1[N Doc], 0))
)))))))))))</f>
        <v>#REF!</v>
      </c>
      <c r="F358" t="e">
        <f>IF(OR($A358="",$A358=0),"",IF(B358=1,
        INDEX(Tabla1[Importe total], MATCH($A358, Tabla1[N Doc], 0)),
IF(B358=2,
        INDEX(Tabla1[Base imponible 22], MATCH($A358, Tabla1[N Doc], 0)),
IF(B358=3,
        INDEX(Tabla1[Iva 22], MATCH($A358, Tabla1[N Doc], 0)),
IF(B358=4,
        INDEX(Tabla1[Base imponible 10], MATCH($A358, Tabla1[N Doc], 0)),
IF(B358=5,
        INDEX(Tabla1[Iva 10], MATCH($A358, Tabla1[N Doc], 0)),
IF(B358=6,
        INDEX(Tabla1[Exento], MATCH($A358, Tabla1[N Doc], 0)),
IF(B358=7,
        INDEX(#REF!, MATCH($A358, Tabla1[N Doc], 0)),
IF(B358=8,
        INDEX(#REF!, MATCH($A358, Tabla1[N Doc], 0)),
IF(B358=9,
        INDEX(Tabla1[Descuentos], MATCH($A358, Tabla1[N Doc], 0)),
""))))))))))</f>
        <v>#REF!</v>
      </c>
      <c r="G358" t="e">
        <f>IF(OR($A358="",$A358=0),"",IF(OR(B358=2,B358=4,B358=6,B358=7),
    INDEX(Tabla13[Ind impuestos], MATCH($A358, Tabla13[N Doc], 0)),
""))</f>
        <v>#REF!</v>
      </c>
      <c r="J358" t="e">
        <f>IF(OR($A358="",$A358=0),"",IF(OR(B358=2,B358=4,B358=6,B358=7),
    INDEX(Tabla1[CECO], MATCH($A358, Tabla1[N Doc], 0)),
""))</f>
        <v>#REF!</v>
      </c>
      <c r="M358" t="e">
        <f>IF(C358=31,INDEX(Tabla1[Descripción], MATCH($A358, Tabla1[N Doc], 0)),"")</f>
        <v>#REF!</v>
      </c>
    </row>
    <row r="359" spans="1:13" x14ac:dyDescent="0.3">
      <c r="A359" t="e" cm="1">
        <f t="array" ref="A359">INDEX(Tabla1[N Doc], ROUNDUP((ROW()-1)/9, 0))</f>
        <v>#REF!</v>
      </c>
      <c r="B359" t="e">
        <f>IF(OR(A359="",A359=0),"",CHOOSE(
    COUNTIF($A$2:A359,A359),
    1,2,3,4,5,6,7,8,9
))</f>
        <v>#REF!</v>
      </c>
      <c r="C359" t="e">
        <f t="shared" si="5"/>
        <v>#REF!</v>
      </c>
      <c r="D359" s="7" t="e" cm="1">
        <f t="array" ref="D359">IF(OR($A359="",$A359=0),"",
IF(AND(INDEX(Formulario!$H$14:$H$100, $A359)="Si", C359&lt;&gt;31),
        VLOOKUP("cta puente",'Descripciones de gastos'!G:H, 2, FALSE),
IF(B359=1,
        INDEX(Tabla13[Titular], MATCH($A359, Tabla1[N Doc], 0)),
IF(B359=2,
        INDEX(Tabla1[Cuenta contable], MATCH($A359, Tabla1[N Doc], 0)),
IF(B359=3,
        INDEX(Tabla13[Cta Iva 22], MATCH($A359, Tabla1[N Doc], 0)),
IF(B359=4,
        INDEX(Tabla1[Cuenta contable], MATCH($A359, Tabla1[N Doc], 0)),
IF(B359=5,
        INDEX(Tabla13[Cta Iva 10], MATCH($A359, Tabla1[N Doc], 0)),
IF(B359=6,
        INDEX(Tabla1[Cuenta contable], MATCH($A359, Tabla1[N Doc], 0)),
IF(B359=7,
        INDEX(Tabla1[Cuenta contable], MATCH($A359, Tabla1[N Doc], 0)),
IF(B359=8,
        IF(INDEX(Tabla1[Tipo IVA], MATCH($A359, Tabla1[N Doc], 0))="22%",
             INDEX(Tabla13[Cta Iva 22], MATCH($A359, Tabla1[N Doc], 0)),
             INDEX(Tabla13[Cta Iva 10], MATCH($A359, Tabla1[N Doc], 0))),
IF(B359=9,
        INDEX(Tabla1[Cuenta contable], MATCH($A359, Tabla1[N Doc], 0))
)))))))))))</f>
        <v>#REF!</v>
      </c>
      <c r="F359" t="e">
        <f>IF(OR($A359="",$A359=0),"",IF(B359=1,
        INDEX(Tabla1[Importe total], MATCH($A359, Tabla1[N Doc], 0)),
IF(B359=2,
        INDEX(Tabla1[Base imponible 22], MATCH($A359, Tabla1[N Doc], 0)),
IF(B359=3,
        INDEX(Tabla1[Iva 22], MATCH($A359, Tabla1[N Doc], 0)),
IF(B359=4,
        INDEX(Tabla1[Base imponible 10], MATCH($A359, Tabla1[N Doc], 0)),
IF(B359=5,
        INDEX(Tabla1[Iva 10], MATCH($A359, Tabla1[N Doc], 0)),
IF(B359=6,
        INDEX(Tabla1[Exento], MATCH($A359, Tabla1[N Doc], 0)),
IF(B359=7,
        INDEX(#REF!, MATCH($A359, Tabla1[N Doc], 0)),
IF(B359=8,
        INDEX(#REF!, MATCH($A359, Tabla1[N Doc], 0)),
IF(B359=9,
        INDEX(Tabla1[Descuentos], MATCH($A359, Tabla1[N Doc], 0)),
""))))))))))</f>
        <v>#REF!</v>
      </c>
      <c r="G359" t="e">
        <f>IF(OR($A359="",$A359=0),"",IF(OR(B359=2,B359=4,B359=6,B359=7),
    INDEX(Tabla13[Ind impuestos], MATCH($A359, Tabla13[N Doc], 0)),
""))</f>
        <v>#REF!</v>
      </c>
      <c r="J359" t="e">
        <f>IF(OR($A359="",$A359=0),"",IF(OR(B359=2,B359=4,B359=6,B359=7),
    INDEX(Tabla1[CECO], MATCH($A359, Tabla1[N Doc], 0)),
""))</f>
        <v>#REF!</v>
      </c>
      <c r="M359" t="e">
        <f>IF(C359=31,INDEX(Tabla1[Descripción], MATCH($A359, Tabla1[N Doc], 0)),"")</f>
        <v>#REF!</v>
      </c>
    </row>
    <row r="360" spans="1:13" x14ac:dyDescent="0.3">
      <c r="A360" t="e" cm="1">
        <f t="array" ref="A360">INDEX(Tabla1[N Doc], ROUNDUP((ROW()-1)/9, 0))</f>
        <v>#REF!</v>
      </c>
      <c r="B360" t="e">
        <f>IF(OR(A360="",A360=0),"",CHOOSE(
    COUNTIF($A$2:A360,A360),
    1,2,3,4,5,6,7,8,9
))</f>
        <v>#REF!</v>
      </c>
      <c r="C360" t="e">
        <f t="shared" si="5"/>
        <v>#REF!</v>
      </c>
      <c r="D360" s="7" t="e" cm="1">
        <f t="array" ref="D360">IF(OR($A360="",$A360=0),"",
IF(AND(INDEX(Formulario!$H$14:$H$100, $A360)="Si", C360&lt;&gt;31),
        VLOOKUP("cta puente",'Descripciones de gastos'!G:H, 2, FALSE),
IF(B360=1,
        INDEX(Tabla13[Titular], MATCH($A360, Tabla1[N Doc], 0)),
IF(B360=2,
        INDEX(Tabla1[Cuenta contable], MATCH($A360, Tabla1[N Doc], 0)),
IF(B360=3,
        INDEX(Tabla13[Cta Iva 22], MATCH($A360, Tabla1[N Doc], 0)),
IF(B360=4,
        INDEX(Tabla1[Cuenta contable], MATCH($A360, Tabla1[N Doc], 0)),
IF(B360=5,
        INDEX(Tabla13[Cta Iva 10], MATCH($A360, Tabla1[N Doc], 0)),
IF(B360=6,
        INDEX(Tabla1[Cuenta contable], MATCH($A360, Tabla1[N Doc], 0)),
IF(B360=7,
        INDEX(Tabla1[Cuenta contable], MATCH($A360, Tabla1[N Doc], 0)),
IF(B360=8,
        IF(INDEX(Tabla1[Tipo IVA], MATCH($A360, Tabla1[N Doc], 0))="22%",
             INDEX(Tabla13[Cta Iva 22], MATCH($A360, Tabla1[N Doc], 0)),
             INDEX(Tabla13[Cta Iva 10], MATCH($A360, Tabla1[N Doc], 0))),
IF(B360=9,
        INDEX(Tabla1[Cuenta contable], MATCH($A360, Tabla1[N Doc], 0))
)))))))))))</f>
        <v>#REF!</v>
      </c>
      <c r="F360" t="e">
        <f>IF(OR($A360="",$A360=0),"",IF(B360=1,
        INDEX(Tabla1[Importe total], MATCH($A360, Tabla1[N Doc], 0)),
IF(B360=2,
        INDEX(Tabla1[Base imponible 22], MATCH($A360, Tabla1[N Doc], 0)),
IF(B360=3,
        INDEX(Tabla1[Iva 22], MATCH($A360, Tabla1[N Doc], 0)),
IF(B360=4,
        INDEX(Tabla1[Base imponible 10], MATCH($A360, Tabla1[N Doc], 0)),
IF(B360=5,
        INDEX(Tabla1[Iva 10], MATCH($A360, Tabla1[N Doc], 0)),
IF(B360=6,
        INDEX(Tabla1[Exento], MATCH($A360, Tabla1[N Doc], 0)),
IF(B360=7,
        INDEX(#REF!, MATCH($A360, Tabla1[N Doc], 0)),
IF(B360=8,
        INDEX(#REF!, MATCH($A360, Tabla1[N Doc], 0)),
IF(B360=9,
        INDEX(Tabla1[Descuentos], MATCH($A360, Tabla1[N Doc], 0)),
""))))))))))</f>
        <v>#REF!</v>
      </c>
      <c r="G360" t="e">
        <f>IF(OR($A360="",$A360=0),"",IF(OR(B360=2,B360=4,B360=6,B360=7),
    INDEX(Tabla13[Ind impuestos], MATCH($A360, Tabla13[N Doc], 0)),
""))</f>
        <v>#REF!</v>
      </c>
      <c r="J360" t="e">
        <f>IF(OR($A360="",$A360=0),"",IF(OR(B360=2,B360=4,B360=6,B360=7),
    INDEX(Tabla1[CECO], MATCH($A360, Tabla1[N Doc], 0)),
""))</f>
        <v>#REF!</v>
      </c>
      <c r="M360" t="e">
        <f>IF(C360=31,INDEX(Tabla1[Descripción], MATCH($A360, Tabla1[N Doc], 0)),"")</f>
        <v>#REF!</v>
      </c>
    </row>
    <row r="361" spans="1:13" x14ac:dyDescent="0.3">
      <c r="A361" t="e" cm="1">
        <f t="array" ref="A361">INDEX(Tabla1[N Doc], ROUNDUP((ROW()-1)/9, 0))</f>
        <v>#REF!</v>
      </c>
      <c r="B361" t="e">
        <f>IF(OR(A361="",A361=0),"",CHOOSE(
    COUNTIF($A$2:A361,A361),
    1,2,3,4,5,6,7,8,9
))</f>
        <v>#REF!</v>
      </c>
      <c r="C361" t="e">
        <f t="shared" si="5"/>
        <v>#REF!</v>
      </c>
      <c r="D361" s="7" t="e" cm="1">
        <f t="array" ref="D361">IF(OR($A361="",$A361=0),"",
IF(AND(INDEX(Formulario!$H$14:$H$100, $A361)="Si", C361&lt;&gt;31),
        VLOOKUP("cta puente",'Descripciones de gastos'!G:H, 2, FALSE),
IF(B361=1,
        INDEX(Tabla13[Titular], MATCH($A361, Tabla1[N Doc], 0)),
IF(B361=2,
        INDEX(Tabla1[Cuenta contable], MATCH($A361, Tabla1[N Doc], 0)),
IF(B361=3,
        INDEX(Tabla13[Cta Iva 22], MATCH($A361, Tabla1[N Doc], 0)),
IF(B361=4,
        INDEX(Tabla1[Cuenta contable], MATCH($A361, Tabla1[N Doc], 0)),
IF(B361=5,
        INDEX(Tabla13[Cta Iva 10], MATCH($A361, Tabla1[N Doc], 0)),
IF(B361=6,
        INDEX(Tabla1[Cuenta contable], MATCH($A361, Tabla1[N Doc], 0)),
IF(B361=7,
        INDEX(Tabla1[Cuenta contable], MATCH($A361, Tabla1[N Doc], 0)),
IF(B361=8,
        IF(INDEX(Tabla1[Tipo IVA], MATCH($A361, Tabla1[N Doc], 0))="22%",
             INDEX(Tabla13[Cta Iva 22], MATCH($A361, Tabla1[N Doc], 0)),
             INDEX(Tabla13[Cta Iva 10], MATCH($A361, Tabla1[N Doc], 0))),
IF(B361=9,
        INDEX(Tabla1[Cuenta contable], MATCH($A361, Tabla1[N Doc], 0))
)))))))))))</f>
        <v>#REF!</v>
      </c>
      <c r="F361" t="e">
        <f>IF(OR($A361="",$A361=0),"",IF(B361=1,
        INDEX(Tabla1[Importe total], MATCH($A361, Tabla1[N Doc], 0)),
IF(B361=2,
        INDEX(Tabla1[Base imponible 22], MATCH($A361, Tabla1[N Doc], 0)),
IF(B361=3,
        INDEX(Tabla1[Iva 22], MATCH($A361, Tabla1[N Doc], 0)),
IF(B361=4,
        INDEX(Tabla1[Base imponible 10], MATCH($A361, Tabla1[N Doc], 0)),
IF(B361=5,
        INDEX(Tabla1[Iva 10], MATCH($A361, Tabla1[N Doc], 0)),
IF(B361=6,
        INDEX(Tabla1[Exento], MATCH($A361, Tabla1[N Doc], 0)),
IF(B361=7,
        INDEX(#REF!, MATCH($A361, Tabla1[N Doc], 0)),
IF(B361=8,
        INDEX(#REF!, MATCH($A361, Tabla1[N Doc], 0)),
IF(B361=9,
        INDEX(Tabla1[Descuentos], MATCH($A361, Tabla1[N Doc], 0)),
""))))))))))</f>
        <v>#REF!</v>
      </c>
      <c r="G361" t="e">
        <f>IF(OR($A361="",$A361=0),"",IF(OR(B361=2,B361=4,B361=6,B361=7),
    INDEX(Tabla13[Ind impuestos], MATCH($A361, Tabla13[N Doc], 0)),
""))</f>
        <v>#REF!</v>
      </c>
      <c r="J361" t="e">
        <f>IF(OR($A361="",$A361=0),"",IF(OR(B361=2,B361=4,B361=6,B361=7),
    INDEX(Tabla1[CECO], MATCH($A361, Tabla1[N Doc], 0)),
""))</f>
        <v>#REF!</v>
      </c>
      <c r="M361" t="e">
        <f>IF(C361=31,INDEX(Tabla1[Descripción], MATCH($A361, Tabla1[N Doc], 0)),"")</f>
        <v>#REF!</v>
      </c>
    </row>
    <row r="362" spans="1:13" x14ac:dyDescent="0.3">
      <c r="A362" t="e" cm="1">
        <f t="array" ref="A362">INDEX(Tabla1[N Doc], ROUNDUP((ROW()-1)/9, 0))</f>
        <v>#REF!</v>
      </c>
      <c r="B362" t="e">
        <f>IF(OR(A362="",A362=0),"",CHOOSE(
    COUNTIF($A$2:A362,A362),
    1,2,3,4,5,6,7,8,9
))</f>
        <v>#REF!</v>
      </c>
      <c r="C362" t="e">
        <f t="shared" si="5"/>
        <v>#REF!</v>
      </c>
      <c r="D362" s="7" t="e" cm="1">
        <f t="array" ref="D362">IF(OR($A362="",$A362=0),"",
IF(AND(INDEX(Formulario!$H$14:$H$100, $A362)="Si", C362&lt;&gt;31),
        VLOOKUP("cta puente",'Descripciones de gastos'!G:H, 2, FALSE),
IF(B362=1,
        INDEX(Tabla13[Titular], MATCH($A362, Tabla1[N Doc], 0)),
IF(B362=2,
        INDEX(Tabla1[Cuenta contable], MATCH($A362, Tabla1[N Doc], 0)),
IF(B362=3,
        INDEX(Tabla13[Cta Iva 22], MATCH($A362, Tabla1[N Doc], 0)),
IF(B362=4,
        INDEX(Tabla1[Cuenta contable], MATCH($A362, Tabla1[N Doc], 0)),
IF(B362=5,
        INDEX(Tabla13[Cta Iva 10], MATCH($A362, Tabla1[N Doc], 0)),
IF(B362=6,
        INDEX(Tabla1[Cuenta contable], MATCH($A362, Tabla1[N Doc], 0)),
IF(B362=7,
        INDEX(Tabla1[Cuenta contable], MATCH($A362, Tabla1[N Doc], 0)),
IF(B362=8,
        IF(INDEX(Tabla1[Tipo IVA], MATCH($A362, Tabla1[N Doc], 0))="22%",
             INDEX(Tabla13[Cta Iva 22], MATCH($A362, Tabla1[N Doc], 0)),
             INDEX(Tabla13[Cta Iva 10], MATCH($A362, Tabla1[N Doc], 0))),
IF(B362=9,
        INDEX(Tabla1[Cuenta contable], MATCH($A362, Tabla1[N Doc], 0))
)))))))))))</f>
        <v>#REF!</v>
      </c>
      <c r="F362" t="e">
        <f>IF(OR($A362="",$A362=0),"",IF(B362=1,
        INDEX(Tabla1[Importe total], MATCH($A362, Tabla1[N Doc], 0)),
IF(B362=2,
        INDEX(Tabla1[Base imponible 22], MATCH($A362, Tabla1[N Doc], 0)),
IF(B362=3,
        INDEX(Tabla1[Iva 22], MATCH($A362, Tabla1[N Doc], 0)),
IF(B362=4,
        INDEX(Tabla1[Base imponible 10], MATCH($A362, Tabla1[N Doc], 0)),
IF(B362=5,
        INDEX(Tabla1[Iva 10], MATCH($A362, Tabla1[N Doc], 0)),
IF(B362=6,
        INDEX(Tabla1[Exento], MATCH($A362, Tabla1[N Doc], 0)),
IF(B362=7,
        INDEX(#REF!, MATCH($A362, Tabla1[N Doc], 0)),
IF(B362=8,
        INDEX(#REF!, MATCH($A362, Tabla1[N Doc], 0)),
IF(B362=9,
        INDEX(Tabla1[Descuentos], MATCH($A362, Tabla1[N Doc], 0)),
""))))))))))</f>
        <v>#REF!</v>
      </c>
      <c r="G362" t="e">
        <f>IF(OR($A362="",$A362=0),"",IF(OR(B362=2,B362=4,B362=6,B362=7),
    INDEX(Tabla13[Ind impuestos], MATCH($A362, Tabla13[N Doc], 0)),
""))</f>
        <v>#REF!</v>
      </c>
      <c r="J362" t="e">
        <f>IF(OR($A362="",$A362=0),"",IF(OR(B362=2,B362=4,B362=6,B362=7),
    INDEX(Tabla1[CECO], MATCH($A362, Tabla1[N Doc], 0)),
""))</f>
        <v>#REF!</v>
      </c>
      <c r="M362" t="e">
        <f>IF(C362=31,INDEX(Tabla1[Descripción], MATCH($A362, Tabla1[N Doc], 0)),"")</f>
        <v>#REF!</v>
      </c>
    </row>
    <row r="363" spans="1:13" x14ac:dyDescent="0.3">
      <c r="A363" t="e" cm="1">
        <f t="array" ref="A363">INDEX(Tabla1[N Doc], ROUNDUP((ROW()-1)/9, 0))</f>
        <v>#REF!</v>
      </c>
      <c r="B363" t="e">
        <f>IF(OR(A363="",A363=0),"",CHOOSE(
    COUNTIF($A$2:A363,A363),
    1,2,3,4,5,6,7,8,9
))</f>
        <v>#REF!</v>
      </c>
      <c r="C363" t="e">
        <f t="shared" si="5"/>
        <v>#REF!</v>
      </c>
      <c r="D363" s="7" t="e" cm="1">
        <f t="array" ref="D363">IF(OR($A363="",$A363=0),"",
IF(AND(INDEX(Formulario!$H$14:$H$100, $A363)="Si", C363&lt;&gt;31),
        VLOOKUP("cta puente",'Descripciones de gastos'!G:H, 2, FALSE),
IF(B363=1,
        INDEX(Tabla13[Titular], MATCH($A363, Tabla1[N Doc], 0)),
IF(B363=2,
        INDEX(Tabla1[Cuenta contable], MATCH($A363, Tabla1[N Doc], 0)),
IF(B363=3,
        INDEX(Tabla13[Cta Iva 22], MATCH($A363, Tabla1[N Doc], 0)),
IF(B363=4,
        INDEX(Tabla1[Cuenta contable], MATCH($A363, Tabla1[N Doc], 0)),
IF(B363=5,
        INDEX(Tabla13[Cta Iva 10], MATCH($A363, Tabla1[N Doc], 0)),
IF(B363=6,
        INDEX(Tabla1[Cuenta contable], MATCH($A363, Tabla1[N Doc], 0)),
IF(B363=7,
        INDEX(Tabla1[Cuenta contable], MATCH($A363, Tabla1[N Doc], 0)),
IF(B363=8,
        IF(INDEX(Tabla1[Tipo IVA], MATCH($A363, Tabla1[N Doc], 0))="22%",
             INDEX(Tabla13[Cta Iva 22], MATCH($A363, Tabla1[N Doc], 0)),
             INDEX(Tabla13[Cta Iva 10], MATCH($A363, Tabla1[N Doc], 0))),
IF(B363=9,
        INDEX(Tabla1[Cuenta contable], MATCH($A363, Tabla1[N Doc], 0))
)))))))))))</f>
        <v>#REF!</v>
      </c>
      <c r="F363" t="e">
        <f>IF(OR($A363="",$A363=0),"",IF(B363=1,
        INDEX(Tabla1[Importe total], MATCH($A363, Tabla1[N Doc], 0)),
IF(B363=2,
        INDEX(Tabla1[Base imponible 22], MATCH($A363, Tabla1[N Doc], 0)),
IF(B363=3,
        INDEX(Tabla1[Iva 22], MATCH($A363, Tabla1[N Doc], 0)),
IF(B363=4,
        INDEX(Tabla1[Base imponible 10], MATCH($A363, Tabla1[N Doc], 0)),
IF(B363=5,
        INDEX(Tabla1[Iva 10], MATCH($A363, Tabla1[N Doc], 0)),
IF(B363=6,
        INDEX(Tabla1[Exento], MATCH($A363, Tabla1[N Doc], 0)),
IF(B363=7,
        INDEX(#REF!, MATCH($A363, Tabla1[N Doc], 0)),
IF(B363=8,
        INDEX(#REF!, MATCH($A363, Tabla1[N Doc], 0)),
IF(B363=9,
        INDEX(Tabla1[Descuentos], MATCH($A363, Tabla1[N Doc], 0)),
""))))))))))</f>
        <v>#REF!</v>
      </c>
      <c r="G363" t="e">
        <f>IF(OR($A363="",$A363=0),"",IF(OR(B363=2,B363=4,B363=6,B363=7),
    INDEX(Tabla13[Ind impuestos], MATCH($A363, Tabla13[N Doc], 0)),
""))</f>
        <v>#REF!</v>
      </c>
      <c r="J363" t="e">
        <f>IF(OR($A363="",$A363=0),"",IF(OR(B363=2,B363=4,B363=6,B363=7),
    INDEX(Tabla1[CECO], MATCH($A363, Tabla1[N Doc], 0)),
""))</f>
        <v>#REF!</v>
      </c>
      <c r="M363" t="e">
        <f>IF(C363=31,INDEX(Tabla1[Descripción], MATCH($A363, Tabla1[N Doc], 0)),"")</f>
        <v>#REF!</v>
      </c>
    </row>
    <row r="364" spans="1:13" x14ac:dyDescent="0.3">
      <c r="A364" t="e" cm="1">
        <f t="array" ref="A364">INDEX(Tabla1[N Doc], ROUNDUP((ROW()-1)/9, 0))</f>
        <v>#REF!</v>
      </c>
      <c r="B364" t="e">
        <f>IF(OR(A364="",A364=0),"",CHOOSE(
    COUNTIF($A$2:A364,A364),
    1,2,3,4,5,6,7,8,9
))</f>
        <v>#REF!</v>
      </c>
      <c r="C364" t="e">
        <f t="shared" si="5"/>
        <v>#REF!</v>
      </c>
      <c r="D364" s="7" t="e" cm="1">
        <f t="array" ref="D364">IF(OR($A364="",$A364=0),"",
IF(AND(INDEX(Formulario!$H$14:$H$100, $A364)="Si", C364&lt;&gt;31),
        VLOOKUP("cta puente",'Descripciones de gastos'!G:H, 2, FALSE),
IF(B364=1,
        INDEX(Tabla13[Titular], MATCH($A364, Tabla1[N Doc], 0)),
IF(B364=2,
        INDEX(Tabla1[Cuenta contable], MATCH($A364, Tabla1[N Doc], 0)),
IF(B364=3,
        INDEX(Tabla13[Cta Iva 22], MATCH($A364, Tabla1[N Doc], 0)),
IF(B364=4,
        INDEX(Tabla1[Cuenta contable], MATCH($A364, Tabla1[N Doc], 0)),
IF(B364=5,
        INDEX(Tabla13[Cta Iva 10], MATCH($A364, Tabla1[N Doc], 0)),
IF(B364=6,
        INDEX(Tabla1[Cuenta contable], MATCH($A364, Tabla1[N Doc], 0)),
IF(B364=7,
        INDEX(Tabla1[Cuenta contable], MATCH($A364, Tabla1[N Doc], 0)),
IF(B364=8,
        IF(INDEX(Tabla1[Tipo IVA], MATCH($A364, Tabla1[N Doc], 0))="22%",
             INDEX(Tabla13[Cta Iva 22], MATCH($A364, Tabla1[N Doc], 0)),
             INDEX(Tabla13[Cta Iva 10], MATCH($A364, Tabla1[N Doc], 0))),
IF(B364=9,
        INDEX(Tabla1[Cuenta contable], MATCH($A364, Tabla1[N Doc], 0))
)))))))))))</f>
        <v>#REF!</v>
      </c>
      <c r="F364" t="e">
        <f>IF(OR($A364="",$A364=0),"",IF(B364=1,
        INDEX(Tabla1[Importe total], MATCH($A364, Tabla1[N Doc], 0)),
IF(B364=2,
        INDEX(Tabla1[Base imponible 22], MATCH($A364, Tabla1[N Doc], 0)),
IF(B364=3,
        INDEX(Tabla1[Iva 22], MATCH($A364, Tabla1[N Doc], 0)),
IF(B364=4,
        INDEX(Tabla1[Base imponible 10], MATCH($A364, Tabla1[N Doc], 0)),
IF(B364=5,
        INDEX(Tabla1[Iva 10], MATCH($A364, Tabla1[N Doc], 0)),
IF(B364=6,
        INDEX(Tabla1[Exento], MATCH($A364, Tabla1[N Doc], 0)),
IF(B364=7,
        INDEX(#REF!, MATCH($A364, Tabla1[N Doc], 0)),
IF(B364=8,
        INDEX(#REF!, MATCH($A364, Tabla1[N Doc], 0)),
IF(B364=9,
        INDEX(Tabla1[Descuentos], MATCH($A364, Tabla1[N Doc], 0)),
""))))))))))</f>
        <v>#REF!</v>
      </c>
      <c r="G364" t="e">
        <f>IF(OR($A364="",$A364=0),"",IF(OR(B364=2,B364=4,B364=6,B364=7),
    INDEX(Tabla13[Ind impuestos], MATCH($A364, Tabla13[N Doc], 0)),
""))</f>
        <v>#REF!</v>
      </c>
      <c r="J364" t="e">
        <f>IF(OR($A364="",$A364=0),"",IF(OR(B364=2,B364=4,B364=6,B364=7),
    INDEX(Tabla1[CECO], MATCH($A364, Tabla1[N Doc], 0)),
""))</f>
        <v>#REF!</v>
      </c>
      <c r="M364" t="e">
        <f>IF(C364=31,INDEX(Tabla1[Descripción], MATCH($A364, Tabla1[N Doc], 0)),"")</f>
        <v>#REF!</v>
      </c>
    </row>
    <row r="365" spans="1:13" x14ac:dyDescent="0.3">
      <c r="A365" t="e" cm="1">
        <f t="array" ref="A365">INDEX(Tabla1[N Doc], ROUNDUP((ROW()-1)/9, 0))</f>
        <v>#REF!</v>
      </c>
      <c r="B365" t="e">
        <f>IF(OR(A365="",A365=0),"",CHOOSE(
    COUNTIF($A$2:A365,A365),
    1,2,3,4,5,6,7,8,9
))</f>
        <v>#REF!</v>
      </c>
      <c r="C365" t="e">
        <f t="shared" si="5"/>
        <v>#REF!</v>
      </c>
      <c r="D365" s="7" t="e" cm="1">
        <f t="array" ref="D365">IF(OR($A365="",$A365=0),"",
IF(AND(INDEX(Formulario!$H$14:$H$100, $A365)="Si", C365&lt;&gt;31),
        VLOOKUP("cta puente",'Descripciones de gastos'!G:H, 2, FALSE),
IF(B365=1,
        INDEX(Tabla13[Titular], MATCH($A365, Tabla1[N Doc], 0)),
IF(B365=2,
        INDEX(Tabla1[Cuenta contable], MATCH($A365, Tabla1[N Doc], 0)),
IF(B365=3,
        INDEX(Tabla13[Cta Iva 22], MATCH($A365, Tabla1[N Doc], 0)),
IF(B365=4,
        INDEX(Tabla1[Cuenta contable], MATCH($A365, Tabla1[N Doc], 0)),
IF(B365=5,
        INDEX(Tabla13[Cta Iva 10], MATCH($A365, Tabla1[N Doc], 0)),
IF(B365=6,
        INDEX(Tabla1[Cuenta contable], MATCH($A365, Tabla1[N Doc], 0)),
IF(B365=7,
        INDEX(Tabla1[Cuenta contable], MATCH($A365, Tabla1[N Doc], 0)),
IF(B365=8,
        IF(INDEX(Tabla1[Tipo IVA], MATCH($A365, Tabla1[N Doc], 0))="22%",
             INDEX(Tabla13[Cta Iva 22], MATCH($A365, Tabla1[N Doc], 0)),
             INDEX(Tabla13[Cta Iva 10], MATCH($A365, Tabla1[N Doc], 0))),
IF(B365=9,
        INDEX(Tabla1[Cuenta contable], MATCH($A365, Tabla1[N Doc], 0))
)))))))))))</f>
        <v>#REF!</v>
      </c>
      <c r="F365" t="e">
        <f>IF(OR($A365="",$A365=0),"",IF(B365=1,
        INDEX(Tabla1[Importe total], MATCH($A365, Tabla1[N Doc], 0)),
IF(B365=2,
        INDEX(Tabla1[Base imponible 22], MATCH($A365, Tabla1[N Doc], 0)),
IF(B365=3,
        INDEX(Tabla1[Iva 22], MATCH($A365, Tabla1[N Doc], 0)),
IF(B365=4,
        INDEX(Tabla1[Base imponible 10], MATCH($A365, Tabla1[N Doc], 0)),
IF(B365=5,
        INDEX(Tabla1[Iva 10], MATCH($A365, Tabla1[N Doc], 0)),
IF(B365=6,
        INDEX(Tabla1[Exento], MATCH($A365, Tabla1[N Doc], 0)),
IF(B365=7,
        INDEX(#REF!, MATCH($A365, Tabla1[N Doc], 0)),
IF(B365=8,
        INDEX(#REF!, MATCH($A365, Tabla1[N Doc], 0)),
IF(B365=9,
        INDEX(Tabla1[Descuentos], MATCH($A365, Tabla1[N Doc], 0)),
""))))))))))</f>
        <v>#REF!</v>
      </c>
      <c r="G365" t="e">
        <f>IF(OR($A365="",$A365=0),"",IF(OR(B365=2,B365=4,B365=6,B365=7),
    INDEX(Tabla13[Ind impuestos], MATCH($A365, Tabla13[N Doc], 0)),
""))</f>
        <v>#REF!</v>
      </c>
      <c r="J365" t="e">
        <f>IF(OR($A365="",$A365=0),"",IF(OR(B365=2,B365=4,B365=6,B365=7),
    INDEX(Tabla1[CECO], MATCH($A365, Tabla1[N Doc], 0)),
""))</f>
        <v>#REF!</v>
      </c>
      <c r="M365" t="e">
        <f>IF(C365=31,INDEX(Tabla1[Descripción], MATCH($A365, Tabla1[N Doc], 0)),"")</f>
        <v>#REF!</v>
      </c>
    </row>
    <row r="366" spans="1:13" x14ac:dyDescent="0.3">
      <c r="A366" t="e" cm="1">
        <f t="array" ref="A366">INDEX(Tabla1[N Doc], ROUNDUP((ROW()-1)/9, 0))</f>
        <v>#REF!</v>
      </c>
      <c r="B366" t="e">
        <f>IF(OR(A366="",A366=0),"",CHOOSE(
    COUNTIF($A$2:A366,A366),
    1,2,3,4,5,6,7,8,9
))</f>
        <v>#REF!</v>
      </c>
      <c r="C366" t="e">
        <f t="shared" si="5"/>
        <v>#REF!</v>
      </c>
      <c r="D366" s="7" t="e" cm="1">
        <f t="array" ref="D366">IF(OR($A366="",$A366=0),"",
IF(AND(INDEX(Formulario!$H$14:$H$100, $A366)="Si", C366&lt;&gt;31),
        VLOOKUP("cta puente",'Descripciones de gastos'!G:H, 2, FALSE),
IF(B366=1,
        INDEX(Tabla13[Titular], MATCH($A366, Tabla1[N Doc], 0)),
IF(B366=2,
        INDEX(Tabla1[Cuenta contable], MATCH($A366, Tabla1[N Doc], 0)),
IF(B366=3,
        INDEX(Tabla13[Cta Iva 22], MATCH($A366, Tabla1[N Doc], 0)),
IF(B366=4,
        INDEX(Tabla1[Cuenta contable], MATCH($A366, Tabla1[N Doc], 0)),
IF(B366=5,
        INDEX(Tabla13[Cta Iva 10], MATCH($A366, Tabla1[N Doc], 0)),
IF(B366=6,
        INDEX(Tabla1[Cuenta contable], MATCH($A366, Tabla1[N Doc], 0)),
IF(B366=7,
        INDEX(Tabla1[Cuenta contable], MATCH($A366, Tabla1[N Doc], 0)),
IF(B366=8,
        IF(INDEX(Tabla1[Tipo IVA], MATCH($A366, Tabla1[N Doc], 0))="22%",
             INDEX(Tabla13[Cta Iva 22], MATCH($A366, Tabla1[N Doc], 0)),
             INDEX(Tabla13[Cta Iva 10], MATCH($A366, Tabla1[N Doc], 0))),
IF(B366=9,
        INDEX(Tabla1[Cuenta contable], MATCH($A366, Tabla1[N Doc], 0))
)))))))))))</f>
        <v>#REF!</v>
      </c>
      <c r="F366" t="e">
        <f>IF(OR($A366="",$A366=0),"",IF(B366=1,
        INDEX(Tabla1[Importe total], MATCH($A366, Tabla1[N Doc], 0)),
IF(B366=2,
        INDEX(Tabla1[Base imponible 22], MATCH($A366, Tabla1[N Doc], 0)),
IF(B366=3,
        INDEX(Tabla1[Iva 22], MATCH($A366, Tabla1[N Doc], 0)),
IF(B366=4,
        INDEX(Tabla1[Base imponible 10], MATCH($A366, Tabla1[N Doc], 0)),
IF(B366=5,
        INDEX(Tabla1[Iva 10], MATCH($A366, Tabla1[N Doc], 0)),
IF(B366=6,
        INDEX(Tabla1[Exento], MATCH($A366, Tabla1[N Doc], 0)),
IF(B366=7,
        INDEX(#REF!, MATCH($A366, Tabla1[N Doc], 0)),
IF(B366=8,
        INDEX(#REF!, MATCH($A366, Tabla1[N Doc], 0)),
IF(B366=9,
        INDEX(Tabla1[Descuentos], MATCH($A366, Tabla1[N Doc], 0)),
""))))))))))</f>
        <v>#REF!</v>
      </c>
      <c r="G366" t="e">
        <f>IF(OR($A366="",$A366=0),"",IF(OR(B366=2,B366=4,B366=6,B366=7),
    INDEX(Tabla13[Ind impuestos], MATCH($A366, Tabla13[N Doc], 0)),
""))</f>
        <v>#REF!</v>
      </c>
      <c r="J366" t="e">
        <f>IF(OR($A366="",$A366=0),"",IF(OR(B366=2,B366=4,B366=6,B366=7),
    INDEX(Tabla1[CECO], MATCH($A366, Tabla1[N Doc], 0)),
""))</f>
        <v>#REF!</v>
      </c>
      <c r="M366" t="e">
        <f>IF(C366=31,INDEX(Tabla1[Descripción], MATCH($A366, Tabla1[N Doc], 0)),"")</f>
        <v>#REF!</v>
      </c>
    </row>
    <row r="367" spans="1:13" x14ac:dyDescent="0.3">
      <c r="A367" t="e" cm="1">
        <f t="array" ref="A367">INDEX(Tabla1[N Doc], ROUNDUP((ROW()-1)/9, 0))</f>
        <v>#REF!</v>
      </c>
      <c r="B367" t="e">
        <f>IF(OR(A367="",A367=0),"",CHOOSE(
    COUNTIF($A$2:A367,A367),
    1,2,3,4,5,6,7,8,9
))</f>
        <v>#REF!</v>
      </c>
      <c r="C367" t="e">
        <f t="shared" si="5"/>
        <v>#REF!</v>
      </c>
      <c r="F367" t="e">
        <f>IF(OR($A367="",$A367=0),"",IF(B367=1,
        INDEX(Tabla1[Importe total], MATCH($A367, Tabla1[N Doc], 0)),
IF(B367=2,
        INDEX(Tabla1[Base imponible 22], MATCH($A367, Tabla1[N Doc], 0)),
IF(B367=3,
        INDEX(Tabla1[Iva 22], MATCH($A367, Tabla1[N Doc], 0)),
IF(B367=4,
        INDEX(Tabla1[Base imponible 10], MATCH($A367, Tabla1[N Doc], 0)),
IF(B367=5,
        INDEX(Tabla1[Iva 10], MATCH($A367, Tabla1[N Doc], 0)),
IF(B367=6,
        INDEX(Tabla1[Exento], MATCH($A367, Tabla1[N Doc], 0)),
IF(B367=7,
        INDEX(#REF!, MATCH($A367, Tabla1[N Doc], 0)),
IF(B367=8,
        INDEX(#REF!, MATCH($A367, Tabla1[N Doc], 0)),
IF(B367=9,
        INDEX(Tabla1[Descuentos], MATCH($A367, Tabla1[N Doc], 0)),
""))))))))))</f>
        <v>#REF!</v>
      </c>
      <c r="J367" t="e">
        <f>IF(OR($A367="",$A367=0),"",IF(OR(B367=2,B367=4,B367=6,B367=7),
    INDEX(Tabla1[CECO], MATCH($A367, Tabla1[N Doc], 0)),
""))</f>
        <v>#REF!</v>
      </c>
      <c r="M367" t="e">
        <f>IF(C367=31,INDEX(Tabla1[Descripción], MATCH($A367, Tabla1[N Doc], 0)),"")</f>
        <v>#REF!</v>
      </c>
    </row>
    <row r="368" spans="1:13" x14ac:dyDescent="0.3">
      <c r="A368" t="e" cm="1">
        <f t="array" ref="A368">INDEX(Tabla1[N Doc], ROUNDUP((ROW()-1)/9, 0))</f>
        <v>#REF!</v>
      </c>
      <c r="B368" t="e">
        <f>IF(OR(A368="",A368=0),"",CHOOSE(
    COUNTIF($A$2:A368,A368),
    1,2,3,4,5,6,7,8,9
))</f>
        <v>#REF!</v>
      </c>
      <c r="C368" t="e">
        <f t="shared" si="5"/>
        <v>#REF!</v>
      </c>
      <c r="F368" t="e">
        <f>IF(OR($A368="",$A368=0),"",IF(B368=1,
        INDEX(Tabla1[Importe total], MATCH($A368, Tabla1[N Doc], 0)),
IF(B368=2,
        INDEX(Tabla1[Base imponible 22], MATCH($A368, Tabla1[N Doc], 0)),
IF(B368=3,
        INDEX(Tabla1[Iva 22], MATCH($A368, Tabla1[N Doc], 0)),
IF(B368=4,
        INDEX(Tabla1[Base imponible 10], MATCH($A368, Tabla1[N Doc], 0)),
IF(B368=5,
        INDEX(Tabla1[Iva 10], MATCH($A368, Tabla1[N Doc], 0)),
IF(B368=6,
        INDEX(Tabla1[Exento], MATCH($A368, Tabla1[N Doc], 0)),
IF(B368=7,
        INDEX(#REF!, MATCH($A368, Tabla1[N Doc], 0)),
IF(B368=8,
        INDEX(#REF!, MATCH($A368, Tabla1[N Doc], 0)),
IF(B368=9,
        INDEX(Tabla1[Descuentos], MATCH($A368, Tabla1[N Doc], 0)),
""))))))))))</f>
        <v>#REF!</v>
      </c>
      <c r="J368" t="e">
        <f>IF(OR($A368="",$A368=0),"",IF(OR(B368=2,B368=4,B368=6,B368=7),
    INDEX(Tabla1[CECO], MATCH($A368, Tabla1[N Doc], 0)),
""))</f>
        <v>#REF!</v>
      </c>
      <c r="M368" t="e">
        <f>IF(C368=31,INDEX(Tabla1[Descripción], MATCH($A368, Tabla1[N Doc], 0)),"")</f>
        <v>#REF!</v>
      </c>
    </row>
    <row r="369" spans="1:13" x14ac:dyDescent="0.3">
      <c r="A369" t="e" cm="1">
        <f t="array" ref="A369">INDEX(Tabla1[N Doc], ROUNDUP((ROW()-1)/9, 0))</f>
        <v>#REF!</v>
      </c>
      <c r="B369" t="e">
        <f>IF(OR(A369="",A369=0),"",CHOOSE(
    COUNTIF($A$2:A369,A369),
    1,2,3,4,5,6,7,8,9
))</f>
        <v>#REF!</v>
      </c>
      <c r="C369" t="e">
        <f t="shared" si="5"/>
        <v>#REF!</v>
      </c>
      <c r="F369" t="e">
        <f>IF(OR($A369="",$A369=0),"",IF(B369=1,
        INDEX(Tabla1[Importe total], MATCH($A369, Tabla1[N Doc], 0)),
IF(B369=2,
        INDEX(Tabla1[Base imponible 22], MATCH($A369, Tabla1[N Doc], 0)),
IF(B369=3,
        INDEX(Tabla1[Iva 22], MATCH($A369, Tabla1[N Doc], 0)),
IF(B369=4,
        INDEX(Tabla1[Base imponible 10], MATCH($A369, Tabla1[N Doc], 0)),
IF(B369=5,
        INDEX(Tabla1[Iva 10], MATCH($A369, Tabla1[N Doc], 0)),
IF(B369=6,
        INDEX(Tabla1[Exento], MATCH($A369, Tabla1[N Doc], 0)),
IF(B369=7,
        INDEX(#REF!, MATCH($A369, Tabla1[N Doc], 0)),
IF(B369=8,
        INDEX(#REF!, MATCH($A369, Tabla1[N Doc], 0)),
IF(B369=9,
        INDEX(Tabla1[Descuentos], MATCH($A369, Tabla1[N Doc], 0)),
""))))))))))</f>
        <v>#REF!</v>
      </c>
      <c r="J369" t="e">
        <f>IF(OR($A369="",$A369=0),"",IF(OR(B369=2,B369=4,B369=6,B369=7),
    INDEX(Tabla1[CECO], MATCH($A369, Tabla1[N Doc], 0)),
""))</f>
        <v>#REF!</v>
      </c>
      <c r="M369" t="e">
        <f>IF(C369=31,INDEX(Tabla1[Descripción], MATCH($A369, Tabla1[N Doc], 0)),"")</f>
        <v>#REF!</v>
      </c>
    </row>
    <row r="370" spans="1:13" x14ac:dyDescent="0.3">
      <c r="A370" t="e" cm="1">
        <f t="array" ref="A370">INDEX(Tabla1[N Doc], ROUNDUP((ROW()-1)/9, 0))</f>
        <v>#REF!</v>
      </c>
      <c r="B370" t="e">
        <f>IF(OR(A370="",A370=0),"",CHOOSE(
    COUNTIF($A$2:A370,A370),
    1,2,3,4,5,6,7,8,9
))</f>
        <v>#REF!</v>
      </c>
      <c r="C370" t="e">
        <f t="shared" si="5"/>
        <v>#REF!</v>
      </c>
      <c r="F370" t="e">
        <f>IF(OR($A370="",$A370=0),"",IF(B370=1,
        INDEX(Tabla1[Importe total], MATCH($A370, Tabla1[N Doc], 0)),
IF(B370=2,
        INDEX(Tabla1[Base imponible 22], MATCH($A370, Tabla1[N Doc], 0)),
IF(B370=3,
        INDEX(Tabla1[Iva 22], MATCH($A370, Tabla1[N Doc], 0)),
IF(B370=4,
        INDEX(Tabla1[Base imponible 10], MATCH($A370, Tabla1[N Doc], 0)),
IF(B370=5,
        INDEX(Tabla1[Iva 10], MATCH($A370, Tabla1[N Doc], 0)),
IF(B370=6,
        INDEX(Tabla1[Exento], MATCH($A370, Tabla1[N Doc], 0)),
IF(B370=7,
        INDEX(#REF!, MATCH($A370, Tabla1[N Doc], 0)),
IF(B370=8,
        INDEX(#REF!, MATCH($A370, Tabla1[N Doc], 0)),
IF(B370=9,
        INDEX(Tabla1[Descuentos], MATCH($A370, Tabla1[N Doc], 0)),
""))))))))))</f>
        <v>#REF!</v>
      </c>
      <c r="J370" t="e">
        <f>IF(OR($A370="",$A370=0),"",IF(OR(B370=2,B370=4,B370=6,B370=7),
    INDEX(Tabla1[CECO], MATCH($A370, Tabla1[N Doc], 0)),
""))</f>
        <v>#REF!</v>
      </c>
      <c r="M370" t="e">
        <f>IF(C370=31,INDEX(Tabla1[Descripción], MATCH($A370, Tabla1[N Doc], 0)),"")</f>
        <v>#REF!</v>
      </c>
    </row>
    <row r="371" spans="1:13" x14ac:dyDescent="0.3">
      <c r="A371" t="e" cm="1">
        <f t="array" ref="A371">INDEX(Tabla1[N Doc], ROUNDUP((ROW()-1)/9, 0))</f>
        <v>#REF!</v>
      </c>
      <c r="B371" t="e">
        <f>IF(OR(A371="",A371=0),"",CHOOSE(
    COUNTIF($A$2:A371,A371),
    1,2,3,4,5,6,7,8,9
))</f>
        <v>#REF!</v>
      </c>
      <c r="C371" t="e">
        <f t="shared" si="5"/>
        <v>#REF!</v>
      </c>
      <c r="J371" t="e">
        <f>IF(OR($A371="",$A371=0),"",IF(OR(B371=2,B371=4,B371=6,B371=7),
    INDEX(Tabla1[CECO], MATCH($A371, Tabla1[N Doc], 0)),
""))</f>
        <v>#REF!</v>
      </c>
      <c r="M371" t="e">
        <f>IF(C371=31,INDEX(Tabla1[Descripción], MATCH($A371, Tabla1[N Doc], 0)),"")</f>
        <v>#REF!</v>
      </c>
    </row>
    <row r="372" spans="1:13" x14ac:dyDescent="0.3">
      <c r="A372" t="e" cm="1">
        <f t="array" ref="A372">INDEX(Tabla1[N Doc], ROUNDUP((ROW()-1)/9, 0))</f>
        <v>#REF!</v>
      </c>
      <c r="B372" t="e">
        <f>IF(OR(A372="",A372=0),"",CHOOSE(
    COUNTIF($A$2:A372,A372),
    1,2,3,4,5,6,7,8,9
))</f>
        <v>#REF!</v>
      </c>
      <c r="C372" t="e">
        <f t="shared" si="5"/>
        <v>#REF!</v>
      </c>
      <c r="J372" t="e">
        <f>IF(OR($A372="",$A372=0),"",IF(OR(B372=2,B372=4,B372=6,B372=7),
    INDEX(Tabla1[CECO], MATCH($A372, Tabla1[N Doc], 0)),
""))</f>
        <v>#REF!</v>
      </c>
      <c r="M372" t="e">
        <f>IF(C372=31,INDEX(Tabla1[Descripción], MATCH($A372, Tabla1[N Doc], 0)),"")</f>
        <v>#REF!</v>
      </c>
    </row>
    <row r="373" spans="1:13" x14ac:dyDescent="0.3">
      <c r="A373" t="e" cm="1">
        <f t="array" ref="A373">INDEX(Tabla1[N Doc], ROUNDUP((ROW()-1)/9, 0))</f>
        <v>#REF!</v>
      </c>
      <c r="B373" t="e">
        <f>IF(OR(A373="",A373=0),"",CHOOSE(
    COUNTIF($A$2:A373,A373),
    1,2,3,4,5,6,7,8,9
))</f>
        <v>#REF!</v>
      </c>
      <c r="J373" t="e">
        <f>IF(OR($A373="",$A373=0),"",IF(OR(B373=2,B373=4,B373=6,B373=7),
    INDEX(Tabla1[CECO], MATCH($A373, Tabla1[N Doc], 0)),
""))</f>
        <v>#REF!</v>
      </c>
      <c r="M373" t="str">
        <f>IF(C373=31,INDEX(Tabla1[Descripción], MATCH($A373, Tabla1[N Doc], 0)),"")</f>
        <v/>
      </c>
    </row>
    <row r="374" spans="1:13" x14ac:dyDescent="0.3">
      <c r="A374" t="e" cm="1">
        <f t="array" ref="A374">INDEX(Tabla1[N Doc], ROUNDUP((ROW()-1)/9, 0))</f>
        <v>#REF!</v>
      </c>
      <c r="B374" t="e">
        <f>IF(OR(A374="",A374=0),"",CHOOSE(
    COUNTIF($A$2:A374,A374),
    1,2,3,4,5,6,7,8,9
))</f>
        <v>#REF!</v>
      </c>
      <c r="J374" t="e">
        <f>IF(OR($A374="",$A374=0),"",IF(OR(B374=2,B374=4,B374=6,B374=7),
    INDEX(Tabla1[CECO], MATCH($A374, Tabla1[N Doc], 0)),
""))</f>
        <v>#REF!</v>
      </c>
      <c r="M374" t="str">
        <f>IF(C374=31,INDEX(Tabla1[Descripción], MATCH($A374, Tabla1[N Doc], 0)),"")</f>
        <v/>
      </c>
    </row>
    <row r="375" spans="1:13" x14ac:dyDescent="0.3">
      <c r="A375" t="e" cm="1">
        <f t="array" ref="A375">INDEX(Tabla1[N Doc], ROUNDUP((ROW()-1)/9, 0))</f>
        <v>#REF!</v>
      </c>
      <c r="B375" t="e">
        <f>IF(OR(A375="",A375=0),"",CHOOSE(
    COUNTIF($A$2:A375,A375),
    1,2,3,4,5,6,7,8,9
))</f>
        <v>#REF!</v>
      </c>
      <c r="M375" t="str">
        <f>IF(C375=31,INDEX(Tabla1[Descripción], MATCH($A375, Tabla1[N Doc], 0)),"")</f>
        <v/>
      </c>
    </row>
    <row r="376" spans="1:13" x14ac:dyDescent="0.3">
      <c r="B376" t="str">
        <f>IF(OR(A376="",A376=0),"",CHOOSE(
    COUNTIF($A$2:A376,A376),
    1,2,3,4,5,6,7,8,9
))</f>
        <v/>
      </c>
      <c r="M376" t="str">
        <f>IF(C376=31,INDEX(Tabla1[Descripción], MATCH($A376, Tabla1[N Doc], 0)),"")</f>
        <v/>
      </c>
    </row>
  </sheetData>
  <sheetProtection algorithmName="SHA-512" hashValue="qXh/ZELAhqr9AlYgKx/En/yYuXBakDU6LagwSBtr4th7tUnhmH3rNz+3+KPPiG/MTYgdTR6Zk66LeckRgf6yyA==" saltValue="tXcye0oUG7ZOVmqUefpnH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AEB5-34D5-4DCC-86DF-F404BBD9C5D2}">
  <sheetPr codeName="Hoja7"/>
  <dimension ref="A1:E2"/>
  <sheetViews>
    <sheetView workbookViewId="0">
      <selection activeCell="E6" sqref="E6"/>
    </sheetView>
  </sheetViews>
  <sheetFormatPr defaultColWidth="11.5546875" defaultRowHeight="14.4" x14ac:dyDescent="0.3"/>
  <sheetData>
    <row r="1" spans="1:5" x14ac:dyDescent="0.3">
      <c r="A1" s="105" t="s">
        <v>1658</v>
      </c>
      <c r="B1" s="105" t="s">
        <v>1659</v>
      </c>
      <c r="C1" s="105" t="s">
        <v>175</v>
      </c>
      <c r="D1" s="105" t="s">
        <v>176</v>
      </c>
      <c r="E1" s="105" t="s">
        <v>177</v>
      </c>
    </row>
    <row r="2" spans="1:5" x14ac:dyDescent="0.3">
      <c r="A2" t="e">
        <f>IF(AND(Formulario!#REF!&lt;&gt;"",ISNUMBER(Formulario!#REF!)),Formulario!#REF!,"")</f>
        <v>#REF!</v>
      </c>
      <c r="B2" s="106">
        <v>1</v>
      </c>
      <c r="C2" s="106"/>
      <c r="D2" s="107"/>
    </row>
  </sheetData>
  <sheetProtection algorithmName="SHA-512" hashValue="XfA5+aMmw36BXs+lrMdxS9XWSOoC+tcsgFerZYAnJnQsuLfTtu1upELRqrrYz6r11KtJLG1WIJ1MJ7/qS/Aqow==" saltValue="mFTOOhkcq64wX2lbvwLEL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1FA7B-2F00-476A-B812-6FEEF302ADDD}">
  <sheetPr codeName="Hoja4">
    <tabColor theme="0" tint="-0.249977111117893"/>
  </sheetPr>
  <dimension ref="A1:H1048576"/>
  <sheetViews>
    <sheetView topLeftCell="B262" zoomScale="85" zoomScaleNormal="85" workbookViewId="0">
      <selection activeCell="G376" sqref="G376"/>
    </sheetView>
  </sheetViews>
  <sheetFormatPr defaultColWidth="11.5546875" defaultRowHeight="14.4" x14ac:dyDescent="0.3"/>
  <cols>
    <col min="1" max="1" width="27.44140625" style="18" customWidth="1"/>
    <col min="2" max="2" width="66.44140625" style="7" customWidth="1"/>
    <col min="4" max="4" width="27.21875" style="113" customWidth="1"/>
    <col min="5" max="5" width="27.21875" style="114" customWidth="1"/>
    <col min="7" max="8" width="27.21875" style="113" customWidth="1"/>
  </cols>
  <sheetData>
    <row r="1" spans="1:8" ht="15" thickBot="1" x14ac:dyDescent="0.35">
      <c r="A1" s="53" t="s">
        <v>147</v>
      </c>
      <c r="B1" s="53" t="s">
        <v>86</v>
      </c>
      <c r="D1" s="119" t="s">
        <v>78</v>
      </c>
      <c r="E1" s="120" t="s">
        <v>154</v>
      </c>
      <c r="G1" s="136" t="s">
        <v>1290</v>
      </c>
      <c r="H1" s="137" t="s">
        <v>1291</v>
      </c>
    </row>
    <row r="2" spans="1:8" ht="27.6" thickBot="1" x14ac:dyDescent="0.35">
      <c r="A2" s="50" t="s">
        <v>1</v>
      </c>
      <c r="B2" s="51" t="s">
        <v>70</v>
      </c>
      <c r="D2" s="117" t="s">
        <v>178</v>
      </c>
      <c r="E2" s="118">
        <v>957000005</v>
      </c>
      <c r="G2" s="117" t="s">
        <v>1292</v>
      </c>
      <c r="H2" s="117">
        <v>231021</v>
      </c>
    </row>
    <row r="3" spans="1:8" ht="15" thickBot="1" x14ac:dyDescent="0.35">
      <c r="A3" s="50" t="s">
        <v>87</v>
      </c>
      <c r="B3" s="51" t="s">
        <v>128</v>
      </c>
      <c r="D3" s="117" t="s">
        <v>179</v>
      </c>
      <c r="E3" s="118">
        <v>955000010</v>
      </c>
      <c r="G3" s="117" t="s">
        <v>1293</v>
      </c>
      <c r="H3" s="117">
        <v>530205</v>
      </c>
    </row>
    <row r="4" spans="1:8" ht="15" thickBot="1" x14ac:dyDescent="0.35">
      <c r="A4" s="50" t="s">
        <v>2</v>
      </c>
      <c r="B4" s="51" t="s">
        <v>129</v>
      </c>
      <c r="D4" s="117" t="s">
        <v>180</v>
      </c>
      <c r="E4" s="118">
        <v>957000090</v>
      </c>
      <c r="G4" s="117" t="s">
        <v>1294</v>
      </c>
      <c r="H4" s="117">
        <v>310010</v>
      </c>
    </row>
    <row r="5" spans="1:8" ht="15" thickBot="1" x14ac:dyDescent="0.35">
      <c r="A5" s="50" t="s">
        <v>71</v>
      </c>
      <c r="B5" s="51" t="s">
        <v>130</v>
      </c>
      <c r="D5" s="117" t="s">
        <v>181</v>
      </c>
      <c r="E5" s="118">
        <v>955000005</v>
      </c>
      <c r="G5" s="117" t="s">
        <v>1295</v>
      </c>
      <c r="H5" s="117">
        <v>410140</v>
      </c>
    </row>
    <row r="6" spans="1:8" ht="15" thickBot="1" x14ac:dyDescent="0.35">
      <c r="A6" s="50" t="s">
        <v>89</v>
      </c>
      <c r="B6" s="51" t="s">
        <v>131</v>
      </c>
      <c r="D6" s="117" t="s">
        <v>182</v>
      </c>
      <c r="E6" s="118">
        <v>955000001</v>
      </c>
      <c r="G6" s="117" t="s">
        <v>1296</v>
      </c>
      <c r="H6" s="117">
        <v>510121</v>
      </c>
    </row>
    <row r="7" spans="1:8" ht="29.4" thickBot="1" x14ac:dyDescent="0.35">
      <c r="A7" s="50" t="s">
        <v>3</v>
      </c>
      <c r="B7" s="51" t="s">
        <v>139</v>
      </c>
      <c r="D7" s="117" t="s">
        <v>183</v>
      </c>
      <c r="E7" s="118">
        <v>957000001</v>
      </c>
      <c r="G7" s="117" t="s">
        <v>1297</v>
      </c>
      <c r="H7" s="117">
        <v>171040</v>
      </c>
    </row>
    <row r="8" spans="1:8" ht="43.8" thickBot="1" x14ac:dyDescent="0.35">
      <c r="A8" s="50" t="s">
        <v>4</v>
      </c>
      <c r="B8" s="51" t="s">
        <v>135</v>
      </c>
      <c r="D8" s="117" t="s">
        <v>184</v>
      </c>
      <c r="E8" s="118">
        <v>957000010</v>
      </c>
      <c r="G8" s="117" t="s">
        <v>1298</v>
      </c>
      <c r="H8" s="117">
        <v>532102</v>
      </c>
    </row>
    <row r="9" spans="1:8" ht="29.4" thickBot="1" x14ac:dyDescent="0.35">
      <c r="A9" s="52" t="s">
        <v>90</v>
      </c>
      <c r="B9" s="51" t="s">
        <v>144</v>
      </c>
      <c r="D9" s="117" t="s">
        <v>185</v>
      </c>
      <c r="E9" s="118">
        <v>957000012</v>
      </c>
      <c r="G9" s="117" t="s">
        <v>1299</v>
      </c>
      <c r="H9" s="117">
        <v>530105</v>
      </c>
    </row>
    <row r="10" spans="1:8" ht="15" thickBot="1" x14ac:dyDescent="0.35">
      <c r="A10" s="52" t="s">
        <v>5</v>
      </c>
      <c r="B10" s="51" t="s">
        <v>72</v>
      </c>
      <c r="D10" s="117" t="s">
        <v>186</v>
      </c>
      <c r="E10" s="118">
        <v>957000007</v>
      </c>
      <c r="G10" s="117" t="s">
        <v>1300</v>
      </c>
      <c r="H10" s="117">
        <v>410114</v>
      </c>
    </row>
    <row r="11" spans="1:8" ht="15" thickBot="1" x14ac:dyDescent="0.35">
      <c r="A11" s="50" t="s">
        <v>88</v>
      </c>
      <c r="B11" s="51" t="s">
        <v>73</v>
      </c>
      <c r="D11" s="117" t="s">
        <v>187</v>
      </c>
      <c r="E11" s="118">
        <v>957000006</v>
      </c>
      <c r="G11" s="117" t="s">
        <v>1301</v>
      </c>
      <c r="H11" s="117">
        <v>532707</v>
      </c>
    </row>
    <row r="12" spans="1:8" ht="15" thickBot="1" x14ac:dyDescent="0.35">
      <c r="A12" s="50" t="s">
        <v>6</v>
      </c>
      <c r="B12" s="51" t="s">
        <v>132</v>
      </c>
      <c r="D12" s="117" t="s">
        <v>188</v>
      </c>
      <c r="E12" s="118">
        <v>957000002</v>
      </c>
      <c r="G12" s="117" t="s">
        <v>1302</v>
      </c>
      <c r="H12" s="117">
        <v>530517</v>
      </c>
    </row>
    <row r="13" spans="1:8" ht="15" thickBot="1" x14ac:dyDescent="0.35">
      <c r="A13" s="50" t="s">
        <v>82</v>
      </c>
      <c r="B13" s="51" t="s">
        <v>133</v>
      </c>
      <c r="D13" s="117" t="s">
        <v>189</v>
      </c>
      <c r="E13" s="118">
        <v>957000040</v>
      </c>
      <c r="G13" s="117" t="s">
        <v>1303</v>
      </c>
      <c r="H13" s="117">
        <v>530519</v>
      </c>
    </row>
    <row r="14" spans="1:8" ht="15" thickBot="1" x14ac:dyDescent="0.35">
      <c r="A14" s="50" t="s">
        <v>83</v>
      </c>
      <c r="B14" s="51" t="s">
        <v>134</v>
      </c>
      <c r="D14" s="117" t="s">
        <v>190</v>
      </c>
      <c r="E14" s="118">
        <v>957000016</v>
      </c>
      <c r="G14" s="117" t="s">
        <v>6</v>
      </c>
      <c r="H14" s="117">
        <v>533802</v>
      </c>
    </row>
    <row r="15" spans="1:8" ht="15" thickBot="1" x14ac:dyDescent="0.35">
      <c r="A15" s="50" t="s">
        <v>84</v>
      </c>
      <c r="B15" s="51" t="s">
        <v>91</v>
      </c>
      <c r="D15" s="117" t="s">
        <v>191</v>
      </c>
      <c r="E15" s="118">
        <v>957000004</v>
      </c>
      <c r="G15" s="117" t="s">
        <v>1304</v>
      </c>
      <c r="H15" s="117">
        <v>530901</v>
      </c>
    </row>
    <row r="16" spans="1:8" ht="15" thickBot="1" x14ac:dyDescent="0.35">
      <c r="A16" s="50" t="s">
        <v>85</v>
      </c>
      <c r="B16" s="51" t="s">
        <v>138</v>
      </c>
      <c r="D16" s="117" t="s">
        <v>192</v>
      </c>
      <c r="E16" s="118">
        <v>957000003</v>
      </c>
      <c r="G16" s="117" t="s">
        <v>1305</v>
      </c>
      <c r="H16" s="117">
        <v>530801</v>
      </c>
    </row>
    <row r="17" spans="1:8" ht="27.6" thickBot="1" x14ac:dyDescent="0.35">
      <c r="A17" s="32" t="s">
        <v>136</v>
      </c>
      <c r="B17" s="46"/>
      <c r="D17" s="117" t="s">
        <v>193</v>
      </c>
      <c r="E17" s="118">
        <v>957000000</v>
      </c>
      <c r="G17" s="117" t="s">
        <v>1306</v>
      </c>
      <c r="H17" s="117">
        <v>169520</v>
      </c>
    </row>
    <row r="18" spans="1:8" ht="27.6" thickBot="1" x14ac:dyDescent="0.35">
      <c r="D18" s="117" t="s">
        <v>194</v>
      </c>
      <c r="E18" s="118">
        <v>957000017</v>
      </c>
      <c r="G18" s="117" t="s">
        <v>1307</v>
      </c>
      <c r="H18" s="117">
        <v>164030</v>
      </c>
    </row>
    <row r="19" spans="1:8" ht="27.6" thickBot="1" x14ac:dyDescent="0.35">
      <c r="D19" s="117" t="s">
        <v>195</v>
      </c>
      <c r="E19" s="118">
        <v>957000145</v>
      </c>
      <c r="G19" s="117" t="s">
        <v>1308</v>
      </c>
      <c r="H19" s="117">
        <v>163020</v>
      </c>
    </row>
    <row r="20" spans="1:8" ht="27.6" thickBot="1" x14ac:dyDescent="0.35">
      <c r="D20" s="117" t="s">
        <v>196</v>
      </c>
      <c r="E20" s="118">
        <v>956000026</v>
      </c>
      <c r="G20" s="117" t="s">
        <v>1309</v>
      </c>
      <c r="H20" s="117">
        <v>167020</v>
      </c>
    </row>
    <row r="21" spans="1:8" ht="27.6" thickBot="1" x14ac:dyDescent="0.35">
      <c r="D21" s="117" t="s">
        <v>197</v>
      </c>
      <c r="E21" s="118">
        <v>957000085</v>
      </c>
      <c r="G21" s="117" t="s">
        <v>1310</v>
      </c>
      <c r="H21" s="117">
        <v>165020</v>
      </c>
    </row>
    <row r="22" spans="1:8" ht="27.6" thickBot="1" x14ac:dyDescent="0.35">
      <c r="D22" s="117" t="s">
        <v>198</v>
      </c>
      <c r="E22" s="118">
        <v>956000027</v>
      </c>
      <c r="G22" s="117" t="s">
        <v>1311</v>
      </c>
      <c r="H22" s="117">
        <v>161020</v>
      </c>
    </row>
    <row r="23" spans="1:8" ht="27.6" thickBot="1" x14ac:dyDescent="0.35">
      <c r="D23" s="117" t="s">
        <v>199</v>
      </c>
      <c r="E23" s="118">
        <v>956000035</v>
      </c>
      <c r="G23" s="117" t="s">
        <v>1312</v>
      </c>
      <c r="H23" s="117">
        <v>162020</v>
      </c>
    </row>
    <row r="24" spans="1:8" ht="27.6" thickBot="1" x14ac:dyDescent="0.35">
      <c r="D24" s="117" t="s">
        <v>200</v>
      </c>
      <c r="E24" s="118">
        <v>957000011</v>
      </c>
      <c r="G24" s="117" t="s">
        <v>1313</v>
      </c>
      <c r="H24" s="117">
        <v>166020</v>
      </c>
    </row>
    <row r="25" spans="1:8" ht="27.6" thickBot="1" x14ac:dyDescent="0.35">
      <c r="D25" s="117" t="s">
        <v>201</v>
      </c>
      <c r="E25" s="118">
        <v>954000005</v>
      </c>
      <c r="G25" s="117" t="s">
        <v>1314</v>
      </c>
      <c r="H25" s="117">
        <v>168020</v>
      </c>
    </row>
    <row r="26" spans="1:8" ht="15" thickBot="1" x14ac:dyDescent="0.35">
      <c r="D26" s="117" t="s">
        <v>201</v>
      </c>
      <c r="E26" s="118">
        <v>954000006</v>
      </c>
      <c r="G26" s="117" t="s">
        <v>1315</v>
      </c>
      <c r="H26" s="117">
        <v>131010</v>
      </c>
    </row>
    <row r="27" spans="1:8" ht="15" thickBot="1" x14ac:dyDescent="0.35">
      <c r="D27" s="117" t="s">
        <v>202</v>
      </c>
      <c r="E27" s="118">
        <v>956000000</v>
      </c>
      <c r="G27" s="117" t="s">
        <v>1316</v>
      </c>
      <c r="H27" s="117">
        <v>131070</v>
      </c>
    </row>
    <row r="28" spans="1:8" ht="15" thickBot="1" x14ac:dyDescent="0.35">
      <c r="D28" s="117" t="s">
        <v>203</v>
      </c>
      <c r="E28" s="118">
        <v>956000041</v>
      </c>
      <c r="G28" s="117" t="s">
        <v>1317</v>
      </c>
      <c r="H28" s="117">
        <v>131050</v>
      </c>
    </row>
    <row r="29" spans="1:8" ht="15" thickBot="1" x14ac:dyDescent="0.35">
      <c r="D29" s="117" t="s">
        <v>204</v>
      </c>
      <c r="E29" s="118">
        <v>952000021</v>
      </c>
      <c r="G29" s="117" t="s">
        <v>1318</v>
      </c>
      <c r="H29" s="117">
        <v>131040</v>
      </c>
    </row>
    <row r="30" spans="1:8" ht="15" thickBot="1" x14ac:dyDescent="0.35">
      <c r="D30" s="117" t="s">
        <v>205</v>
      </c>
      <c r="E30" s="118">
        <v>951000411</v>
      </c>
      <c r="G30" s="117" t="s">
        <v>1319</v>
      </c>
      <c r="H30" s="117">
        <v>135010</v>
      </c>
    </row>
    <row r="31" spans="1:8" ht="15" thickBot="1" x14ac:dyDescent="0.35">
      <c r="D31" s="117" t="s">
        <v>206</v>
      </c>
      <c r="E31" s="118">
        <v>950100010</v>
      </c>
      <c r="G31" s="117" t="s">
        <v>1320</v>
      </c>
      <c r="H31" s="117">
        <v>175040</v>
      </c>
    </row>
    <row r="32" spans="1:8" ht="15" thickBot="1" x14ac:dyDescent="0.35">
      <c r="D32" s="117" t="s">
        <v>207</v>
      </c>
      <c r="E32" s="118">
        <v>950100007</v>
      </c>
      <c r="G32" s="117" t="s">
        <v>1321</v>
      </c>
      <c r="H32" s="117">
        <v>173021</v>
      </c>
    </row>
    <row r="33" spans="4:8" ht="27.6" thickBot="1" x14ac:dyDescent="0.35">
      <c r="D33" s="117" t="s">
        <v>208</v>
      </c>
      <c r="E33" s="118">
        <v>16000055</v>
      </c>
      <c r="G33" s="117" t="s">
        <v>1322</v>
      </c>
      <c r="H33" s="117">
        <v>173023</v>
      </c>
    </row>
    <row r="34" spans="4:8" ht="15" thickBot="1" x14ac:dyDescent="0.35">
      <c r="D34" s="117" t="s">
        <v>209</v>
      </c>
      <c r="E34" s="118">
        <v>951000077</v>
      </c>
      <c r="G34" s="117" t="s">
        <v>1323</v>
      </c>
      <c r="H34" s="117">
        <v>175030</v>
      </c>
    </row>
    <row r="35" spans="4:8" ht="15" thickBot="1" x14ac:dyDescent="0.35">
      <c r="D35" s="117" t="s">
        <v>210</v>
      </c>
      <c r="E35" s="118">
        <v>951000080</v>
      </c>
      <c r="G35" s="117" t="s">
        <v>1324</v>
      </c>
      <c r="H35" s="117">
        <v>175050</v>
      </c>
    </row>
    <row r="36" spans="4:8" ht="27.6" thickBot="1" x14ac:dyDescent="0.35">
      <c r="D36" s="117" t="s">
        <v>211</v>
      </c>
      <c r="E36" s="118">
        <v>951000086</v>
      </c>
      <c r="G36" s="117" t="s">
        <v>1325</v>
      </c>
      <c r="H36" s="117">
        <v>173022</v>
      </c>
    </row>
    <row r="37" spans="4:8" ht="27.6" thickBot="1" x14ac:dyDescent="0.35">
      <c r="D37" s="117" t="s">
        <v>212</v>
      </c>
      <c r="E37" s="118">
        <v>951000049</v>
      </c>
      <c r="G37" s="117" t="s">
        <v>1326</v>
      </c>
      <c r="H37" s="117">
        <v>131080</v>
      </c>
    </row>
    <row r="38" spans="4:8" ht="27.6" thickBot="1" x14ac:dyDescent="0.35">
      <c r="D38" s="117" t="s">
        <v>213</v>
      </c>
      <c r="E38" s="118">
        <v>951000033</v>
      </c>
      <c r="G38" s="117" t="s">
        <v>1327</v>
      </c>
      <c r="H38" s="117">
        <v>311040</v>
      </c>
    </row>
    <row r="39" spans="4:8" ht="15" thickBot="1" x14ac:dyDescent="0.35">
      <c r="D39" s="117" t="s">
        <v>214</v>
      </c>
      <c r="E39" s="118">
        <v>951000345</v>
      </c>
      <c r="G39" s="117" t="s">
        <v>1328</v>
      </c>
      <c r="H39" s="117">
        <v>532805</v>
      </c>
    </row>
    <row r="40" spans="4:8" ht="15" thickBot="1" x14ac:dyDescent="0.35">
      <c r="D40" s="117" t="s">
        <v>215</v>
      </c>
      <c r="E40" s="118">
        <v>959000031</v>
      </c>
      <c r="G40" s="117" t="s">
        <v>1329</v>
      </c>
      <c r="H40" s="117">
        <v>532402</v>
      </c>
    </row>
    <row r="41" spans="4:8" ht="15" thickBot="1" x14ac:dyDescent="0.35">
      <c r="D41" s="117" t="s">
        <v>216</v>
      </c>
      <c r="E41" s="118">
        <v>951000029</v>
      </c>
      <c r="G41" s="117" t="s">
        <v>1330</v>
      </c>
      <c r="H41" s="117">
        <v>531702</v>
      </c>
    </row>
    <row r="42" spans="4:8" ht="15" thickBot="1" x14ac:dyDescent="0.35">
      <c r="D42" s="117" t="s">
        <v>217</v>
      </c>
      <c r="E42" s="118">
        <v>951000363</v>
      </c>
      <c r="G42" s="117" t="s">
        <v>1331</v>
      </c>
      <c r="H42" s="117">
        <v>530503</v>
      </c>
    </row>
    <row r="43" spans="4:8" ht="15" thickBot="1" x14ac:dyDescent="0.35">
      <c r="D43" s="117" t="s">
        <v>218</v>
      </c>
      <c r="E43" s="118">
        <v>951000071</v>
      </c>
      <c r="G43" s="117" t="s">
        <v>1332</v>
      </c>
      <c r="H43" s="117">
        <v>533703</v>
      </c>
    </row>
    <row r="44" spans="4:8" ht="15" thickBot="1" x14ac:dyDescent="0.35">
      <c r="D44" s="117" t="s">
        <v>219</v>
      </c>
      <c r="E44" s="118">
        <v>951000376</v>
      </c>
      <c r="G44" s="117" t="s">
        <v>1333</v>
      </c>
      <c r="H44" s="117">
        <v>550205</v>
      </c>
    </row>
    <row r="45" spans="4:8" ht="15" thickBot="1" x14ac:dyDescent="0.35">
      <c r="D45" s="117" t="s">
        <v>220</v>
      </c>
      <c r="E45" s="118">
        <v>951000074</v>
      </c>
      <c r="G45" s="117" t="s">
        <v>1334</v>
      </c>
      <c r="H45" s="117">
        <v>510106</v>
      </c>
    </row>
    <row r="46" spans="4:8" ht="15" thickBot="1" x14ac:dyDescent="0.35">
      <c r="D46" s="117" t="s">
        <v>221</v>
      </c>
      <c r="E46" s="118">
        <v>951000150</v>
      </c>
      <c r="G46" s="117" t="s">
        <v>1335</v>
      </c>
      <c r="H46" s="117">
        <v>510114</v>
      </c>
    </row>
    <row r="47" spans="4:8" ht="15" thickBot="1" x14ac:dyDescent="0.35">
      <c r="D47" s="117" t="s">
        <v>222</v>
      </c>
      <c r="E47" s="118">
        <v>952000020</v>
      </c>
      <c r="G47" s="117" t="s">
        <v>1336</v>
      </c>
      <c r="H47" s="117">
        <v>510129</v>
      </c>
    </row>
    <row r="48" spans="4:8" ht="15" thickBot="1" x14ac:dyDescent="0.35">
      <c r="D48" s="117" t="s">
        <v>223</v>
      </c>
      <c r="E48" s="118">
        <v>952000015</v>
      </c>
      <c r="G48" s="117" t="s">
        <v>1337</v>
      </c>
      <c r="H48" s="117">
        <v>510118</v>
      </c>
    </row>
    <row r="49" spans="4:8" ht="27.6" thickBot="1" x14ac:dyDescent="0.35">
      <c r="D49" s="117" t="s">
        <v>224</v>
      </c>
      <c r="E49" s="118">
        <v>951000052</v>
      </c>
      <c r="G49" s="117" t="s">
        <v>1338</v>
      </c>
      <c r="H49" s="117">
        <v>113332</v>
      </c>
    </row>
    <row r="50" spans="4:8" ht="27.6" thickBot="1" x14ac:dyDescent="0.35">
      <c r="D50" s="117" t="s">
        <v>225</v>
      </c>
      <c r="E50" s="118">
        <v>951000103</v>
      </c>
      <c r="G50" s="117" t="s">
        <v>1339</v>
      </c>
      <c r="H50" s="117">
        <v>113333</v>
      </c>
    </row>
    <row r="51" spans="4:8" ht="27.6" thickBot="1" x14ac:dyDescent="0.35">
      <c r="D51" s="117" t="s">
        <v>226</v>
      </c>
      <c r="E51" s="118">
        <v>951000090</v>
      </c>
      <c r="G51" s="117" t="s">
        <v>1340</v>
      </c>
      <c r="H51" s="117">
        <v>113331</v>
      </c>
    </row>
    <row r="52" spans="4:8" ht="27.6" thickBot="1" x14ac:dyDescent="0.35">
      <c r="D52" s="117" t="s">
        <v>227</v>
      </c>
      <c r="E52" s="118">
        <v>951000305</v>
      </c>
      <c r="G52" s="117" t="s">
        <v>1341</v>
      </c>
      <c r="H52" s="117">
        <v>113342</v>
      </c>
    </row>
    <row r="53" spans="4:8" ht="27.6" thickBot="1" x14ac:dyDescent="0.35">
      <c r="D53" s="117" t="s">
        <v>228</v>
      </c>
      <c r="E53" s="118">
        <v>951000010</v>
      </c>
      <c r="G53" s="117" t="s">
        <v>1342</v>
      </c>
      <c r="H53" s="117">
        <v>113343</v>
      </c>
    </row>
    <row r="54" spans="4:8" ht="27.6" thickBot="1" x14ac:dyDescent="0.35">
      <c r="D54" s="117" t="s">
        <v>229</v>
      </c>
      <c r="E54" s="118">
        <v>951000931</v>
      </c>
      <c r="G54" s="117" t="s">
        <v>1343</v>
      </c>
      <c r="H54" s="117">
        <v>113341</v>
      </c>
    </row>
    <row r="55" spans="4:8" ht="27.6" thickBot="1" x14ac:dyDescent="0.35">
      <c r="D55" s="117" t="s">
        <v>230</v>
      </c>
      <c r="E55" s="118">
        <v>959000010</v>
      </c>
      <c r="G55" s="117" t="s">
        <v>1344</v>
      </c>
      <c r="H55" s="117">
        <v>113372</v>
      </c>
    </row>
    <row r="56" spans="4:8" ht="27.6" thickBot="1" x14ac:dyDescent="0.35">
      <c r="D56" s="117" t="s">
        <v>231</v>
      </c>
      <c r="E56" s="118">
        <v>1951001402</v>
      </c>
      <c r="G56" s="117" t="s">
        <v>1345</v>
      </c>
      <c r="H56" s="117">
        <v>113373</v>
      </c>
    </row>
    <row r="57" spans="4:8" ht="27.6" thickBot="1" x14ac:dyDescent="0.35">
      <c r="D57" s="117" t="s">
        <v>232</v>
      </c>
      <c r="E57" s="118">
        <v>951000173</v>
      </c>
      <c r="G57" s="117" t="s">
        <v>1346</v>
      </c>
      <c r="H57" s="117">
        <v>113371</v>
      </c>
    </row>
    <row r="58" spans="4:8" ht="27.6" thickBot="1" x14ac:dyDescent="0.35">
      <c r="D58" s="117" t="s">
        <v>233</v>
      </c>
      <c r="E58" s="118">
        <v>951000011</v>
      </c>
      <c r="G58" s="117" t="s">
        <v>1347</v>
      </c>
      <c r="H58" s="117">
        <v>113322</v>
      </c>
    </row>
    <row r="59" spans="4:8" ht="27.6" thickBot="1" x14ac:dyDescent="0.35">
      <c r="D59" s="117" t="s">
        <v>234</v>
      </c>
      <c r="E59" s="118">
        <v>951000611</v>
      </c>
      <c r="G59" s="117" t="s">
        <v>1348</v>
      </c>
      <c r="H59" s="117">
        <v>113323</v>
      </c>
    </row>
    <row r="60" spans="4:8" ht="27.6" thickBot="1" x14ac:dyDescent="0.35">
      <c r="D60" s="117" t="s">
        <v>235</v>
      </c>
      <c r="E60" s="118">
        <v>951000430</v>
      </c>
      <c r="G60" s="117" t="s">
        <v>1349</v>
      </c>
      <c r="H60" s="117">
        <v>113321</v>
      </c>
    </row>
    <row r="61" spans="4:8" ht="27.6" thickBot="1" x14ac:dyDescent="0.35">
      <c r="D61" s="117" t="s">
        <v>236</v>
      </c>
      <c r="E61" s="118">
        <v>951000390</v>
      </c>
      <c r="G61" s="117" t="s">
        <v>1350</v>
      </c>
      <c r="H61" s="117">
        <v>113312</v>
      </c>
    </row>
    <row r="62" spans="4:8" ht="27.6" thickBot="1" x14ac:dyDescent="0.35">
      <c r="D62" s="117" t="s">
        <v>237</v>
      </c>
      <c r="E62" s="118">
        <v>951000073</v>
      </c>
      <c r="G62" s="117" t="s">
        <v>1351</v>
      </c>
      <c r="H62" s="117">
        <v>113313</v>
      </c>
    </row>
    <row r="63" spans="4:8" ht="15" thickBot="1" x14ac:dyDescent="0.35">
      <c r="D63" s="117" t="s">
        <v>238</v>
      </c>
      <c r="E63" s="118">
        <v>951000151</v>
      </c>
      <c r="G63" s="117" t="s">
        <v>1352</v>
      </c>
      <c r="H63" s="117">
        <v>113311</v>
      </c>
    </row>
    <row r="64" spans="4:8" ht="27.6" thickBot="1" x14ac:dyDescent="0.35">
      <c r="D64" s="117" t="s">
        <v>239</v>
      </c>
      <c r="E64" s="118">
        <v>951000237</v>
      </c>
      <c r="G64" s="117" t="s">
        <v>1353</v>
      </c>
      <c r="H64" s="117">
        <v>113362</v>
      </c>
    </row>
    <row r="65" spans="4:8" ht="27.6" thickBot="1" x14ac:dyDescent="0.35">
      <c r="D65" s="117" t="s">
        <v>240</v>
      </c>
      <c r="E65" s="118">
        <v>951000442</v>
      </c>
      <c r="G65" s="117" t="s">
        <v>1354</v>
      </c>
      <c r="H65" s="117">
        <v>113363</v>
      </c>
    </row>
    <row r="66" spans="4:8" ht="27.6" thickBot="1" x14ac:dyDescent="0.35">
      <c r="D66" s="117" t="s">
        <v>241</v>
      </c>
      <c r="E66" s="118">
        <v>951000078</v>
      </c>
      <c r="G66" s="117" t="s">
        <v>1355</v>
      </c>
      <c r="H66" s="117">
        <v>113361</v>
      </c>
    </row>
    <row r="67" spans="4:8" ht="27.6" thickBot="1" x14ac:dyDescent="0.35">
      <c r="D67" s="117" t="s">
        <v>242</v>
      </c>
      <c r="E67" s="118">
        <v>951000165</v>
      </c>
      <c r="G67" s="117" t="s">
        <v>1356</v>
      </c>
      <c r="H67" s="117">
        <v>113352</v>
      </c>
    </row>
    <row r="68" spans="4:8" ht="27.6" thickBot="1" x14ac:dyDescent="0.35">
      <c r="D68" s="117" t="s">
        <v>243</v>
      </c>
      <c r="E68" s="118">
        <v>951000456</v>
      </c>
      <c r="G68" s="117" t="s">
        <v>1357</v>
      </c>
      <c r="H68" s="117">
        <v>113353</v>
      </c>
    </row>
    <row r="69" spans="4:8" ht="27.6" thickBot="1" x14ac:dyDescent="0.35">
      <c r="D69" s="117" t="s">
        <v>244</v>
      </c>
      <c r="E69" s="118">
        <v>951000008</v>
      </c>
      <c r="G69" s="117" t="s">
        <v>1358</v>
      </c>
      <c r="H69" s="117">
        <v>113351</v>
      </c>
    </row>
    <row r="70" spans="4:8" ht="15" thickBot="1" x14ac:dyDescent="0.35">
      <c r="D70" s="117" t="s">
        <v>245</v>
      </c>
      <c r="E70" s="118">
        <v>951000566</v>
      </c>
      <c r="G70" s="117" t="s">
        <v>3</v>
      </c>
      <c r="H70" s="117">
        <v>530110</v>
      </c>
    </row>
    <row r="71" spans="4:8" ht="27.6" thickBot="1" x14ac:dyDescent="0.35">
      <c r="D71" s="117" t="s">
        <v>246</v>
      </c>
      <c r="E71" s="118">
        <v>951000360</v>
      </c>
      <c r="G71" s="117" t="s">
        <v>1359</v>
      </c>
      <c r="H71" s="117">
        <v>141010</v>
      </c>
    </row>
    <row r="72" spans="4:8" ht="15" thickBot="1" x14ac:dyDescent="0.35">
      <c r="D72" s="117" t="s">
        <v>247</v>
      </c>
      <c r="E72" s="118">
        <v>959000030</v>
      </c>
      <c r="G72" s="117" t="s">
        <v>1360</v>
      </c>
      <c r="H72" s="117">
        <v>169510</v>
      </c>
    </row>
    <row r="73" spans="4:8" ht="15" thickBot="1" x14ac:dyDescent="0.35">
      <c r="D73" s="117" t="s">
        <v>248</v>
      </c>
      <c r="E73" s="118">
        <v>951000606</v>
      </c>
      <c r="G73" s="117" t="s">
        <v>1361</v>
      </c>
      <c r="H73" s="117">
        <v>410112</v>
      </c>
    </row>
    <row r="74" spans="4:8" ht="15" thickBot="1" x14ac:dyDescent="0.35">
      <c r="D74" s="117" t="s">
        <v>249</v>
      </c>
      <c r="E74" s="118">
        <v>951000143</v>
      </c>
      <c r="G74" s="117" t="s">
        <v>1362</v>
      </c>
      <c r="H74" s="117">
        <v>410118</v>
      </c>
    </row>
    <row r="75" spans="4:8" ht="15" thickBot="1" x14ac:dyDescent="0.35">
      <c r="D75" s="117" t="s">
        <v>250</v>
      </c>
      <c r="E75" s="118">
        <v>951000378</v>
      </c>
      <c r="G75" s="117" t="s">
        <v>1363</v>
      </c>
      <c r="H75" s="117">
        <v>410111</v>
      </c>
    </row>
    <row r="76" spans="4:8" ht="27.6" thickBot="1" x14ac:dyDescent="0.35">
      <c r="D76" s="117" t="s">
        <v>251</v>
      </c>
      <c r="E76" s="118">
        <v>951000379</v>
      </c>
      <c r="G76" s="117" t="s">
        <v>1364</v>
      </c>
      <c r="H76" s="117">
        <v>410117</v>
      </c>
    </row>
    <row r="77" spans="4:8" ht="15" thickBot="1" x14ac:dyDescent="0.35">
      <c r="D77" s="117" t="s">
        <v>252</v>
      </c>
      <c r="E77" s="118">
        <v>951000079</v>
      </c>
      <c r="G77" s="117" t="s">
        <v>1365</v>
      </c>
      <c r="H77" s="117">
        <v>510116</v>
      </c>
    </row>
    <row r="78" spans="4:8" ht="15" thickBot="1" x14ac:dyDescent="0.35">
      <c r="D78" s="117" t="s">
        <v>253</v>
      </c>
      <c r="E78" s="118">
        <v>951000032</v>
      </c>
      <c r="G78" s="117" t="s">
        <v>1366</v>
      </c>
      <c r="H78" s="117">
        <v>530108</v>
      </c>
    </row>
    <row r="79" spans="4:8" ht="15" thickBot="1" x14ac:dyDescent="0.35">
      <c r="D79" s="117" t="s">
        <v>254</v>
      </c>
      <c r="E79" s="118">
        <v>959000016</v>
      </c>
      <c r="G79" s="117" t="s">
        <v>1367</v>
      </c>
      <c r="H79" s="117">
        <v>111010</v>
      </c>
    </row>
    <row r="80" spans="4:8" ht="27.6" thickBot="1" x14ac:dyDescent="0.35">
      <c r="D80" s="117" t="s">
        <v>255</v>
      </c>
      <c r="E80" s="118">
        <v>951000377</v>
      </c>
      <c r="G80" s="117" t="s">
        <v>82</v>
      </c>
      <c r="H80" s="117">
        <v>531901</v>
      </c>
    </row>
    <row r="81" spans="4:8" ht="15" thickBot="1" x14ac:dyDescent="0.35">
      <c r="D81" s="117" t="s">
        <v>256</v>
      </c>
      <c r="E81" s="118">
        <v>959000019</v>
      </c>
      <c r="G81" s="117" t="s">
        <v>1368</v>
      </c>
      <c r="H81" s="117">
        <v>999001</v>
      </c>
    </row>
    <row r="82" spans="4:8" ht="15" thickBot="1" x14ac:dyDescent="0.35">
      <c r="D82" s="117" t="s">
        <v>257</v>
      </c>
      <c r="E82" s="118">
        <v>951000076</v>
      </c>
      <c r="G82" s="117" t="s">
        <v>1369</v>
      </c>
      <c r="H82" s="117">
        <v>999002</v>
      </c>
    </row>
    <row r="83" spans="4:8" ht="15" thickBot="1" x14ac:dyDescent="0.35">
      <c r="D83" s="117" t="s">
        <v>258</v>
      </c>
      <c r="E83" s="118">
        <v>951000075</v>
      </c>
      <c r="G83" s="117" t="s">
        <v>1370</v>
      </c>
      <c r="H83" s="117">
        <v>999003</v>
      </c>
    </row>
    <row r="84" spans="4:8" ht="27.6" thickBot="1" x14ac:dyDescent="0.35">
      <c r="D84" s="117" t="s">
        <v>259</v>
      </c>
      <c r="E84" s="118">
        <v>951000640</v>
      </c>
      <c r="G84" s="117" t="s">
        <v>1371</v>
      </c>
      <c r="H84" s="117">
        <v>999005</v>
      </c>
    </row>
    <row r="85" spans="4:8" ht="15" thickBot="1" x14ac:dyDescent="0.35">
      <c r="D85" s="117" t="s">
        <v>260</v>
      </c>
      <c r="E85" s="118">
        <v>951000362</v>
      </c>
      <c r="G85" s="117" t="s">
        <v>1372</v>
      </c>
      <c r="H85" s="117">
        <v>999004</v>
      </c>
    </row>
    <row r="86" spans="4:8" ht="15" thickBot="1" x14ac:dyDescent="0.35">
      <c r="D86" s="117" t="s">
        <v>261</v>
      </c>
      <c r="E86" s="118">
        <v>951000706</v>
      </c>
      <c r="G86" s="117" t="s">
        <v>1373</v>
      </c>
      <c r="H86" s="117">
        <v>232010</v>
      </c>
    </row>
    <row r="87" spans="4:8" ht="27.6" thickBot="1" x14ac:dyDescent="0.35">
      <c r="D87" s="117" t="s">
        <v>262</v>
      </c>
      <c r="E87" s="118">
        <v>959000000</v>
      </c>
      <c r="G87" s="117" t="s">
        <v>1374</v>
      </c>
      <c r="H87" s="117">
        <v>530201</v>
      </c>
    </row>
    <row r="88" spans="4:8" ht="15" thickBot="1" x14ac:dyDescent="0.35">
      <c r="D88" s="117" t="s">
        <v>263</v>
      </c>
      <c r="E88" s="118">
        <v>951001182</v>
      </c>
      <c r="G88" s="117" t="s">
        <v>1375</v>
      </c>
      <c r="H88" s="117">
        <v>530202</v>
      </c>
    </row>
    <row r="89" spans="4:8" ht="27.6" thickBot="1" x14ac:dyDescent="0.35">
      <c r="D89" s="117" t="s">
        <v>264</v>
      </c>
      <c r="E89" s="118">
        <v>951000339</v>
      </c>
      <c r="G89" s="117" t="s">
        <v>1376</v>
      </c>
      <c r="H89" s="117">
        <v>531302</v>
      </c>
    </row>
    <row r="90" spans="4:8" ht="15" thickBot="1" x14ac:dyDescent="0.35">
      <c r="D90" s="117" t="s">
        <v>265</v>
      </c>
      <c r="E90" s="118">
        <v>951000420</v>
      </c>
      <c r="G90" s="117" t="s">
        <v>1377</v>
      </c>
      <c r="H90" s="117">
        <v>175060</v>
      </c>
    </row>
    <row r="91" spans="4:8" ht="15" thickBot="1" x14ac:dyDescent="0.35">
      <c r="D91" s="117" t="s">
        <v>266</v>
      </c>
      <c r="E91" s="118">
        <v>11000505</v>
      </c>
      <c r="G91" s="117" t="s">
        <v>1378</v>
      </c>
      <c r="H91" s="117">
        <v>126010</v>
      </c>
    </row>
    <row r="92" spans="4:8" ht="15" thickBot="1" x14ac:dyDescent="0.35">
      <c r="D92" s="117" t="s">
        <v>267</v>
      </c>
      <c r="E92" s="118">
        <v>951000310</v>
      </c>
      <c r="G92" s="117" t="s">
        <v>1379</v>
      </c>
      <c r="H92" s="117">
        <v>212020</v>
      </c>
    </row>
    <row r="93" spans="4:8" ht="27.6" thickBot="1" x14ac:dyDescent="0.35">
      <c r="D93" s="117" t="s">
        <v>268</v>
      </c>
      <c r="E93" s="118">
        <v>951000648</v>
      </c>
      <c r="G93" s="117" t="s">
        <v>1380</v>
      </c>
      <c r="H93" s="117">
        <v>212010</v>
      </c>
    </row>
    <row r="94" spans="4:8" ht="15" thickBot="1" x14ac:dyDescent="0.35">
      <c r="D94" s="117" t="s">
        <v>269</v>
      </c>
      <c r="E94" s="118">
        <v>951000002</v>
      </c>
      <c r="G94" s="117" t="s">
        <v>1381</v>
      </c>
      <c r="H94" s="117">
        <v>510120</v>
      </c>
    </row>
    <row r="95" spans="4:8" ht="15" thickBot="1" x14ac:dyDescent="0.35">
      <c r="D95" s="117" t="s">
        <v>270</v>
      </c>
      <c r="E95" s="118">
        <v>951000547</v>
      </c>
      <c r="G95" s="117" t="s">
        <v>1382</v>
      </c>
      <c r="H95" s="117">
        <v>530401</v>
      </c>
    </row>
    <row r="96" spans="4:8" ht="15" thickBot="1" x14ac:dyDescent="0.35">
      <c r="D96" s="117" t="s">
        <v>271</v>
      </c>
      <c r="E96" s="118">
        <v>951000610</v>
      </c>
      <c r="G96" s="117" t="s">
        <v>1383</v>
      </c>
      <c r="H96" s="117">
        <v>530104</v>
      </c>
    </row>
    <row r="97" spans="4:8" ht="27.6" thickBot="1" x14ac:dyDescent="0.35">
      <c r="D97" s="117" t="s">
        <v>272</v>
      </c>
      <c r="E97" s="118">
        <v>951000102</v>
      </c>
      <c r="G97" s="117" t="s">
        <v>1384</v>
      </c>
      <c r="H97" s="117">
        <v>532804</v>
      </c>
    </row>
    <row r="98" spans="4:8" ht="27.6" thickBot="1" x14ac:dyDescent="0.35">
      <c r="D98" s="117" t="s">
        <v>273</v>
      </c>
      <c r="E98" s="118">
        <v>951000091</v>
      </c>
      <c r="G98" s="117" t="s">
        <v>1385</v>
      </c>
      <c r="H98" s="117">
        <v>510123</v>
      </c>
    </row>
    <row r="99" spans="4:8" ht="27.6" thickBot="1" x14ac:dyDescent="0.35">
      <c r="D99" s="117" t="s">
        <v>274</v>
      </c>
      <c r="E99" s="118">
        <v>951000070</v>
      </c>
      <c r="G99" s="117" t="s">
        <v>1386</v>
      </c>
      <c r="H99" s="117">
        <v>510122</v>
      </c>
    </row>
    <row r="100" spans="4:8" ht="15" thickBot="1" x14ac:dyDescent="0.35">
      <c r="D100" s="117" t="s">
        <v>275</v>
      </c>
      <c r="E100" s="118">
        <v>16000070</v>
      </c>
      <c r="G100" s="117" t="s">
        <v>1387</v>
      </c>
      <c r="H100" s="117">
        <v>533803</v>
      </c>
    </row>
    <row r="101" spans="4:8" ht="15" thickBot="1" x14ac:dyDescent="0.35">
      <c r="D101" s="117" t="s">
        <v>276</v>
      </c>
      <c r="E101" s="118">
        <v>951000702</v>
      </c>
      <c r="G101" s="117" t="s">
        <v>83</v>
      </c>
      <c r="H101" s="117">
        <v>532705</v>
      </c>
    </row>
    <row r="102" spans="4:8" ht="15" thickBot="1" x14ac:dyDescent="0.35">
      <c r="D102" s="117" t="s">
        <v>277</v>
      </c>
      <c r="E102" s="118">
        <v>951000701</v>
      </c>
      <c r="G102" s="117" t="s">
        <v>1388</v>
      </c>
      <c r="H102" s="117">
        <v>530505</v>
      </c>
    </row>
    <row r="103" spans="4:8" ht="15" thickBot="1" x14ac:dyDescent="0.35">
      <c r="D103" s="117" t="s">
        <v>278</v>
      </c>
      <c r="E103" s="118">
        <v>951000306</v>
      </c>
      <c r="G103" s="117" t="s">
        <v>1389</v>
      </c>
      <c r="H103" s="117">
        <v>510101</v>
      </c>
    </row>
    <row r="104" spans="4:8" ht="15" thickBot="1" x14ac:dyDescent="0.35">
      <c r="D104" s="117" t="s">
        <v>279</v>
      </c>
      <c r="E104" s="118">
        <v>959000001</v>
      </c>
      <c r="G104" s="117" t="s">
        <v>1390</v>
      </c>
      <c r="H104" s="117">
        <v>510128</v>
      </c>
    </row>
    <row r="105" spans="4:8" ht="27.6" thickBot="1" x14ac:dyDescent="0.35">
      <c r="D105" s="117" t="s">
        <v>280</v>
      </c>
      <c r="E105" s="118">
        <v>951000056</v>
      </c>
      <c r="G105" s="117" t="s">
        <v>1391</v>
      </c>
      <c r="H105" s="117">
        <v>510105</v>
      </c>
    </row>
    <row r="106" spans="4:8" ht="27.6" thickBot="1" x14ac:dyDescent="0.35">
      <c r="D106" s="117" t="s">
        <v>281</v>
      </c>
      <c r="E106" s="118">
        <v>951000386</v>
      </c>
      <c r="G106" s="117" t="s">
        <v>1392</v>
      </c>
      <c r="H106" s="117">
        <v>510132</v>
      </c>
    </row>
    <row r="107" spans="4:8" ht="15" thickBot="1" x14ac:dyDescent="0.35">
      <c r="D107" s="117" t="s">
        <v>282</v>
      </c>
      <c r="E107" s="118">
        <v>951000370</v>
      </c>
      <c r="G107" s="117" t="s">
        <v>1393</v>
      </c>
      <c r="H107" s="117">
        <v>510102</v>
      </c>
    </row>
    <row r="108" spans="4:8" ht="40.799999999999997" thickBot="1" x14ac:dyDescent="0.35">
      <c r="D108" s="117" t="s">
        <v>283</v>
      </c>
      <c r="E108" s="118">
        <v>951000334</v>
      </c>
      <c r="G108" s="117" t="s">
        <v>1394</v>
      </c>
      <c r="H108" s="117">
        <v>113005</v>
      </c>
    </row>
    <row r="109" spans="4:8" ht="15" thickBot="1" x14ac:dyDescent="0.35">
      <c r="D109" s="117" t="s">
        <v>284</v>
      </c>
      <c r="E109" s="118">
        <v>951000613</v>
      </c>
      <c r="G109" s="117" t="s">
        <v>1395</v>
      </c>
      <c r="H109" s="117">
        <v>113006</v>
      </c>
    </row>
    <row r="110" spans="4:8" ht="15" thickBot="1" x14ac:dyDescent="0.35">
      <c r="D110" s="117" t="s">
        <v>285</v>
      </c>
      <c r="E110" s="118">
        <v>951000087</v>
      </c>
      <c r="G110" s="117" t="s">
        <v>1396</v>
      </c>
      <c r="H110" s="117">
        <v>167999</v>
      </c>
    </row>
    <row r="111" spans="4:8" ht="15" thickBot="1" x14ac:dyDescent="0.35">
      <c r="D111" s="117" t="s">
        <v>286</v>
      </c>
      <c r="E111" s="118">
        <v>951000050</v>
      </c>
      <c r="G111" s="117" t="s">
        <v>1397</v>
      </c>
      <c r="H111" s="117">
        <v>531202</v>
      </c>
    </row>
    <row r="112" spans="4:8" ht="15" thickBot="1" x14ac:dyDescent="0.35">
      <c r="D112" s="117" t="s">
        <v>287</v>
      </c>
      <c r="E112" s="118">
        <v>951000140</v>
      </c>
      <c r="G112" s="117" t="s">
        <v>1398</v>
      </c>
      <c r="H112" s="117">
        <v>533701</v>
      </c>
    </row>
    <row r="113" spans="4:8" ht="15" thickBot="1" x14ac:dyDescent="0.35">
      <c r="D113" s="117" t="s">
        <v>288</v>
      </c>
      <c r="E113" s="118">
        <v>951000034</v>
      </c>
      <c r="G113" s="117" t="s">
        <v>1399</v>
      </c>
      <c r="H113" s="117">
        <v>132011</v>
      </c>
    </row>
    <row r="114" spans="4:8" ht="15" thickBot="1" x14ac:dyDescent="0.35">
      <c r="D114" s="117" t="s">
        <v>289</v>
      </c>
      <c r="E114" s="118">
        <v>951000200</v>
      </c>
      <c r="G114" s="117" t="s">
        <v>1400</v>
      </c>
      <c r="H114" s="117">
        <v>132010</v>
      </c>
    </row>
    <row r="115" spans="4:8" ht="27.6" thickBot="1" x14ac:dyDescent="0.35">
      <c r="D115" s="117" t="s">
        <v>290</v>
      </c>
      <c r="E115" s="118">
        <v>951000062</v>
      </c>
      <c r="G115" s="117" t="s">
        <v>1401</v>
      </c>
      <c r="H115" s="117">
        <v>410113</v>
      </c>
    </row>
    <row r="116" spans="4:8" ht="15" thickBot="1" x14ac:dyDescent="0.35">
      <c r="D116" s="117" t="s">
        <v>291</v>
      </c>
      <c r="E116" s="118">
        <v>16000045</v>
      </c>
      <c r="G116" s="117" t="s">
        <v>1402</v>
      </c>
      <c r="H116" s="117">
        <v>410119</v>
      </c>
    </row>
    <row r="117" spans="4:8" ht="15" thickBot="1" x14ac:dyDescent="0.35">
      <c r="D117" s="117" t="s">
        <v>292</v>
      </c>
      <c r="E117" s="118">
        <v>951000361</v>
      </c>
      <c r="G117" s="117" t="s">
        <v>1403</v>
      </c>
      <c r="H117" s="117">
        <v>540503</v>
      </c>
    </row>
    <row r="118" spans="4:8" ht="27.6" thickBot="1" x14ac:dyDescent="0.35">
      <c r="D118" s="117" t="s">
        <v>293</v>
      </c>
      <c r="E118" s="118">
        <v>951000139</v>
      </c>
      <c r="G118" s="117" t="s">
        <v>1404</v>
      </c>
      <c r="H118" s="117">
        <v>540101</v>
      </c>
    </row>
    <row r="119" spans="4:8" ht="15" thickBot="1" x14ac:dyDescent="0.35">
      <c r="D119" s="117" t="s">
        <v>294</v>
      </c>
      <c r="E119" s="118">
        <v>951000768</v>
      </c>
      <c r="G119" s="117" t="s">
        <v>1405</v>
      </c>
      <c r="H119" s="117">
        <v>126020</v>
      </c>
    </row>
    <row r="120" spans="4:8" ht="15" thickBot="1" x14ac:dyDescent="0.35">
      <c r="D120" s="117" t="s">
        <v>295</v>
      </c>
      <c r="E120" s="118">
        <v>951000385</v>
      </c>
      <c r="G120" s="117" t="s">
        <v>1406</v>
      </c>
      <c r="H120" s="117">
        <v>532901</v>
      </c>
    </row>
    <row r="121" spans="4:8" ht="15" thickBot="1" x14ac:dyDescent="0.35">
      <c r="D121" s="117" t="s">
        <v>296</v>
      </c>
      <c r="E121" s="118">
        <v>951000395</v>
      </c>
      <c r="G121" s="117" t="s">
        <v>1407</v>
      </c>
      <c r="H121" s="117">
        <v>121015</v>
      </c>
    </row>
    <row r="122" spans="4:8" ht="27.6" thickBot="1" x14ac:dyDescent="0.35">
      <c r="D122" s="117" t="s">
        <v>297</v>
      </c>
      <c r="E122" s="118">
        <v>951000607</v>
      </c>
      <c r="G122" s="117" t="s">
        <v>1408</v>
      </c>
      <c r="H122" s="117">
        <v>121010</v>
      </c>
    </row>
    <row r="123" spans="4:8" ht="15" thickBot="1" x14ac:dyDescent="0.35">
      <c r="D123" s="117" t="s">
        <v>298</v>
      </c>
      <c r="E123" s="118">
        <v>951000154</v>
      </c>
      <c r="G123" s="117" t="s">
        <v>1409</v>
      </c>
      <c r="H123" s="117">
        <v>121016</v>
      </c>
    </row>
    <row r="124" spans="4:8" ht="27.6" thickBot="1" x14ac:dyDescent="0.35">
      <c r="D124" s="117" t="s">
        <v>299</v>
      </c>
      <c r="E124" s="118">
        <v>951000088</v>
      </c>
      <c r="G124" s="117" t="s">
        <v>1410</v>
      </c>
      <c r="H124" s="117">
        <v>121013</v>
      </c>
    </row>
    <row r="125" spans="4:8" ht="15" thickBot="1" x14ac:dyDescent="0.35">
      <c r="D125" s="117" t="s">
        <v>300</v>
      </c>
      <c r="E125" s="118">
        <v>951000287</v>
      </c>
      <c r="G125" s="117" t="s">
        <v>1411</v>
      </c>
      <c r="H125" s="117">
        <v>121014</v>
      </c>
    </row>
    <row r="126" spans="4:8" ht="27.6" thickBot="1" x14ac:dyDescent="0.35">
      <c r="D126" s="117" t="s">
        <v>301</v>
      </c>
      <c r="E126" s="118">
        <v>951000072</v>
      </c>
      <c r="G126" s="117" t="s">
        <v>1412</v>
      </c>
      <c r="H126" s="117">
        <v>121050</v>
      </c>
    </row>
    <row r="127" spans="4:8" ht="15" thickBot="1" x14ac:dyDescent="0.35">
      <c r="D127" s="117" t="s">
        <v>302</v>
      </c>
      <c r="E127" s="118">
        <v>951000368</v>
      </c>
      <c r="G127" s="117" t="s">
        <v>1413</v>
      </c>
      <c r="H127" s="117">
        <v>121060</v>
      </c>
    </row>
    <row r="128" spans="4:8" ht="27.6" thickBot="1" x14ac:dyDescent="0.35">
      <c r="D128" s="117" t="s">
        <v>303</v>
      </c>
      <c r="E128" s="118">
        <v>951000431</v>
      </c>
      <c r="G128" s="117" t="s">
        <v>1414</v>
      </c>
      <c r="H128" s="117">
        <v>246060</v>
      </c>
    </row>
    <row r="129" spans="4:8" ht="27.6" thickBot="1" x14ac:dyDescent="0.35">
      <c r="D129" s="117" t="s">
        <v>304</v>
      </c>
      <c r="E129" s="118">
        <v>951000713</v>
      </c>
      <c r="G129" s="117" t="s">
        <v>1415</v>
      </c>
      <c r="H129" s="117">
        <v>113334</v>
      </c>
    </row>
    <row r="130" spans="4:8" ht="27.6" thickBot="1" x14ac:dyDescent="0.35">
      <c r="D130" s="117" t="s">
        <v>305</v>
      </c>
      <c r="E130" s="118">
        <v>951000398</v>
      </c>
      <c r="G130" s="117" t="s">
        <v>1416</v>
      </c>
      <c r="H130" s="117">
        <v>135011</v>
      </c>
    </row>
    <row r="131" spans="4:8" ht="27.6" thickBot="1" x14ac:dyDescent="0.35">
      <c r="D131" s="117" t="s">
        <v>306</v>
      </c>
      <c r="E131" s="118">
        <v>951000714</v>
      </c>
      <c r="G131" s="117" t="s">
        <v>1417</v>
      </c>
      <c r="H131" s="117">
        <v>113344</v>
      </c>
    </row>
    <row r="132" spans="4:8" ht="27.6" thickBot="1" x14ac:dyDescent="0.35">
      <c r="D132" s="117" t="s">
        <v>307</v>
      </c>
      <c r="E132" s="118">
        <v>951000448</v>
      </c>
      <c r="G132" s="117" t="s">
        <v>1418</v>
      </c>
      <c r="H132" s="117">
        <v>113324</v>
      </c>
    </row>
    <row r="133" spans="4:8" ht="27.6" thickBot="1" x14ac:dyDescent="0.35">
      <c r="D133" s="117" t="s">
        <v>308</v>
      </c>
      <c r="E133" s="118">
        <v>951000342</v>
      </c>
      <c r="G133" s="117" t="s">
        <v>1419</v>
      </c>
      <c r="H133" s="117">
        <v>113365</v>
      </c>
    </row>
    <row r="134" spans="4:8" ht="27.6" thickBot="1" x14ac:dyDescent="0.35">
      <c r="D134" s="117" t="s">
        <v>309</v>
      </c>
      <c r="E134" s="118">
        <v>951000262</v>
      </c>
      <c r="G134" s="117" t="s">
        <v>1420</v>
      </c>
      <c r="H134" s="117">
        <v>113364</v>
      </c>
    </row>
    <row r="135" spans="4:8" ht="27.6" thickBot="1" x14ac:dyDescent="0.35">
      <c r="D135" s="117" t="s">
        <v>310</v>
      </c>
      <c r="E135" s="118">
        <v>951000157</v>
      </c>
      <c r="G135" s="117" t="s">
        <v>1421</v>
      </c>
      <c r="H135" s="117">
        <v>212021</v>
      </c>
    </row>
    <row r="136" spans="4:8" ht="27.6" thickBot="1" x14ac:dyDescent="0.35">
      <c r="D136" s="117" t="s">
        <v>311</v>
      </c>
      <c r="E136" s="118">
        <v>951000288</v>
      </c>
      <c r="G136" s="117" t="s">
        <v>1422</v>
      </c>
      <c r="H136" s="117">
        <v>132012</v>
      </c>
    </row>
    <row r="137" spans="4:8" ht="27.6" thickBot="1" x14ac:dyDescent="0.35">
      <c r="D137" s="117" t="s">
        <v>312</v>
      </c>
      <c r="E137" s="118">
        <v>951000289</v>
      </c>
      <c r="G137" s="117" t="s">
        <v>1423</v>
      </c>
      <c r="H137" s="117">
        <v>112031</v>
      </c>
    </row>
    <row r="138" spans="4:8" ht="27.6" thickBot="1" x14ac:dyDescent="0.35">
      <c r="D138" s="117" t="s">
        <v>313</v>
      </c>
      <c r="E138" s="118">
        <v>951000293</v>
      </c>
      <c r="G138" s="117" t="s">
        <v>1424</v>
      </c>
      <c r="H138" s="117">
        <v>139061</v>
      </c>
    </row>
    <row r="139" spans="4:8" ht="27.6" thickBot="1" x14ac:dyDescent="0.35">
      <c r="D139" s="117" t="s">
        <v>314</v>
      </c>
      <c r="E139" s="118">
        <v>951000294</v>
      </c>
      <c r="G139" s="117" t="s">
        <v>1425</v>
      </c>
      <c r="H139" s="117">
        <v>141301</v>
      </c>
    </row>
    <row r="140" spans="4:8" ht="27.6" thickBot="1" x14ac:dyDescent="0.35">
      <c r="D140" s="117" t="s">
        <v>315</v>
      </c>
      <c r="E140" s="118">
        <v>951000621</v>
      </c>
      <c r="G140" s="117" t="s">
        <v>1426</v>
      </c>
      <c r="H140" s="117">
        <v>139079</v>
      </c>
    </row>
    <row r="141" spans="4:8" ht="27.6" thickBot="1" x14ac:dyDescent="0.35">
      <c r="D141" s="117" t="s">
        <v>316</v>
      </c>
      <c r="E141" s="118">
        <v>951001215</v>
      </c>
      <c r="G141" s="117" t="s">
        <v>1426</v>
      </c>
      <c r="H141" s="117">
        <v>151013</v>
      </c>
    </row>
    <row r="142" spans="4:8" ht="27.6" thickBot="1" x14ac:dyDescent="0.35">
      <c r="D142" s="117" t="s">
        <v>317</v>
      </c>
      <c r="E142" s="118">
        <v>951000273</v>
      </c>
      <c r="G142" s="117" t="s">
        <v>1427</v>
      </c>
      <c r="H142" s="117">
        <v>211012</v>
      </c>
    </row>
    <row r="143" spans="4:8" ht="15" thickBot="1" x14ac:dyDescent="0.35">
      <c r="D143" s="117" t="s">
        <v>318</v>
      </c>
      <c r="E143" s="118">
        <v>951000457</v>
      </c>
      <c r="G143" s="117" t="s">
        <v>1428</v>
      </c>
      <c r="H143" s="117">
        <v>211014</v>
      </c>
    </row>
    <row r="144" spans="4:8" ht="15" thickBot="1" x14ac:dyDescent="0.35">
      <c r="D144" s="117" t="s">
        <v>319</v>
      </c>
      <c r="E144" s="118">
        <v>951000043</v>
      </c>
      <c r="G144" s="117" t="s">
        <v>1429</v>
      </c>
      <c r="H144" s="117">
        <v>151011</v>
      </c>
    </row>
    <row r="145" spans="4:8" ht="27.6" thickBot="1" x14ac:dyDescent="0.35">
      <c r="D145" s="117" t="s">
        <v>320</v>
      </c>
      <c r="E145" s="118">
        <v>951000013</v>
      </c>
      <c r="G145" s="117" t="s">
        <v>1430</v>
      </c>
      <c r="H145" s="117">
        <v>221041</v>
      </c>
    </row>
    <row r="146" spans="4:8" ht="27.6" thickBot="1" x14ac:dyDescent="0.35">
      <c r="D146" s="117" t="s">
        <v>321</v>
      </c>
      <c r="E146" s="118">
        <v>951001019</v>
      </c>
      <c r="G146" s="117" t="s">
        <v>1431</v>
      </c>
      <c r="H146" s="117">
        <v>135021</v>
      </c>
    </row>
    <row r="147" spans="4:8" ht="27.6" thickBot="1" x14ac:dyDescent="0.35">
      <c r="D147" s="117" t="s">
        <v>322</v>
      </c>
      <c r="E147" s="118">
        <v>951001429</v>
      </c>
      <c r="G147" s="117" t="s">
        <v>1432</v>
      </c>
      <c r="H147" s="117">
        <v>139078</v>
      </c>
    </row>
    <row r="148" spans="4:8" ht="27.6" thickBot="1" x14ac:dyDescent="0.35">
      <c r="D148" s="117" t="s">
        <v>323</v>
      </c>
      <c r="E148" s="118">
        <v>13000030</v>
      </c>
      <c r="G148" s="117" t="s">
        <v>1433</v>
      </c>
      <c r="H148" s="117">
        <v>131061</v>
      </c>
    </row>
    <row r="149" spans="4:8" ht="27.6" thickBot="1" x14ac:dyDescent="0.35">
      <c r="D149" s="117" t="s">
        <v>324</v>
      </c>
      <c r="E149" s="118">
        <v>951000896</v>
      </c>
      <c r="G149" s="117" t="s">
        <v>1434</v>
      </c>
      <c r="H149" s="117">
        <v>211026</v>
      </c>
    </row>
    <row r="150" spans="4:8" ht="27.6" thickBot="1" x14ac:dyDescent="0.35">
      <c r="D150" s="117" t="s">
        <v>325</v>
      </c>
      <c r="E150" s="118">
        <v>951000815</v>
      </c>
      <c r="G150" s="117" t="s">
        <v>1435</v>
      </c>
      <c r="H150" s="117">
        <v>211002</v>
      </c>
    </row>
    <row r="151" spans="4:8" ht="15" thickBot="1" x14ac:dyDescent="0.35">
      <c r="D151" s="117" t="s">
        <v>326</v>
      </c>
      <c r="E151" s="118">
        <v>951000511</v>
      </c>
      <c r="G151" s="117" t="s">
        <v>1436</v>
      </c>
      <c r="H151" s="117">
        <v>211024</v>
      </c>
    </row>
    <row r="152" spans="4:8" ht="15" thickBot="1" x14ac:dyDescent="0.35">
      <c r="D152" s="117" t="s">
        <v>327</v>
      </c>
      <c r="E152" s="118">
        <v>951001053</v>
      </c>
      <c r="G152" s="117" t="s">
        <v>1437</v>
      </c>
      <c r="H152" s="117">
        <v>211022</v>
      </c>
    </row>
    <row r="153" spans="4:8" ht="27.6" thickBot="1" x14ac:dyDescent="0.35">
      <c r="D153" s="117" t="s">
        <v>328</v>
      </c>
      <c r="E153" s="118">
        <v>951000307</v>
      </c>
      <c r="G153" s="117" t="s">
        <v>1438</v>
      </c>
      <c r="H153" s="117">
        <v>121071</v>
      </c>
    </row>
    <row r="154" spans="4:8" ht="27.6" thickBot="1" x14ac:dyDescent="0.35">
      <c r="D154" s="117" t="s">
        <v>329</v>
      </c>
      <c r="E154" s="118">
        <v>951000758</v>
      </c>
      <c r="G154" s="117" t="s">
        <v>1439</v>
      </c>
      <c r="H154" s="117">
        <v>134041</v>
      </c>
    </row>
    <row r="155" spans="4:8" ht="27.6" thickBot="1" x14ac:dyDescent="0.35">
      <c r="D155" s="117" t="s">
        <v>330</v>
      </c>
      <c r="E155" s="118">
        <v>951000893</v>
      </c>
      <c r="G155" s="117" t="s">
        <v>1440</v>
      </c>
      <c r="H155" s="117">
        <v>113345</v>
      </c>
    </row>
    <row r="156" spans="4:8" ht="27.6" thickBot="1" x14ac:dyDescent="0.35">
      <c r="D156" s="117" t="s">
        <v>331</v>
      </c>
      <c r="E156" s="118">
        <v>951000979</v>
      </c>
      <c r="G156" s="117" t="s">
        <v>1441</v>
      </c>
      <c r="H156" s="117">
        <v>113325</v>
      </c>
    </row>
    <row r="157" spans="4:8" ht="27.6" thickBot="1" x14ac:dyDescent="0.35">
      <c r="D157" s="117" t="s">
        <v>332</v>
      </c>
      <c r="E157" s="118">
        <v>951000496</v>
      </c>
      <c r="G157" s="117" t="s">
        <v>1442</v>
      </c>
      <c r="H157" s="117">
        <v>540407</v>
      </c>
    </row>
    <row r="158" spans="4:8" ht="27.6" thickBot="1" x14ac:dyDescent="0.35">
      <c r="D158" s="117" t="s">
        <v>333</v>
      </c>
      <c r="E158" s="118">
        <v>951001427</v>
      </c>
      <c r="G158" s="117" t="s">
        <v>1443</v>
      </c>
      <c r="H158" s="117">
        <v>550206</v>
      </c>
    </row>
    <row r="159" spans="4:8" ht="27.6" thickBot="1" x14ac:dyDescent="0.35">
      <c r="D159" s="117" t="s">
        <v>334</v>
      </c>
      <c r="E159" s="118">
        <v>951000761</v>
      </c>
      <c r="G159" s="117" t="s">
        <v>1444</v>
      </c>
      <c r="H159" s="117">
        <v>139014</v>
      </c>
    </row>
    <row r="160" spans="4:8" ht="27.6" thickBot="1" x14ac:dyDescent="0.35">
      <c r="D160" s="117" t="s">
        <v>335</v>
      </c>
      <c r="E160" s="118">
        <v>950100002</v>
      </c>
      <c r="G160" s="117" t="s">
        <v>1445</v>
      </c>
      <c r="H160" s="117">
        <v>133040</v>
      </c>
    </row>
    <row r="161" spans="4:8" ht="27.6" thickBot="1" x14ac:dyDescent="0.35">
      <c r="D161" s="117" t="s">
        <v>336</v>
      </c>
      <c r="E161" s="118">
        <v>951000910</v>
      </c>
      <c r="G161" s="117" t="s">
        <v>1446</v>
      </c>
      <c r="H161" s="117">
        <v>131071</v>
      </c>
    </row>
    <row r="162" spans="4:8" ht="27.6" thickBot="1" x14ac:dyDescent="0.35">
      <c r="D162" s="117" t="s">
        <v>337</v>
      </c>
      <c r="E162" s="118">
        <v>951000776</v>
      </c>
      <c r="G162" s="117" t="s">
        <v>1447</v>
      </c>
      <c r="H162" s="117">
        <v>131051</v>
      </c>
    </row>
    <row r="163" spans="4:8" ht="27.6" thickBot="1" x14ac:dyDescent="0.35">
      <c r="D163" s="117" t="s">
        <v>338</v>
      </c>
      <c r="E163" s="118">
        <v>951001042</v>
      </c>
      <c r="G163" s="117" t="s">
        <v>1448</v>
      </c>
      <c r="H163" s="117">
        <v>131041</v>
      </c>
    </row>
    <row r="164" spans="4:8" ht="27.6" thickBot="1" x14ac:dyDescent="0.35">
      <c r="D164" s="117" t="s">
        <v>339</v>
      </c>
      <c r="E164" s="118">
        <v>951001309</v>
      </c>
      <c r="G164" s="117" t="s">
        <v>1449</v>
      </c>
      <c r="H164" s="117">
        <v>121012</v>
      </c>
    </row>
    <row r="165" spans="4:8" ht="27.6" thickBot="1" x14ac:dyDescent="0.35">
      <c r="D165" s="117" t="s">
        <v>340</v>
      </c>
      <c r="E165" s="118">
        <v>951000019</v>
      </c>
      <c r="G165" s="117" t="s">
        <v>1450</v>
      </c>
      <c r="H165" s="117">
        <v>251042</v>
      </c>
    </row>
    <row r="166" spans="4:8" ht="27.6" thickBot="1" x14ac:dyDescent="0.35">
      <c r="D166" s="117" t="s">
        <v>341</v>
      </c>
      <c r="E166" s="118">
        <v>951000470</v>
      </c>
      <c r="G166" s="117" t="s">
        <v>1451</v>
      </c>
      <c r="H166" s="117">
        <v>114021</v>
      </c>
    </row>
    <row r="167" spans="4:8" ht="27.6" thickBot="1" x14ac:dyDescent="0.35">
      <c r="D167" s="117" t="s">
        <v>342</v>
      </c>
      <c r="E167" s="118">
        <v>951000174</v>
      </c>
      <c r="G167" s="117" t="s">
        <v>1452</v>
      </c>
      <c r="H167" s="117">
        <v>221012</v>
      </c>
    </row>
    <row r="168" spans="4:8" ht="27.6" thickBot="1" x14ac:dyDescent="0.35">
      <c r="D168" s="117" t="s">
        <v>343</v>
      </c>
      <c r="E168" s="118">
        <v>951000053</v>
      </c>
      <c r="G168" s="117" t="s">
        <v>1453</v>
      </c>
      <c r="H168" s="117">
        <v>135031</v>
      </c>
    </row>
    <row r="169" spans="4:8" ht="27.6" thickBot="1" x14ac:dyDescent="0.35">
      <c r="D169" s="117" t="s">
        <v>344</v>
      </c>
      <c r="E169" s="118">
        <v>951000771</v>
      </c>
      <c r="G169" s="117" t="s">
        <v>1454</v>
      </c>
      <c r="H169" s="117">
        <v>231013</v>
      </c>
    </row>
    <row r="170" spans="4:8" ht="27.6" thickBot="1" x14ac:dyDescent="0.35">
      <c r="D170" s="117" t="s">
        <v>345</v>
      </c>
      <c r="E170" s="118">
        <v>951001043</v>
      </c>
      <c r="G170" s="117" t="s">
        <v>1455</v>
      </c>
      <c r="H170" s="117">
        <v>112021</v>
      </c>
    </row>
    <row r="171" spans="4:8" ht="15" thickBot="1" x14ac:dyDescent="0.35">
      <c r="D171" s="117" t="s">
        <v>346</v>
      </c>
      <c r="E171" s="118">
        <v>951001140</v>
      </c>
      <c r="G171" s="117" t="s">
        <v>1456</v>
      </c>
      <c r="H171" s="117">
        <v>510111</v>
      </c>
    </row>
    <row r="172" spans="4:8" ht="15" thickBot="1" x14ac:dyDescent="0.35">
      <c r="D172" s="117" t="s">
        <v>347</v>
      </c>
      <c r="E172" s="118">
        <v>951000493</v>
      </c>
      <c r="G172" s="117" t="s">
        <v>1457</v>
      </c>
      <c r="H172" s="117">
        <v>510115</v>
      </c>
    </row>
    <row r="173" spans="4:8" ht="27.6" thickBot="1" x14ac:dyDescent="0.35">
      <c r="D173" s="117" t="s">
        <v>348</v>
      </c>
      <c r="E173" s="118">
        <v>951001029</v>
      </c>
      <c r="G173" s="117" t="s">
        <v>1458</v>
      </c>
      <c r="H173" s="117">
        <v>510119</v>
      </c>
    </row>
    <row r="174" spans="4:8" ht="27.6" thickBot="1" x14ac:dyDescent="0.35">
      <c r="D174" s="117" t="s">
        <v>349</v>
      </c>
      <c r="E174" s="118">
        <v>951001153</v>
      </c>
      <c r="G174" s="117" t="s">
        <v>1459</v>
      </c>
      <c r="H174" s="117">
        <v>540401</v>
      </c>
    </row>
    <row r="175" spans="4:8" ht="27.6" thickBot="1" x14ac:dyDescent="0.35">
      <c r="D175" s="117" t="s">
        <v>350</v>
      </c>
      <c r="E175" s="118">
        <v>951000012</v>
      </c>
      <c r="G175" s="117" t="s">
        <v>1460</v>
      </c>
      <c r="H175" s="117">
        <v>540403</v>
      </c>
    </row>
    <row r="176" spans="4:8" ht="27.6" thickBot="1" x14ac:dyDescent="0.35">
      <c r="D176" s="117" t="s">
        <v>351</v>
      </c>
      <c r="E176" s="118">
        <v>951000780</v>
      </c>
      <c r="G176" s="117" t="s">
        <v>1461</v>
      </c>
      <c r="H176" s="117">
        <v>540404</v>
      </c>
    </row>
    <row r="177" spans="4:8" ht="15" thickBot="1" x14ac:dyDescent="0.35">
      <c r="D177" s="117" t="s">
        <v>352</v>
      </c>
      <c r="E177" s="118">
        <v>951001091</v>
      </c>
      <c r="G177" s="117" t="s">
        <v>1462</v>
      </c>
      <c r="H177" s="117">
        <v>530520</v>
      </c>
    </row>
    <row r="178" spans="4:8" ht="15" thickBot="1" x14ac:dyDescent="0.35">
      <c r="D178" s="117" t="s">
        <v>353</v>
      </c>
      <c r="E178" s="118">
        <v>951001086</v>
      </c>
      <c r="G178" s="117" t="s">
        <v>1463</v>
      </c>
      <c r="H178" s="117">
        <v>530502</v>
      </c>
    </row>
    <row r="179" spans="4:8" ht="15" thickBot="1" x14ac:dyDescent="0.35">
      <c r="D179" s="117" t="s">
        <v>354</v>
      </c>
      <c r="E179" s="118">
        <v>951000492</v>
      </c>
      <c r="G179" s="117" t="s">
        <v>1464</v>
      </c>
      <c r="H179" s="117">
        <v>251040</v>
      </c>
    </row>
    <row r="180" spans="4:8" ht="15" thickBot="1" x14ac:dyDescent="0.35">
      <c r="D180" s="117" t="s">
        <v>355</v>
      </c>
      <c r="E180" s="118">
        <v>951000170</v>
      </c>
      <c r="G180" s="117" t="s">
        <v>1465</v>
      </c>
      <c r="H180" s="117">
        <v>251041</v>
      </c>
    </row>
    <row r="181" spans="4:8" ht="27.6" thickBot="1" x14ac:dyDescent="0.35">
      <c r="D181" s="117" t="s">
        <v>356</v>
      </c>
      <c r="E181" s="118">
        <v>951000571</v>
      </c>
      <c r="G181" s="117" t="s">
        <v>1466</v>
      </c>
      <c r="H181" s="117">
        <v>112030</v>
      </c>
    </row>
    <row r="182" spans="4:8" ht="27.6" thickBot="1" x14ac:dyDescent="0.35">
      <c r="D182" s="117" t="s">
        <v>357</v>
      </c>
      <c r="E182" s="118">
        <v>951001222</v>
      </c>
      <c r="G182" s="117" t="s">
        <v>1467</v>
      </c>
      <c r="H182" s="117">
        <v>533301</v>
      </c>
    </row>
    <row r="183" spans="4:8" ht="15" thickBot="1" x14ac:dyDescent="0.35">
      <c r="D183" s="117" t="s">
        <v>358</v>
      </c>
      <c r="E183" s="118">
        <v>951000523</v>
      </c>
      <c r="G183" s="117" t="s">
        <v>1468</v>
      </c>
      <c r="H183" s="117">
        <v>531403</v>
      </c>
    </row>
    <row r="184" spans="4:8" ht="27.6" thickBot="1" x14ac:dyDescent="0.35">
      <c r="D184" s="117" t="s">
        <v>359</v>
      </c>
      <c r="E184" s="118">
        <v>951001283</v>
      </c>
      <c r="G184" s="117" t="s">
        <v>1469</v>
      </c>
      <c r="H184" s="117">
        <v>510131</v>
      </c>
    </row>
    <row r="185" spans="4:8" ht="15" thickBot="1" x14ac:dyDescent="0.35">
      <c r="D185" s="117" t="s">
        <v>360</v>
      </c>
      <c r="E185" s="118">
        <v>951001256</v>
      </c>
      <c r="G185" s="117" t="s">
        <v>1470</v>
      </c>
      <c r="H185" s="117">
        <v>532606</v>
      </c>
    </row>
    <row r="186" spans="4:8" ht="27.6" thickBot="1" x14ac:dyDescent="0.35">
      <c r="D186" s="117" t="s">
        <v>361</v>
      </c>
      <c r="E186" s="118">
        <v>951000973</v>
      </c>
      <c r="G186" s="117" t="s">
        <v>1471</v>
      </c>
      <c r="H186" s="117">
        <v>211050</v>
      </c>
    </row>
    <row r="187" spans="4:8" ht="27.6" thickBot="1" x14ac:dyDescent="0.35">
      <c r="D187" s="117" t="s">
        <v>362</v>
      </c>
      <c r="E187" s="118">
        <v>951001155</v>
      </c>
      <c r="G187" s="117" t="s">
        <v>1472</v>
      </c>
      <c r="H187" s="117">
        <v>211080</v>
      </c>
    </row>
    <row r="188" spans="4:8" ht="15" thickBot="1" x14ac:dyDescent="0.35">
      <c r="D188" s="117" t="s">
        <v>363</v>
      </c>
      <c r="E188" s="118">
        <v>951001120</v>
      </c>
      <c r="G188" s="117" t="s">
        <v>1473</v>
      </c>
      <c r="H188" s="117">
        <v>530514</v>
      </c>
    </row>
    <row r="189" spans="4:8" ht="15" thickBot="1" x14ac:dyDescent="0.35">
      <c r="D189" s="117" t="s">
        <v>364</v>
      </c>
      <c r="E189" s="118">
        <v>951000522</v>
      </c>
      <c r="G189" s="117" t="s">
        <v>1474</v>
      </c>
      <c r="H189" s="117" t="s">
        <v>1475</v>
      </c>
    </row>
    <row r="190" spans="4:8" ht="15" thickBot="1" x14ac:dyDescent="0.35">
      <c r="D190" s="117" t="s">
        <v>365</v>
      </c>
      <c r="E190" s="118">
        <v>951001136</v>
      </c>
      <c r="G190" s="117" t="s">
        <v>1476</v>
      </c>
      <c r="H190" s="117" t="s">
        <v>1477</v>
      </c>
    </row>
    <row r="191" spans="4:8" ht="27.6" thickBot="1" x14ac:dyDescent="0.35">
      <c r="D191" s="117" t="s">
        <v>366</v>
      </c>
      <c r="E191" s="118">
        <v>951001002</v>
      </c>
      <c r="G191" s="117" t="s">
        <v>1478</v>
      </c>
      <c r="H191" s="117" t="s">
        <v>1479</v>
      </c>
    </row>
    <row r="192" spans="4:8" ht="15" thickBot="1" x14ac:dyDescent="0.35">
      <c r="D192" s="117" t="s">
        <v>367</v>
      </c>
      <c r="E192" s="118">
        <v>951001207</v>
      </c>
      <c r="G192" s="117" t="s">
        <v>1480</v>
      </c>
      <c r="H192" s="117" t="s">
        <v>1481</v>
      </c>
    </row>
    <row r="193" spans="4:8" ht="15" thickBot="1" x14ac:dyDescent="0.35">
      <c r="D193" s="117" t="s">
        <v>368</v>
      </c>
      <c r="E193" s="118">
        <v>951000274</v>
      </c>
      <c r="G193" s="117" t="s">
        <v>1482</v>
      </c>
      <c r="H193" s="117" t="s">
        <v>1483</v>
      </c>
    </row>
    <row r="194" spans="4:8" ht="15" thickBot="1" x14ac:dyDescent="0.35">
      <c r="D194" s="117" t="s">
        <v>369</v>
      </c>
      <c r="E194" s="118">
        <v>951000037</v>
      </c>
      <c r="G194" s="117" t="s">
        <v>1484</v>
      </c>
      <c r="H194" s="117">
        <v>311030</v>
      </c>
    </row>
    <row r="195" spans="4:8" ht="27.6" thickBot="1" x14ac:dyDescent="0.35">
      <c r="D195" s="117" t="s">
        <v>370</v>
      </c>
      <c r="E195" s="118">
        <v>951001128</v>
      </c>
      <c r="G195" s="117" t="s">
        <v>1485</v>
      </c>
      <c r="H195" s="117">
        <v>114010</v>
      </c>
    </row>
    <row r="196" spans="4:8" ht="15" thickBot="1" x14ac:dyDescent="0.35">
      <c r="D196" s="117" t="s">
        <v>371</v>
      </c>
      <c r="E196" s="118">
        <v>1951001392</v>
      </c>
      <c r="G196" s="117" t="s">
        <v>1486</v>
      </c>
      <c r="H196" s="117">
        <v>114020</v>
      </c>
    </row>
    <row r="197" spans="4:8" ht="27.6" thickBot="1" x14ac:dyDescent="0.35">
      <c r="D197" s="117" t="s">
        <v>372</v>
      </c>
      <c r="E197" s="118">
        <v>16000008</v>
      </c>
      <c r="G197" s="117" t="s">
        <v>1487</v>
      </c>
      <c r="H197" s="117">
        <v>133030</v>
      </c>
    </row>
    <row r="198" spans="4:8" ht="27.6" thickBot="1" x14ac:dyDescent="0.35">
      <c r="D198" s="117" t="s">
        <v>373</v>
      </c>
      <c r="E198" s="118">
        <v>951000429</v>
      </c>
      <c r="G198" s="117" t="s">
        <v>1488</v>
      </c>
      <c r="H198" s="117">
        <v>139010</v>
      </c>
    </row>
    <row r="199" spans="4:8" ht="27.6" thickBot="1" x14ac:dyDescent="0.35">
      <c r="D199" s="117" t="s">
        <v>374</v>
      </c>
      <c r="E199" s="118">
        <v>951000253</v>
      </c>
      <c r="G199" s="117" t="s">
        <v>1489</v>
      </c>
      <c r="H199" s="117">
        <v>139016</v>
      </c>
    </row>
    <row r="200" spans="4:8" ht="15" thickBot="1" x14ac:dyDescent="0.35">
      <c r="D200" s="117" t="s">
        <v>375</v>
      </c>
      <c r="E200" s="118">
        <v>951000400</v>
      </c>
      <c r="G200" s="117" t="s">
        <v>1490</v>
      </c>
      <c r="H200" s="117">
        <v>139015</v>
      </c>
    </row>
    <row r="201" spans="4:8" ht="15" thickBot="1" x14ac:dyDescent="0.35">
      <c r="D201" s="117" t="s">
        <v>376</v>
      </c>
      <c r="E201" s="118">
        <v>951000686</v>
      </c>
      <c r="G201" s="117" t="s">
        <v>1491</v>
      </c>
      <c r="H201" s="117">
        <v>139019</v>
      </c>
    </row>
    <row r="202" spans="4:8" ht="15" thickBot="1" x14ac:dyDescent="0.35">
      <c r="D202" s="117" t="s">
        <v>377</v>
      </c>
      <c r="E202" s="118">
        <v>951000524</v>
      </c>
      <c r="G202" s="117" t="s">
        <v>1492</v>
      </c>
      <c r="H202" s="117">
        <v>139012</v>
      </c>
    </row>
    <row r="203" spans="4:8" ht="15" thickBot="1" x14ac:dyDescent="0.35">
      <c r="D203" s="117" t="s">
        <v>378</v>
      </c>
      <c r="E203" s="118">
        <v>951000704</v>
      </c>
      <c r="G203" s="117" t="s">
        <v>1493</v>
      </c>
      <c r="H203" s="117">
        <v>139018</v>
      </c>
    </row>
    <row r="204" spans="4:8" ht="15" thickBot="1" x14ac:dyDescent="0.35">
      <c r="D204" s="117" t="s">
        <v>379</v>
      </c>
      <c r="E204" s="118">
        <v>951000708</v>
      </c>
      <c r="G204" s="117" t="s">
        <v>1494</v>
      </c>
      <c r="H204" s="117">
        <v>139040</v>
      </c>
    </row>
    <row r="205" spans="4:8" ht="15" thickBot="1" x14ac:dyDescent="0.35">
      <c r="D205" s="117" t="s">
        <v>380</v>
      </c>
      <c r="E205" s="118">
        <v>1951001389</v>
      </c>
      <c r="G205" s="117" t="s">
        <v>1495</v>
      </c>
      <c r="H205" s="117">
        <v>532101</v>
      </c>
    </row>
    <row r="206" spans="4:8" ht="27.6" thickBot="1" x14ac:dyDescent="0.35">
      <c r="D206" s="117" t="s">
        <v>381</v>
      </c>
      <c r="E206" s="118">
        <v>951001311</v>
      </c>
      <c r="G206" s="117" t="s">
        <v>1496</v>
      </c>
      <c r="H206" s="117">
        <v>530513</v>
      </c>
    </row>
    <row r="207" spans="4:8" ht="15" thickBot="1" x14ac:dyDescent="0.35">
      <c r="D207" s="117" t="s">
        <v>382</v>
      </c>
      <c r="E207" s="118">
        <v>951000156</v>
      </c>
      <c r="G207" s="117" t="s">
        <v>4</v>
      </c>
      <c r="H207" s="117">
        <v>532001</v>
      </c>
    </row>
    <row r="208" spans="4:8" ht="15" thickBot="1" x14ac:dyDescent="0.35">
      <c r="D208" s="117" t="s">
        <v>383</v>
      </c>
      <c r="E208" s="118">
        <v>951000160</v>
      </c>
      <c r="G208" s="117" t="s">
        <v>1497</v>
      </c>
      <c r="H208" s="117">
        <v>530504</v>
      </c>
    </row>
    <row r="209" spans="4:8" ht="15" thickBot="1" x14ac:dyDescent="0.35">
      <c r="D209" s="117" t="s">
        <v>384</v>
      </c>
      <c r="E209" s="118">
        <v>951000250</v>
      </c>
      <c r="G209" s="117" t="s">
        <v>1498</v>
      </c>
      <c r="H209" s="117">
        <v>532603</v>
      </c>
    </row>
    <row r="210" spans="4:8" ht="15" thickBot="1" x14ac:dyDescent="0.35">
      <c r="D210" s="117" t="s">
        <v>385</v>
      </c>
      <c r="E210" s="118">
        <v>951000155</v>
      </c>
      <c r="G210" s="117" t="s">
        <v>1499</v>
      </c>
      <c r="H210" s="117">
        <v>532701</v>
      </c>
    </row>
    <row r="211" spans="4:8" ht="15" thickBot="1" x14ac:dyDescent="0.35">
      <c r="D211" s="117" t="s">
        <v>386</v>
      </c>
      <c r="E211" s="118">
        <v>951000271</v>
      </c>
      <c r="G211" s="117" t="s">
        <v>1500</v>
      </c>
      <c r="H211" s="117">
        <v>530515</v>
      </c>
    </row>
    <row r="212" spans="4:8" ht="27.6" thickBot="1" x14ac:dyDescent="0.35">
      <c r="D212" s="117" t="s">
        <v>387</v>
      </c>
      <c r="E212" s="118">
        <v>951000285</v>
      </c>
      <c r="G212" s="117" t="s">
        <v>1501</v>
      </c>
      <c r="H212" s="117">
        <v>532704</v>
      </c>
    </row>
    <row r="213" spans="4:8" ht="27.6" thickBot="1" x14ac:dyDescent="0.35">
      <c r="D213" s="117" t="s">
        <v>388</v>
      </c>
      <c r="E213" s="118">
        <v>951000291</v>
      </c>
      <c r="G213" s="117" t="s">
        <v>1502</v>
      </c>
      <c r="H213" s="117">
        <v>532005</v>
      </c>
    </row>
    <row r="214" spans="4:8" ht="27.6" thickBot="1" x14ac:dyDescent="0.35">
      <c r="D214" s="117" t="s">
        <v>389</v>
      </c>
      <c r="E214" s="118">
        <v>951000707</v>
      </c>
      <c r="G214" s="117" t="s">
        <v>1503</v>
      </c>
      <c r="H214" s="117">
        <v>531201</v>
      </c>
    </row>
    <row r="215" spans="4:8" ht="15" thickBot="1" x14ac:dyDescent="0.35">
      <c r="D215" s="117" t="s">
        <v>390</v>
      </c>
      <c r="E215" s="118">
        <v>951000778</v>
      </c>
      <c r="G215" s="117" t="s">
        <v>1504</v>
      </c>
      <c r="H215" s="117">
        <v>139060</v>
      </c>
    </row>
    <row r="216" spans="4:8" ht="27.6" thickBot="1" x14ac:dyDescent="0.35">
      <c r="D216" s="117" t="s">
        <v>391</v>
      </c>
      <c r="E216" s="118">
        <v>951000153</v>
      </c>
      <c r="G216" s="117" t="s">
        <v>1505</v>
      </c>
      <c r="H216" s="117">
        <v>139013</v>
      </c>
    </row>
    <row r="217" spans="4:8" ht="15" thickBot="1" x14ac:dyDescent="0.35">
      <c r="D217" s="117" t="s">
        <v>392</v>
      </c>
      <c r="E217" s="118">
        <v>951000104</v>
      </c>
      <c r="G217" s="117" t="s">
        <v>1505</v>
      </c>
      <c r="H217" s="117">
        <v>139017</v>
      </c>
    </row>
    <row r="218" spans="4:8" ht="15" thickBot="1" x14ac:dyDescent="0.35">
      <c r="D218" s="117" t="s">
        <v>393</v>
      </c>
      <c r="E218" s="118">
        <v>951000057</v>
      </c>
      <c r="G218" s="117" t="s">
        <v>1506</v>
      </c>
      <c r="H218" s="117">
        <v>139021</v>
      </c>
    </row>
    <row r="219" spans="4:8" ht="27.6" thickBot="1" x14ac:dyDescent="0.35">
      <c r="D219" s="117" t="s">
        <v>393</v>
      </c>
      <c r="E219" s="118">
        <v>951000058</v>
      </c>
      <c r="G219" s="117" t="s">
        <v>1507</v>
      </c>
      <c r="H219" s="117">
        <v>532801</v>
      </c>
    </row>
    <row r="220" spans="4:8" ht="15" thickBot="1" x14ac:dyDescent="0.35">
      <c r="D220" s="117" t="s">
        <v>394</v>
      </c>
      <c r="E220" s="118">
        <v>951000617</v>
      </c>
      <c r="G220" s="117" t="s">
        <v>1508</v>
      </c>
      <c r="H220" s="117">
        <v>531301</v>
      </c>
    </row>
    <row r="221" spans="4:8" ht="27.6" thickBot="1" x14ac:dyDescent="0.35">
      <c r="D221" s="117" t="s">
        <v>395</v>
      </c>
      <c r="E221" s="118">
        <v>951000387</v>
      </c>
      <c r="G221" s="117" t="s">
        <v>1509</v>
      </c>
      <c r="H221" s="117">
        <v>531401</v>
      </c>
    </row>
    <row r="222" spans="4:8" ht="15" thickBot="1" x14ac:dyDescent="0.35">
      <c r="D222" s="117" t="s">
        <v>396</v>
      </c>
      <c r="E222" s="118">
        <v>951000570</v>
      </c>
      <c r="G222" s="117" t="s">
        <v>1510</v>
      </c>
      <c r="H222" s="117">
        <v>531402</v>
      </c>
    </row>
    <row r="223" spans="4:8" ht="15" thickBot="1" x14ac:dyDescent="0.35">
      <c r="D223" s="117" t="s">
        <v>396</v>
      </c>
      <c r="E223" s="118">
        <v>951000578</v>
      </c>
      <c r="G223" s="117" t="s">
        <v>1511</v>
      </c>
      <c r="H223" s="117">
        <v>530607</v>
      </c>
    </row>
    <row r="224" spans="4:8" ht="15" thickBot="1" x14ac:dyDescent="0.35">
      <c r="D224" s="117" t="s">
        <v>397</v>
      </c>
      <c r="E224" s="118">
        <v>951000475</v>
      </c>
      <c r="G224" s="117" t="s">
        <v>1512</v>
      </c>
      <c r="H224" s="117">
        <v>246050</v>
      </c>
    </row>
    <row r="225" spans="4:8" ht="15" thickBot="1" x14ac:dyDescent="0.35">
      <c r="D225" s="117" t="s">
        <v>398</v>
      </c>
      <c r="E225" s="118">
        <v>951000110</v>
      </c>
      <c r="G225" s="117" t="s">
        <v>1513</v>
      </c>
      <c r="H225" s="117">
        <v>173030</v>
      </c>
    </row>
    <row r="226" spans="4:8" ht="27.6" thickBot="1" x14ac:dyDescent="0.35">
      <c r="D226" s="117" t="s">
        <v>399</v>
      </c>
      <c r="E226" s="118">
        <v>951000055</v>
      </c>
      <c r="G226" s="117" t="s">
        <v>1514</v>
      </c>
      <c r="H226" s="117">
        <v>173031</v>
      </c>
    </row>
    <row r="227" spans="4:8" ht="27.6" thickBot="1" x14ac:dyDescent="0.35">
      <c r="D227" s="117" t="s">
        <v>400</v>
      </c>
      <c r="E227" s="118">
        <v>950100005</v>
      </c>
      <c r="G227" s="117" t="s">
        <v>1515</v>
      </c>
      <c r="H227" s="117">
        <v>241010</v>
      </c>
    </row>
    <row r="228" spans="4:8" ht="15" thickBot="1" x14ac:dyDescent="0.35">
      <c r="D228" s="117" t="s">
        <v>327</v>
      </c>
      <c r="E228" s="118">
        <v>950100070</v>
      </c>
      <c r="G228" s="117" t="s">
        <v>1516</v>
      </c>
      <c r="H228" s="117">
        <v>173032</v>
      </c>
    </row>
    <row r="229" spans="4:8" ht="15" thickBot="1" x14ac:dyDescent="0.35">
      <c r="D229" s="117" t="s">
        <v>401</v>
      </c>
      <c r="E229" s="118">
        <v>951000326</v>
      </c>
      <c r="G229" s="117" t="s">
        <v>1517</v>
      </c>
      <c r="H229" s="117">
        <v>173040</v>
      </c>
    </row>
    <row r="230" spans="4:8" ht="27.6" thickBot="1" x14ac:dyDescent="0.35">
      <c r="D230" s="117" t="s">
        <v>402</v>
      </c>
      <c r="E230" s="118">
        <v>959000040</v>
      </c>
      <c r="G230" s="117" t="s">
        <v>1518</v>
      </c>
      <c r="H230" s="117">
        <v>241030</v>
      </c>
    </row>
    <row r="231" spans="4:8" ht="15" thickBot="1" x14ac:dyDescent="0.35">
      <c r="D231" s="117" t="s">
        <v>403</v>
      </c>
      <c r="E231" s="118">
        <v>951000213</v>
      </c>
      <c r="G231" s="117" t="s">
        <v>1519</v>
      </c>
      <c r="H231" s="117">
        <v>247000</v>
      </c>
    </row>
    <row r="232" spans="4:8" ht="27.6" thickBot="1" x14ac:dyDescent="0.35">
      <c r="D232" s="117" t="s">
        <v>404</v>
      </c>
      <c r="E232" s="118">
        <v>951001011</v>
      </c>
      <c r="G232" s="117" t="s">
        <v>1520</v>
      </c>
      <c r="H232" s="117">
        <v>247001</v>
      </c>
    </row>
    <row r="233" spans="4:8" ht="15" thickBot="1" x14ac:dyDescent="0.35">
      <c r="D233" s="117" t="s">
        <v>405</v>
      </c>
      <c r="E233" s="118">
        <v>951000098</v>
      </c>
      <c r="G233" s="117" t="s">
        <v>1521</v>
      </c>
      <c r="H233" s="117">
        <v>141300</v>
      </c>
    </row>
    <row r="234" spans="4:8" ht="15" thickBot="1" x14ac:dyDescent="0.35">
      <c r="D234" s="117" t="s">
        <v>406</v>
      </c>
      <c r="E234" s="118">
        <v>951000410</v>
      </c>
      <c r="G234" s="117" t="s">
        <v>1522</v>
      </c>
      <c r="H234" s="117">
        <v>532305</v>
      </c>
    </row>
    <row r="235" spans="4:8" ht="15" thickBot="1" x14ac:dyDescent="0.35">
      <c r="D235" s="117" t="s">
        <v>407</v>
      </c>
      <c r="E235" s="118">
        <v>951001221</v>
      </c>
      <c r="G235" s="117" t="s">
        <v>84</v>
      </c>
      <c r="H235" s="117">
        <v>532301</v>
      </c>
    </row>
    <row r="236" spans="4:8" ht="15" thickBot="1" x14ac:dyDescent="0.35">
      <c r="D236" s="117" t="s">
        <v>408</v>
      </c>
      <c r="E236" s="118">
        <v>951000608</v>
      </c>
      <c r="G236" s="117" t="s">
        <v>1523</v>
      </c>
      <c r="H236" s="117">
        <v>560101</v>
      </c>
    </row>
    <row r="237" spans="4:8" ht="15" thickBot="1" x14ac:dyDescent="0.35">
      <c r="D237" s="117" t="s">
        <v>367</v>
      </c>
      <c r="E237" s="118">
        <v>951000631</v>
      </c>
      <c r="G237" s="117" t="s">
        <v>1524</v>
      </c>
      <c r="H237" s="117">
        <v>530609</v>
      </c>
    </row>
    <row r="238" spans="4:8" ht="15" thickBot="1" x14ac:dyDescent="0.35">
      <c r="D238" s="117" t="s">
        <v>180</v>
      </c>
      <c r="E238" s="118">
        <v>957000080</v>
      </c>
      <c r="G238" s="117" t="s">
        <v>1525</v>
      </c>
      <c r="H238" s="117">
        <v>246040</v>
      </c>
    </row>
    <row r="239" spans="4:8" ht="15" thickBot="1" x14ac:dyDescent="0.35">
      <c r="D239" s="117" t="s">
        <v>409</v>
      </c>
      <c r="E239" s="118">
        <v>957000173</v>
      </c>
      <c r="G239" s="117" t="s">
        <v>1526</v>
      </c>
      <c r="H239" s="117">
        <v>560102</v>
      </c>
    </row>
    <row r="240" spans="4:8" ht="15" thickBot="1" x14ac:dyDescent="0.35">
      <c r="D240" s="117" t="s">
        <v>410</v>
      </c>
      <c r="E240" s="118">
        <v>957000131</v>
      </c>
      <c r="G240" s="117" t="s">
        <v>1527</v>
      </c>
      <c r="H240" s="117">
        <v>410150</v>
      </c>
    </row>
    <row r="241" spans="4:8" ht="27.6" thickBot="1" x14ac:dyDescent="0.35">
      <c r="D241" s="117" t="s">
        <v>411</v>
      </c>
      <c r="E241" s="118">
        <v>951000372</v>
      </c>
      <c r="G241" s="117" t="s">
        <v>1528</v>
      </c>
      <c r="H241" s="117">
        <v>530601</v>
      </c>
    </row>
    <row r="242" spans="4:8" ht="27.6" thickBot="1" x14ac:dyDescent="0.35">
      <c r="D242" s="117" t="s">
        <v>412</v>
      </c>
      <c r="E242" s="118">
        <v>951000628</v>
      </c>
      <c r="G242" s="117" t="s">
        <v>1529</v>
      </c>
      <c r="H242" s="117">
        <v>530102</v>
      </c>
    </row>
    <row r="243" spans="4:8" ht="27.6" thickBot="1" x14ac:dyDescent="0.35">
      <c r="D243" s="117" t="s">
        <v>413</v>
      </c>
      <c r="E243" s="118">
        <v>951000015</v>
      </c>
      <c r="G243" s="117" t="s">
        <v>1530</v>
      </c>
      <c r="H243" s="117">
        <v>410080</v>
      </c>
    </row>
    <row r="244" spans="4:8" ht="27.6" thickBot="1" x14ac:dyDescent="0.35">
      <c r="D244" s="117" t="s">
        <v>414</v>
      </c>
      <c r="E244" s="118">
        <v>951000014</v>
      </c>
      <c r="G244" s="117" t="s">
        <v>1531</v>
      </c>
      <c r="H244" s="117">
        <v>410100</v>
      </c>
    </row>
    <row r="245" spans="4:8" ht="15" thickBot="1" x14ac:dyDescent="0.35">
      <c r="D245" s="117" t="s">
        <v>415</v>
      </c>
      <c r="E245" s="118">
        <v>959000051</v>
      </c>
      <c r="G245" s="117" t="s">
        <v>1532</v>
      </c>
      <c r="H245" s="117">
        <v>420010</v>
      </c>
    </row>
    <row r="246" spans="4:8" ht="27.6" thickBot="1" x14ac:dyDescent="0.35">
      <c r="D246" s="117" t="s">
        <v>416</v>
      </c>
      <c r="E246" s="118">
        <v>951001003</v>
      </c>
      <c r="G246" s="117" t="s">
        <v>1533</v>
      </c>
      <c r="H246" s="117">
        <v>410010</v>
      </c>
    </row>
    <row r="247" spans="4:8" ht="27.6" thickBot="1" x14ac:dyDescent="0.35">
      <c r="D247" s="117" t="s">
        <v>417</v>
      </c>
      <c r="E247" s="118">
        <v>951000450</v>
      </c>
      <c r="G247" s="117" t="s">
        <v>1534</v>
      </c>
      <c r="H247" s="117">
        <v>410115</v>
      </c>
    </row>
    <row r="248" spans="4:8" ht="27.6" thickBot="1" x14ac:dyDescent="0.35">
      <c r="D248" s="117" t="s">
        <v>418</v>
      </c>
      <c r="E248" s="118">
        <v>951000711</v>
      </c>
      <c r="G248" s="117" t="s">
        <v>1535</v>
      </c>
      <c r="H248" s="117">
        <v>164020</v>
      </c>
    </row>
    <row r="249" spans="4:8" ht="15" thickBot="1" x14ac:dyDescent="0.35">
      <c r="D249" s="117" t="s">
        <v>419</v>
      </c>
      <c r="E249" s="118">
        <v>959000046</v>
      </c>
      <c r="G249" s="117" t="s">
        <v>1536</v>
      </c>
      <c r="H249" s="117">
        <v>164010</v>
      </c>
    </row>
    <row r="250" spans="4:8" ht="15" thickBot="1" x14ac:dyDescent="0.35">
      <c r="D250" s="117" t="s">
        <v>420</v>
      </c>
      <c r="E250" s="118">
        <v>959000048</v>
      </c>
      <c r="G250" s="117" t="s">
        <v>1537</v>
      </c>
      <c r="H250" s="117">
        <v>163010</v>
      </c>
    </row>
    <row r="251" spans="4:8" ht="27.6" thickBot="1" x14ac:dyDescent="0.35">
      <c r="D251" s="117" t="s">
        <v>421</v>
      </c>
      <c r="E251" s="118">
        <v>951001134</v>
      </c>
      <c r="G251" s="117" t="s">
        <v>1538</v>
      </c>
      <c r="H251" s="117">
        <v>167010</v>
      </c>
    </row>
    <row r="252" spans="4:8" ht="15" thickBot="1" x14ac:dyDescent="0.35">
      <c r="D252" s="117" t="s">
        <v>422</v>
      </c>
      <c r="E252" s="118">
        <v>959000047</v>
      </c>
      <c r="G252" s="117" t="s">
        <v>1539</v>
      </c>
      <c r="H252" s="117">
        <v>510117</v>
      </c>
    </row>
    <row r="253" spans="4:8" ht="15" thickBot="1" x14ac:dyDescent="0.35">
      <c r="D253" s="117" t="s">
        <v>423</v>
      </c>
      <c r="E253" s="118">
        <v>951000699</v>
      </c>
      <c r="G253" s="117" t="s">
        <v>5</v>
      </c>
      <c r="H253" s="117">
        <v>532401</v>
      </c>
    </row>
    <row r="254" spans="4:8" ht="15" thickBot="1" x14ac:dyDescent="0.35">
      <c r="D254" s="117" t="s">
        <v>424</v>
      </c>
      <c r="E254" s="118">
        <v>950100061</v>
      </c>
      <c r="G254" s="117" t="s">
        <v>1540</v>
      </c>
      <c r="H254" s="117">
        <v>530516</v>
      </c>
    </row>
    <row r="255" spans="4:8" ht="15" thickBot="1" x14ac:dyDescent="0.35">
      <c r="D255" s="117" t="s">
        <v>425</v>
      </c>
      <c r="E255" s="118">
        <v>951000635</v>
      </c>
      <c r="G255" s="117" t="s">
        <v>1540</v>
      </c>
      <c r="H255" s="117">
        <v>533702</v>
      </c>
    </row>
    <row r="256" spans="4:8" ht="15" thickBot="1" x14ac:dyDescent="0.35">
      <c r="D256" s="117" t="s">
        <v>426</v>
      </c>
      <c r="E256" s="118">
        <v>951001433</v>
      </c>
      <c r="G256" s="117" t="s">
        <v>1541</v>
      </c>
      <c r="H256" s="117">
        <v>530508</v>
      </c>
    </row>
    <row r="257" spans="4:8" ht="27.6" thickBot="1" x14ac:dyDescent="0.35">
      <c r="D257" s="117" t="s">
        <v>427</v>
      </c>
      <c r="E257" s="118">
        <v>950100035</v>
      </c>
      <c r="G257" s="117" t="s">
        <v>1542</v>
      </c>
      <c r="H257" s="117">
        <v>540201</v>
      </c>
    </row>
    <row r="258" spans="4:8" ht="15" thickBot="1" x14ac:dyDescent="0.35">
      <c r="D258" s="117" t="s">
        <v>428</v>
      </c>
      <c r="E258" s="118">
        <v>951000349</v>
      </c>
      <c r="G258" s="117" t="s">
        <v>1543</v>
      </c>
      <c r="H258" s="117">
        <v>151012</v>
      </c>
    </row>
    <row r="259" spans="4:8" ht="15" thickBot="1" x14ac:dyDescent="0.35">
      <c r="D259" s="117" t="s">
        <v>429</v>
      </c>
      <c r="E259" s="118">
        <v>951000142</v>
      </c>
      <c r="G259" s="117" t="s">
        <v>1544</v>
      </c>
      <c r="H259" s="117">
        <v>540301</v>
      </c>
    </row>
    <row r="260" spans="4:8" ht="15" thickBot="1" x14ac:dyDescent="0.35">
      <c r="D260" s="117" t="s">
        <v>430</v>
      </c>
      <c r="E260" s="118">
        <v>951001423</v>
      </c>
      <c r="G260" s="117" t="s">
        <v>1545</v>
      </c>
      <c r="H260" s="117">
        <v>139071</v>
      </c>
    </row>
    <row r="261" spans="4:8" ht="15" thickBot="1" x14ac:dyDescent="0.35">
      <c r="D261" s="117" t="s">
        <v>431</v>
      </c>
      <c r="E261" s="118">
        <v>951000321</v>
      </c>
      <c r="G261" s="117" t="s">
        <v>1546</v>
      </c>
      <c r="H261" s="117">
        <v>540501</v>
      </c>
    </row>
    <row r="262" spans="4:8" ht="15" thickBot="1" x14ac:dyDescent="0.35">
      <c r="D262" s="117" t="s">
        <v>432</v>
      </c>
      <c r="E262" s="118">
        <v>1954000005</v>
      </c>
      <c r="G262" s="117" t="s">
        <v>1547</v>
      </c>
      <c r="H262" s="117">
        <v>530707</v>
      </c>
    </row>
    <row r="263" spans="4:8" ht="15" thickBot="1" x14ac:dyDescent="0.35">
      <c r="D263" s="117" t="s">
        <v>433</v>
      </c>
      <c r="E263" s="118">
        <v>951000426</v>
      </c>
      <c r="G263" s="117" t="s">
        <v>1548</v>
      </c>
      <c r="H263" s="117">
        <v>173034</v>
      </c>
    </row>
    <row r="264" spans="4:8" ht="15" thickBot="1" x14ac:dyDescent="0.35">
      <c r="D264" s="117" t="s">
        <v>434</v>
      </c>
      <c r="E264" s="118">
        <v>951000351</v>
      </c>
      <c r="G264" s="117" t="s">
        <v>1549</v>
      </c>
      <c r="H264" s="117">
        <v>173033</v>
      </c>
    </row>
    <row r="265" spans="4:8" ht="15" thickBot="1" x14ac:dyDescent="0.35">
      <c r="D265" s="117" t="s">
        <v>435</v>
      </c>
      <c r="E265" s="118">
        <v>951000149</v>
      </c>
      <c r="G265" s="117" t="s">
        <v>1550</v>
      </c>
      <c r="H265" s="117">
        <v>165010</v>
      </c>
    </row>
    <row r="266" spans="4:8" ht="15" thickBot="1" x14ac:dyDescent="0.35">
      <c r="D266" s="117" t="s">
        <v>436</v>
      </c>
      <c r="E266" s="118">
        <v>951000536</v>
      </c>
      <c r="G266" s="117" t="s">
        <v>1551</v>
      </c>
      <c r="H266" s="117">
        <v>532302</v>
      </c>
    </row>
    <row r="267" spans="4:8" ht="15" thickBot="1" x14ac:dyDescent="0.35">
      <c r="D267" s="117" t="s">
        <v>437</v>
      </c>
      <c r="E267" s="118">
        <v>951000491</v>
      </c>
      <c r="G267" s="117" t="s">
        <v>1552</v>
      </c>
      <c r="H267" s="117">
        <v>530109</v>
      </c>
    </row>
    <row r="268" spans="4:8" ht="15" thickBot="1" x14ac:dyDescent="0.35">
      <c r="D268" s="117" t="s">
        <v>438</v>
      </c>
      <c r="E268" s="118">
        <v>951000638</v>
      </c>
      <c r="G268" s="117" t="s">
        <v>1553</v>
      </c>
      <c r="H268" s="117">
        <v>532403</v>
      </c>
    </row>
    <row r="269" spans="4:8" ht="15" thickBot="1" x14ac:dyDescent="0.35">
      <c r="D269" s="117" t="s">
        <v>439</v>
      </c>
      <c r="E269" s="118">
        <v>951000369</v>
      </c>
      <c r="G269" s="117" t="s">
        <v>1554</v>
      </c>
      <c r="H269" s="117">
        <v>530402</v>
      </c>
    </row>
    <row r="270" spans="4:8" ht="27.6" thickBot="1" x14ac:dyDescent="0.35">
      <c r="D270" s="117" t="s">
        <v>440</v>
      </c>
      <c r="E270" s="118">
        <v>951001288</v>
      </c>
      <c r="G270" s="117" t="s">
        <v>1555</v>
      </c>
      <c r="H270" s="117">
        <v>530703</v>
      </c>
    </row>
    <row r="271" spans="4:8" ht="27.6" thickBot="1" x14ac:dyDescent="0.35">
      <c r="D271" s="117" t="s">
        <v>441</v>
      </c>
      <c r="E271" s="118">
        <v>951000835</v>
      </c>
      <c r="G271" s="117" t="s">
        <v>1556</v>
      </c>
      <c r="H271" s="117">
        <v>533001</v>
      </c>
    </row>
    <row r="272" spans="4:8" ht="27.6" thickBot="1" x14ac:dyDescent="0.35">
      <c r="D272" s="117" t="s">
        <v>442</v>
      </c>
      <c r="E272" s="118">
        <v>951000319</v>
      </c>
      <c r="G272" s="117" t="s">
        <v>1557</v>
      </c>
      <c r="H272" s="117">
        <v>531104</v>
      </c>
    </row>
    <row r="273" spans="4:8" ht="27.6" thickBot="1" x14ac:dyDescent="0.35">
      <c r="D273" s="117" t="s">
        <v>443</v>
      </c>
      <c r="E273" s="118">
        <v>951000881</v>
      </c>
      <c r="G273" s="117" t="s">
        <v>1558</v>
      </c>
      <c r="H273" s="117">
        <v>161010</v>
      </c>
    </row>
    <row r="274" spans="4:8" ht="15" thickBot="1" x14ac:dyDescent="0.35">
      <c r="D274" s="117" t="s">
        <v>444</v>
      </c>
      <c r="E274" s="118">
        <v>951000031</v>
      </c>
      <c r="G274" s="117" t="s">
        <v>1559</v>
      </c>
      <c r="H274" s="117">
        <v>533102</v>
      </c>
    </row>
    <row r="275" spans="4:8" ht="15" thickBot="1" x14ac:dyDescent="0.35">
      <c r="D275" s="117" t="s">
        <v>445</v>
      </c>
      <c r="E275" s="118">
        <v>951000316</v>
      </c>
      <c r="G275" s="117" t="s">
        <v>1560</v>
      </c>
      <c r="H275" s="117">
        <v>111030</v>
      </c>
    </row>
    <row r="276" spans="4:8" ht="27.6" thickBot="1" x14ac:dyDescent="0.35">
      <c r="D276" s="117" t="s">
        <v>446</v>
      </c>
      <c r="E276" s="118">
        <v>951000105</v>
      </c>
      <c r="G276" s="117" t="s">
        <v>1561</v>
      </c>
      <c r="H276" s="117">
        <v>531101</v>
      </c>
    </row>
    <row r="277" spans="4:8" ht="15" thickBot="1" x14ac:dyDescent="0.35">
      <c r="D277" s="117" t="s">
        <v>447</v>
      </c>
      <c r="E277" s="118">
        <v>951000135</v>
      </c>
      <c r="G277" s="117" t="s">
        <v>1562</v>
      </c>
      <c r="H277" s="117">
        <v>162010</v>
      </c>
    </row>
    <row r="278" spans="4:8" ht="27.6" thickBot="1" x14ac:dyDescent="0.35">
      <c r="D278" s="117" t="s">
        <v>448</v>
      </c>
      <c r="E278" s="118">
        <v>951000051</v>
      </c>
      <c r="G278" s="117" t="s">
        <v>1563</v>
      </c>
      <c r="H278" s="117">
        <v>141012</v>
      </c>
    </row>
    <row r="279" spans="4:8" ht="15" thickBot="1" x14ac:dyDescent="0.35">
      <c r="D279" s="117" t="s">
        <v>449</v>
      </c>
      <c r="E279" s="118">
        <v>951000652</v>
      </c>
      <c r="G279" s="117" t="s">
        <v>1564</v>
      </c>
      <c r="H279" s="117">
        <v>533401</v>
      </c>
    </row>
    <row r="280" spans="4:8" ht="27.6" thickBot="1" x14ac:dyDescent="0.35">
      <c r="D280" s="117" t="s">
        <v>450</v>
      </c>
      <c r="E280" s="118">
        <v>951001185</v>
      </c>
      <c r="G280" s="117" t="s">
        <v>1565</v>
      </c>
      <c r="H280" s="117">
        <v>211041</v>
      </c>
    </row>
    <row r="281" spans="4:8" ht="27.6" thickBot="1" x14ac:dyDescent="0.35">
      <c r="D281" s="117" t="s">
        <v>451</v>
      </c>
      <c r="E281" s="118">
        <v>951000425</v>
      </c>
      <c r="G281" s="117" t="s">
        <v>1566</v>
      </c>
      <c r="H281" s="117">
        <v>211040</v>
      </c>
    </row>
    <row r="282" spans="4:8" ht="15" thickBot="1" x14ac:dyDescent="0.35">
      <c r="D282" s="117" t="s">
        <v>452</v>
      </c>
      <c r="E282" s="118">
        <v>951001115</v>
      </c>
      <c r="G282" s="117" t="s">
        <v>1567</v>
      </c>
      <c r="H282" s="117">
        <v>169010</v>
      </c>
    </row>
    <row r="283" spans="4:8" ht="15" thickBot="1" x14ac:dyDescent="0.35">
      <c r="D283" s="117" t="s">
        <v>453</v>
      </c>
      <c r="E283" s="118">
        <v>951000083</v>
      </c>
      <c r="G283" s="117" t="s">
        <v>1568</v>
      </c>
      <c r="H283" s="117">
        <v>251030</v>
      </c>
    </row>
    <row r="284" spans="4:8" ht="15" thickBot="1" x14ac:dyDescent="0.35">
      <c r="D284" s="117" t="s">
        <v>454</v>
      </c>
      <c r="E284" s="118">
        <v>951000223</v>
      </c>
      <c r="G284" s="117" t="s">
        <v>1569</v>
      </c>
      <c r="H284" s="117">
        <v>510127</v>
      </c>
    </row>
    <row r="285" spans="4:8" ht="15" thickBot="1" x14ac:dyDescent="0.35">
      <c r="D285" s="117" t="s">
        <v>455</v>
      </c>
      <c r="E285" s="118">
        <v>951000286</v>
      </c>
      <c r="G285" s="117" t="s">
        <v>1570</v>
      </c>
      <c r="H285" s="117">
        <v>531105</v>
      </c>
    </row>
    <row r="286" spans="4:8" ht="15" thickBot="1" x14ac:dyDescent="0.35">
      <c r="D286" s="117" t="s">
        <v>456</v>
      </c>
      <c r="E286" s="118">
        <v>951000477</v>
      </c>
      <c r="G286" s="117" t="s">
        <v>1571</v>
      </c>
      <c r="H286" s="117">
        <v>533302</v>
      </c>
    </row>
    <row r="287" spans="4:8" ht="27.6" thickBot="1" x14ac:dyDescent="0.35">
      <c r="D287" s="117" t="s">
        <v>457</v>
      </c>
      <c r="E287" s="118">
        <v>950100025</v>
      </c>
      <c r="G287" s="117" t="s">
        <v>1572</v>
      </c>
      <c r="H287" s="117">
        <v>550201</v>
      </c>
    </row>
    <row r="288" spans="4:8" ht="27.6" thickBot="1" x14ac:dyDescent="0.35">
      <c r="D288" s="117" t="s">
        <v>458</v>
      </c>
      <c r="E288" s="118">
        <v>951001036</v>
      </c>
      <c r="G288" s="117" t="s">
        <v>1573</v>
      </c>
      <c r="H288" s="117">
        <v>531304</v>
      </c>
    </row>
    <row r="289" spans="4:8" ht="15" thickBot="1" x14ac:dyDescent="0.35">
      <c r="D289" s="117" t="s">
        <v>414</v>
      </c>
      <c r="E289" s="118">
        <v>951000039</v>
      </c>
      <c r="G289" s="117" t="s">
        <v>1574</v>
      </c>
      <c r="H289" s="117">
        <v>173042</v>
      </c>
    </row>
    <row r="290" spans="4:8" ht="15" thickBot="1" x14ac:dyDescent="0.35">
      <c r="D290" s="117" t="s">
        <v>459</v>
      </c>
      <c r="E290" s="118">
        <v>951000676</v>
      </c>
      <c r="G290" s="117" t="s">
        <v>88</v>
      </c>
      <c r="H290" s="117">
        <v>532003</v>
      </c>
    </row>
    <row r="291" spans="4:8" ht="27.6" thickBot="1" x14ac:dyDescent="0.35">
      <c r="D291" s="117" t="s">
        <v>460</v>
      </c>
      <c r="E291" s="118">
        <v>951000473</v>
      </c>
      <c r="G291" s="117" t="s">
        <v>1575</v>
      </c>
      <c r="H291" s="117">
        <v>532103</v>
      </c>
    </row>
    <row r="292" spans="4:8" ht="15" thickBot="1" x14ac:dyDescent="0.35">
      <c r="D292" s="117" t="s">
        <v>461</v>
      </c>
      <c r="E292" s="118">
        <v>951000549</v>
      </c>
      <c r="G292" s="117" t="s">
        <v>1576</v>
      </c>
      <c r="H292" s="117">
        <v>533801</v>
      </c>
    </row>
    <row r="293" spans="4:8" ht="15" thickBot="1" x14ac:dyDescent="0.35">
      <c r="D293" s="117" t="s">
        <v>462</v>
      </c>
      <c r="E293" s="118">
        <v>951000555</v>
      </c>
      <c r="G293" s="117" t="s">
        <v>2</v>
      </c>
      <c r="H293" s="117">
        <v>531102</v>
      </c>
    </row>
    <row r="294" spans="4:8" ht="15" thickBot="1" x14ac:dyDescent="0.35">
      <c r="D294" s="117" t="s">
        <v>463</v>
      </c>
      <c r="E294" s="118">
        <v>951000408</v>
      </c>
      <c r="G294" s="117" t="s">
        <v>1577</v>
      </c>
      <c r="H294" s="117">
        <v>245080</v>
      </c>
    </row>
    <row r="295" spans="4:8" ht="15" thickBot="1" x14ac:dyDescent="0.35">
      <c r="D295" s="117" t="s">
        <v>464</v>
      </c>
      <c r="E295" s="118">
        <v>951000421</v>
      </c>
      <c r="G295" s="117" t="s">
        <v>1578</v>
      </c>
      <c r="H295" s="117">
        <v>245090</v>
      </c>
    </row>
    <row r="296" spans="4:8" ht="27.6" thickBot="1" x14ac:dyDescent="0.35">
      <c r="D296" s="117" t="s">
        <v>465</v>
      </c>
      <c r="E296" s="118">
        <v>951001315</v>
      </c>
      <c r="G296" s="117" t="s">
        <v>1579</v>
      </c>
      <c r="H296" s="117">
        <v>245100</v>
      </c>
    </row>
    <row r="297" spans="4:8" ht="27.6" thickBot="1" x14ac:dyDescent="0.35">
      <c r="D297" s="117" t="s">
        <v>466</v>
      </c>
      <c r="E297" s="118">
        <v>951000521</v>
      </c>
      <c r="G297" s="117" t="s">
        <v>1580</v>
      </c>
      <c r="H297" s="117">
        <v>171060</v>
      </c>
    </row>
    <row r="298" spans="4:8" ht="15" thickBot="1" x14ac:dyDescent="0.35">
      <c r="D298" s="117" t="s">
        <v>467</v>
      </c>
      <c r="E298" s="118">
        <v>950100008</v>
      </c>
      <c r="G298" s="117" t="s">
        <v>1581</v>
      </c>
      <c r="H298" s="117">
        <v>530521</v>
      </c>
    </row>
    <row r="299" spans="4:8" ht="15" thickBot="1" x14ac:dyDescent="0.35">
      <c r="D299" s="117" t="s">
        <v>468</v>
      </c>
      <c r="E299" s="118">
        <v>951001171</v>
      </c>
      <c r="G299" s="117" t="s">
        <v>1582</v>
      </c>
      <c r="H299" s="117">
        <v>151010</v>
      </c>
    </row>
    <row r="300" spans="4:8" ht="15" thickBot="1" x14ac:dyDescent="0.35">
      <c r="D300" s="117" t="s">
        <v>469</v>
      </c>
      <c r="E300" s="118">
        <v>951000272</v>
      </c>
      <c r="G300" s="117" t="s">
        <v>1583</v>
      </c>
      <c r="H300" s="117">
        <v>135030</v>
      </c>
    </row>
    <row r="301" spans="4:8" ht="27.6" thickBot="1" x14ac:dyDescent="0.35">
      <c r="D301" s="117" t="s">
        <v>470</v>
      </c>
      <c r="E301" s="118">
        <v>951000260</v>
      </c>
      <c r="G301" s="117" t="s">
        <v>1584</v>
      </c>
      <c r="H301" s="117">
        <v>221030</v>
      </c>
    </row>
    <row r="302" spans="4:8" ht="27.6" thickBot="1" x14ac:dyDescent="0.35">
      <c r="D302" s="117" t="s">
        <v>471</v>
      </c>
      <c r="E302" s="118">
        <v>951000937</v>
      </c>
      <c r="G302" s="117" t="s">
        <v>1585</v>
      </c>
      <c r="H302" s="117">
        <v>221040</v>
      </c>
    </row>
    <row r="303" spans="4:8" ht="15" thickBot="1" x14ac:dyDescent="0.35">
      <c r="D303" s="117" t="s">
        <v>472</v>
      </c>
      <c r="E303" s="118">
        <v>951001201</v>
      </c>
      <c r="G303" s="117" t="s">
        <v>1586</v>
      </c>
      <c r="H303" s="117">
        <v>135020</v>
      </c>
    </row>
    <row r="304" spans="4:8" ht="27.6" thickBot="1" x14ac:dyDescent="0.35">
      <c r="D304" s="117" t="s">
        <v>473</v>
      </c>
      <c r="E304" s="118">
        <v>951001192</v>
      </c>
      <c r="G304" s="117" t="s">
        <v>1587</v>
      </c>
      <c r="H304" s="117">
        <v>221010</v>
      </c>
    </row>
    <row r="305" spans="4:8" ht="15" thickBot="1" x14ac:dyDescent="0.35">
      <c r="D305" s="117" t="s">
        <v>474</v>
      </c>
      <c r="E305" s="118">
        <v>951001150</v>
      </c>
      <c r="G305" s="117" t="s">
        <v>1588</v>
      </c>
      <c r="H305" s="117">
        <v>221011</v>
      </c>
    </row>
    <row r="306" spans="4:8" ht="15" thickBot="1" x14ac:dyDescent="0.35">
      <c r="D306" s="117" t="s">
        <v>475</v>
      </c>
      <c r="E306" s="118">
        <v>951000229</v>
      </c>
      <c r="G306" s="117" t="s">
        <v>1589</v>
      </c>
      <c r="H306" s="117">
        <v>139070</v>
      </c>
    </row>
    <row r="307" spans="4:8" ht="27.6" thickBot="1" x14ac:dyDescent="0.35">
      <c r="D307" s="117" t="s">
        <v>476</v>
      </c>
      <c r="E307" s="118">
        <v>951000542</v>
      </c>
      <c r="G307" s="117" t="s">
        <v>1590</v>
      </c>
      <c r="H307" s="117">
        <v>141100</v>
      </c>
    </row>
    <row r="308" spans="4:8" ht="15" thickBot="1" x14ac:dyDescent="0.35">
      <c r="D308" s="117" t="s">
        <v>477</v>
      </c>
      <c r="E308" s="118">
        <v>951000697</v>
      </c>
      <c r="G308" s="117" t="s">
        <v>1591</v>
      </c>
      <c r="H308" s="117">
        <v>121200</v>
      </c>
    </row>
    <row r="309" spans="4:8" ht="15" thickBot="1" x14ac:dyDescent="0.35">
      <c r="D309" s="117" t="s">
        <v>478</v>
      </c>
      <c r="E309" s="118">
        <v>956000002</v>
      </c>
      <c r="G309" s="117" t="s">
        <v>1592</v>
      </c>
      <c r="H309" s="117">
        <v>410110</v>
      </c>
    </row>
    <row r="310" spans="4:8" ht="27.6" thickBot="1" x14ac:dyDescent="0.35">
      <c r="D310" s="117" t="s">
        <v>479</v>
      </c>
      <c r="E310" s="118">
        <v>951000003</v>
      </c>
      <c r="G310" s="117" t="s">
        <v>1593</v>
      </c>
      <c r="H310" s="117">
        <v>410116</v>
      </c>
    </row>
    <row r="311" spans="4:8" ht="15" thickBot="1" x14ac:dyDescent="0.35">
      <c r="D311" s="117" t="s">
        <v>480</v>
      </c>
      <c r="E311" s="118">
        <v>951000682</v>
      </c>
      <c r="G311" s="117" t="s">
        <v>1594</v>
      </c>
      <c r="H311" s="117">
        <v>141011</v>
      </c>
    </row>
    <row r="312" spans="4:8" ht="27.6" thickBot="1" x14ac:dyDescent="0.35">
      <c r="D312" s="117" t="s">
        <v>481</v>
      </c>
      <c r="E312" s="118">
        <v>951000479</v>
      </c>
      <c r="G312" s="117" t="s">
        <v>1595</v>
      </c>
      <c r="H312" s="117">
        <v>532602</v>
      </c>
    </row>
    <row r="313" spans="4:8" ht="15" thickBot="1" x14ac:dyDescent="0.35">
      <c r="D313" s="117" t="s">
        <v>482</v>
      </c>
      <c r="E313" s="118">
        <v>956000046</v>
      </c>
      <c r="G313" s="117" t="s">
        <v>1596</v>
      </c>
      <c r="H313" s="117">
        <v>532601</v>
      </c>
    </row>
    <row r="314" spans="4:8" ht="27.6" thickBot="1" x14ac:dyDescent="0.35">
      <c r="D314" s="117" t="s">
        <v>483</v>
      </c>
      <c r="E314" s="118">
        <v>951000840</v>
      </c>
      <c r="G314" s="117" t="s">
        <v>1597</v>
      </c>
      <c r="H314" s="117">
        <v>131060</v>
      </c>
    </row>
    <row r="315" spans="4:8" ht="15" thickBot="1" x14ac:dyDescent="0.35">
      <c r="D315" s="117" t="s">
        <v>484</v>
      </c>
      <c r="E315" s="118">
        <v>951000179</v>
      </c>
      <c r="G315" s="117" t="s">
        <v>1598</v>
      </c>
      <c r="H315" s="117">
        <v>211001</v>
      </c>
    </row>
    <row r="316" spans="4:8" ht="15" thickBot="1" x14ac:dyDescent="0.35">
      <c r="D316" s="117" t="s">
        <v>485</v>
      </c>
      <c r="E316" s="118">
        <v>1951001426</v>
      </c>
      <c r="G316" s="117" t="s">
        <v>1599</v>
      </c>
      <c r="H316" s="117">
        <v>211020</v>
      </c>
    </row>
    <row r="317" spans="4:8" ht="27.6" thickBot="1" x14ac:dyDescent="0.35">
      <c r="D317" s="117" t="s">
        <v>486</v>
      </c>
      <c r="E317" s="118">
        <v>951000964</v>
      </c>
      <c r="G317" s="117" t="s">
        <v>1600</v>
      </c>
      <c r="H317" s="117">
        <v>211025</v>
      </c>
    </row>
    <row r="318" spans="4:8" ht="27.6" thickBot="1" x14ac:dyDescent="0.35">
      <c r="D318" s="117" t="s">
        <v>487</v>
      </c>
      <c r="E318" s="118">
        <v>951000432</v>
      </c>
      <c r="G318" s="117" t="s">
        <v>1601</v>
      </c>
      <c r="H318" s="117">
        <v>211023</v>
      </c>
    </row>
    <row r="319" spans="4:8" ht="15" thickBot="1" x14ac:dyDescent="0.35">
      <c r="D319" s="117" t="s">
        <v>488</v>
      </c>
      <c r="E319" s="118">
        <v>951001092</v>
      </c>
      <c r="G319" s="117" t="s">
        <v>1602</v>
      </c>
      <c r="H319" s="117">
        <v>211021</v>
      </c>
    </row>
    <row r="320" spans="4:8" ht="27.6" thickBot="1" x14ac:dyDescent="0.35">
      <c r="D320" s="117" t="s">
        <v>489</v>
      </c>
      <c r="E320" s="118">
        <v>951001067</v>
      </c>
      <c r="G320" s="117" t="s">
        <v>1603</v>
      </c>
      <c r="H320" s="117">
        <v>211011</v>
      </c>
    </row>
    <row r="321" spans="4:8" ht="27.6" thickBot="1" x14ac:dyDescent="0.35">
      <c r="D321" s="117" t="s">
        <v>490</v>
      </c>
      <c r="E321" s="118">
        <v>951001187</v>
      </c>
      <c r="G321" s="117" t="s">
        <v>1604</v>
      </c>
      <c r="H321" s="117">
        <v>211013</v>
      </c>
    </row>
    <row r="322" spans="4:8" ht="27.6" thickBot="1" x14ac:dyDescent="0.35">
      <c r="D322" s="117" t="s">
        <v>491</v>
      </c>
      <c r="E322" s="118">
        <v>956000015</v>
      </c>
      <c r="G322" s="117" t="s">
        <v>1605</v>
      </c>
      <c r="H322" s="117">
        <v>231040</v>
      </c>
    </row>
    <row r="323" spans="4:8" ht="27.6" thickBot="1" x14ac:dyDescent="0.35">
      <c r="D323" s="117" t="s">
        <v>492</v>
      </c>
      <c r="E323" s="118">
        <v>950100045</v>
      </c>
      <c r="G323" s="117" t="s">
        <v>1606</v>
      </c>
      <c r="H323" s="117">
        <v>246041</v>
      </c>
    </row>
    <row r="324" spans="4:8" ht="27.6" thickBot="1" x14ac:dyDescent="0.35">
      <c r="D324" s="117" t="s">
        <v>493</v>
      </c>
      <c r="E324" s="118">
        <v>951000416</v>
      </c>
      <c r="G324" s="117" t="s">
        <v>1607</v>
      </c>
      <c r="H324" s="117">
        <v>246042</v>
      </c>
    </row>
    <row r="325" spans="4:8" ht="15" thickBot="1" x14ac:dyDescent="0.35">
      <c r="D325" s="117" t="s">
        <v>494</v>
      </c>
      <c r="E325" s="118">
        <v>951000038</v>
      </c>
      <c r="G325" s="117" t="s">
        <v>1608</v>
      </c>
      <c r="H325" s="117">
        <v>121070</v>
      </c>
    </row>
    <row r="326" spans="4:8" ht="15" thickBot="1" x14ac:dyDescent="0.35">
      <c r="D326" s="117" t="s">
        <v>495</v>
      </c>
      <c r="E326" s="118">
        <v>951000119</v>
      </c>
      <c r="G326" s="117" t="s">
        <v>1609</v>
      </c>
      <c r="H326" s="117">
        <v>211031</v>
      </c>
    </row>
    <row r="327" spans="4:8" ht="27.6" thickBot="1" x14ac:dyDescent="0.35">
      <c r="D327" s="117" t="s">
        <v>496</v>
      </c>
      <c r="E327" s="118">
        <v>951000480</v>
      </c>
      <c r="G327" s="117" t="s">
        <v>1610</v>
      </c>
      <c r="H327" s="117">
        <v>231030</v>
      </c>
    </row>
    <row r="328" spans="4:8" ht="15" thickBot="1" x14ac:dyDescent="0.35">
      <c r="D328" s="117" t="s">
        <v>497</v>
      </c>
      <c r="E328" s="118">
        <v>951000934</v>
      </c>
      <c r="G328" s="117" t="s">
        <v>1611</v>
      </c>
      <c r="H328" s="117">
        <v>410130</v>
      </c>
    </row>
    <row r="329" spans="4:8" ht="15" thickBot="1" x14ac:dyDescent="0.35">
      <c r="D329" s="117" t="s">
        <v>498</v>
      </c>
      <c r="E329" s="118">
        <v>951001074</v>
      </c>
      <c r="G329" s="117" t="s">
        <v>1612</v>
      </c>
      <c r="H329" s="117">
        <v>231020</v>
      </c>
    </row>
    <row r="330" spans="4:8" ht="27.6" thickBot="1" x14ac:dyDescent="0.35">
      <c r="D330" s="117" t="s">
        <v>499</v>
      </c>
      <c r="E330" s="118">
        <v>951000529</v>
      </c>
      <c r="G330" s="117" t="s">
        <v>1613</v>
      </c>
      <c r="H330" s="117">
        <v>532501</v>
      </c>
    </row>
    <row r="331" spans="4:8" ht="27.6" thickBot="1" x14ac:dyDescent="0.35">
      <c r="D331" s="117" t="s">
        <v>500</v>
      </c>
      <c r="E331" s="118">
        <v>951000760</v>
      </c>
      <c r="G331" s="117" t="s">
        <v>1614</v>
      </c>
      <c r="H331" s="117">
        <v>173041</v>
      </c>
    </row>
    <row r="332" spans="4:8" ht="27.6" thickBot="1" x14ac:dyDescent="0.35">
      <c r="D332" s="117" t="s">
        <v>501</v>
      </c>
      <c r="E332" s="118">
        <v>951000745</v>
      </c>
      <c r="G332" s="117" t="s">
        <v>1615</v>
      </c>
      <c r="H332" s="117">
        <v>550207</v>
      </c>
    </row>
    <row r="333" spans="4:8" ht="27.6" thickBot="1" x14ac:dyDescent="0.35">
      <c r="D333" s="117" t="s">
        <v>502</v>
      </c>
      <c r="E333" s="118">
        <v>951000796</v>
      </c>
      <c r="G333" s="117" t="s">
        <v>85</v>
      </c>
      <c r="H333" s="117">
        <v>530606</v>
      </c>
    </row>
    <row r="334" spans="4:8" ht="27.6" thickBot="1" x14ac:dyDescent="0.35">
      <c r="D334" s="117" t="s">
        <v>503</v>
      </c>
      <c r="E334" s="118">
        <v>951000406</v>
      </c>
      <c r="G334" s="117" t="s">
        <v>1616</v>
      </c>
      <c r="H334" s="117">
        <v>141070</v>
      </c>
    </row>
    <row r="335" spans="4:8" ht="27.6" thickBot="1" x14ac:dyDescent="0.35">
      <c r="D335" s="117" t="s">
        <v>504</v>
      </c>
      <c r="E335" s="118">
        <v>951000422</v>
      </c>
      <c r="G335" s="117" t="s">
        <v>1617</v>
      </c>
      <c r="H335" s="117">
        <v>141200</v>
      </c>
    </row>
    <row r="336" spans="4:8" ht="15" thickBot="1" x14ac:dyDescent="0.35">
      <c r="D336" s="117" t="s">
        <v>221</v>
      </c>
      <c r="E336" s="118">
        <v>951000205</v>
      </c>
      <c r="G336" s="117" t="s">
        <v>1618</v>
      </c>
      <c r="H336" s="117">
        <v>530518</v>
      </c>
    </row>
    <row r="337" spans="4:8" ht="15" thickBot="1" x14ac:dyDescent="0.35">
      <c r="D337" s="117" t="s">
        <v>505</v>
      </c>
      <c r="E337" s="118">
        <v>951000163</v>
      </c>
      <c r="G337" s="117" t="s">
        <v>1619</v>
      </c>
      <c r="H337" s="117">
        <v>330010</v>
      </c>
    </row>
    <row r="338" spans="4:8" ht="15" thickBot="1" x14ac:dyDescent="0.35">
      <c r="D338" s="117" t="s">
        <v>505</v>
      </c>
      <c r="E338" s="118">
        <v>951000228</v>
      </c>
      <c r="G338" s="117" t="s">
        <v>1620</v>
      </c>
      <c r="H338" s="117">
        <v>340020</v>
      </c>
    </row>
    <row r="339" spans="4:8" ht="27.6" thickBot="1" x14ac:dyDescent="0.35">
      <c r="D339" s="117" t="s">
        <v>506</v>
      </c>
      <c r="E339" s="118">
        <v>951001119</v>
      </c>
      <c r="G339" s="117" t="s">
        <v>1621</v>
      </c>
      <c r="H339" s="117">
        <v>550204</v>
      </c>
    </row>
    <row r="340" spans="4:8" ht="15" thickBot="1" x14ac:dyDescent="0.35">
      <c r="D340" s="117" t="s">
        <v>507</v>
      </c>
      <c r="E340" s="118">
        <v>951000502</v>
      </c>
      <c r="G340" s="117" t="s">
        <v>1622</v>
      </c>
      <c r="H340" s="117">
        <v>340010</v>
      </c>
    </row>
    <row r="341" spans="4:8" ht="15" thickBot="1" x14ac:dyDescent="0.35">
      <c r="D341" s="117" t="s">
        <v>508</v>
      </c>
      <c r="E341" s="118">
        <v>951000187</v>
      </c>
      <c r="G341" s="117" t="s">
        <v>1623</v>
      </c>
      <c r="H341" s="117">
        <v>173010</v>
      </c>
    </row>
    <row r="342" spans="4:8" ht="27.6" thickBot="1" x14ac:dyDescent="0.35">
      <c r="D342" s="117" t="s">
        <v>509</v>
      </c>
      <c r="E342" s="118">
        <v>951001162</v>
      </c>
      <c r="G342" s="117" t="s">
        <v>1624</v>
      </c>
      <c r="H342" s="117">
        <v>171020</v>
      </c>
    </row>
    <row r="343" spans="4:8" ht="15" thickBot="1" x14ac:dyDescent="0.35">
      <c r="D343" s="117" t="s">
        <v>510</v>
      </c>
      <c r="E343" s="118">
        <v>951001156</v>
      </c>
      <c r="G343" s="117" t="s">
        <v>1625</v>
      </c>
      <c r="H343" s="117">
        <v>244100</v>
      </c>
    </row>
    <row r="344" spans="4:8" ht="15" thickBot="1" x14ac:dyDescent="0.35">
      <c r="D344" s="117" t="s">
        <v>511</v>
      </c>
      <c r="E344" s="118">
        <v>951000144</v>
      </c>
      <c r="G344" s="117" t="s">
        <v>1626</v>
      </c>
      <c r="H344" s="117">
        <v>244090</v>
      </c>
    </row>
    <row r="345" spans="4:8" ht="15" thickBot="1" x14ac:dyDescent="0.35">
      <c r="D345" s="117" t="s">
        <v>512</v>
      </c>
      <c r="E345" s="118">
        <v>951000300</v>
      </c>
      <c r="G345" s="117" t="s">
        <v>1627</v>
      </c>
      <c r="H345" s="117">
        <v>244080</v>
      </c>
    </row>
    <row r="346" spans="4:8" ht="15" thickBot="1" x14ac:dyDescent="0.35">
      <c r="D346" s="117" t="s">
        <v>513</v>
      </c>
      <c r="E346" s="118">
        <v>957000078</v>
      </c>
      <c r="G346" s="117" t="s">
        <v>1628</v>
      </c>
      <c r="H346" s="117">
        <v>244060</v>
      </c>
    </row>
    <row r="347" spans="4:8" ht="27.6" thickBot="1" x14ac:dyDescent="0.35">
      <c r="D347" s="117" t="s">
        <v>514</v>
      </c>
      <c r="E347" s="118">
        <v>951000782</v>
      </c>
      <c r="G347" s="117" t="s">
        <v>1629</v>
      </c>
      <c r="H347" s="117">
        <v>530608</v>
      </c>
    </row>
    <row r="348" spans="4:8" ht="15" thickBot="1" x14ac:dyDescent="0.35">
      <c r="D348" s="117" t="s">
        <v>515</v>
      </c>
      <c r="E348" s="118">
        <v>951000783</v>
      </c>
      <c r="G348" s="117" t="s">
        <v>1630</v>
      </c>
      <c r="H348" s="117">
        <v>134030</v>
      </c>
    </row>
    <row r="349" spans="4:8" ht="27.6" thickBot="1" x14ac:dyDescent="0.35">
      <c r="D349" s="117" t="s">
        <v>516</v>
      </c>
      <c r="E349" s="118">
        <v>951000244</v>
      </c>
      <c r="G349" s="117" t="s">
        <v>1631</v>
      </c>
      <c r="H349" s="117">
        <v>134050</v>
      </c>
    </row>
    <row r="350" spans="4:8" ht="27.6" thickBot="1" x14ac:dyDescent="0.35">
      <c r="D350" s="117" t="s">
        <v>517</v>
      </c>
      <c r="E350" s="118">
        <v>951001186</v>
      </c>
      <c r="G350" s="117" t="s">
        <v>1632</v>
      </c>
      <c r="H350" s="117">
        <v>134040</v>
      </c>
    </row>
    <row r="351" spans="4:8" ht="15" thickBot="1" x14ac:dyDescent="0.35">
      <c r="D351" s="117" t="s">
        <v>518</v>
      </c>
      <c r="E351" s="118">
        <v>951000898</v>
      </c>
      <c r="G351" s="117" t="s">
        <v>1633</v>
      </c>
      <c r="H351" s="117">
        <v>531902</v>
      </c>
    </row>
    <row r="352" spans="4:8" ht="27.6" thickBot="1" x14ac:dyDescent="0.35">
      <c r="D352" s="117" t="s">
        <v>519</v>
      </c>
      <c r="E352" s="118">
        <v>951000220</v>
      </c>
      <c r="G352" s="117" t="s">
        <v>1634</v>
      </c>
      <c r="H352" s="117">
        <v>166010</v>
      </c>
    </row>
    <row r="353" spans="4:8" ht="15" thickBot="1" x14ac:dyDescent="0.35">
      <c r="D353" s="117" t="s">
        <v>520</v>
      </c>
      <c r="E353" s="118">
        <v>956000045</v>
      </c>
      <c r="G353" s="117" t="s">
        <v>1635</v>
      </c>
      <c r="H353" s="117">
        <v>530106</v>
      </c>
    </row>
    <row r="354" spans="4:8" ht="15" thickBot="1" x14ac:dyDescent="0.35">
      <c r="D354" s="117" t="s">
        <v>521</v>
      </c>
      <c r="E354" s="118">
        <v>951000311</v>
      </c>
      <c r="G354" s="117" t="s">
        <v>1636</v>
      </c>
      <c r="H354" s="117">
        <v>531001</v>
      </c>
    </row>
    <row r="355" spans="4:8" ht="27.6" thickBot="1" x14ac:dyDescent="0.35">
      <c r="D355" s="117" t="s">
        <v>522</v>
      </c>
      <c r="E355" s="118">
        <v>951000962</v>
      </c>
      <c r="G355" s="117" t="s">
        <v>1637</v>
      </c>
      <c r="H355" s="117">
        <v>530603</v>
      </c>
    </row>
    <row r="356" spans="4:8" ht="27.6" thickBot="1" x14ac:dyDescent="0.35">
      <c r="D356" s="117" t="s">
        <v>226</v>
      </c>
      <c r="E356" s="118">
        <v>951000278</v>
      </c>
      <c r="G356" s="117" t="s">
        <v>1638</v>
      </c>
      <c r="H356" s="117">
        <v>531103</v>
      </c>
    </row>
    <row r="357" spans="4:8" ht="15" thickBot="1" x14ac:dyDescent="0.35">
      <c r="D357" s="117" t="s">
        <v>523</v>
      </c>
      <c r="E357" s="118">
        <v>951000790</v>
      </c>
      <c r="G357" s="117" t="s">
        <v>1639</v>
      </c>
      <c r="H357" s="117">
        <v>133010</v>
      </c>
    </row>
    <row r="358" spans="4:8" ht="15" thickBot="1" x14ac:dyDescent="0.35">
      <c r="D358" s="117" t="s">
        <v>524</v>
      </c>
      <c r="E358" s="118">
        <v>951000225</v>
      </c>
      <c r="G358" s="117" t="s">
        <v>1640</v>
      </c>
      <c r="H358" s="117">
        <v>532201</v>
      </c>
    </row>
    <row r="359" spans="4:8" ht="27.6" thickBot="1" x14ac:dyDescent="0.35">
      <c r="D359" s="117" t="s">
        <v>525</v>
      </c>
      <c r="E359" s="118">
        <v>951000471</v>
      </c>
      <c r="G359" s="117" t="s">
        <v>1641</v>
      </c>
      <c r="H359" s="117">
        <v>510124</v>
      </c>
    </row>
    <row r="360" spans="4:8" ht="15" thickBot="1" x14ac:dyDescent="0.35">
      <c r="D360" s="117" t="s">
        <v>526</v>
      </c>
      <c r="E360" s="118">
        <v>956000010</v>
      </c>
      <c r="G360" s="117" t="s">
        <v>1642</v>
      </c>
      <c r="H360" s="117">
        <v>532604</v>
      </c>
    </row>
    <row r="361" spans="4:8" ht="27.6" thickBot="1" x14ac:dyDescent="0.35">
      <c r="D361" s="117" t="s">
        <v>527</v>
      </c>
      <c r="E361" s="118">
        <v>951000120</v>
      </c>
      <c r="G361" s="117" t="s">
        <v>1643</v>
      </c>
      <c r="H361" s="117">
        <v>532605</v>
      </c>
    </row>
    <row r="362" spans="4:8" ht="15" thickBot="1" x14ac:dyDescent="0.35">
      <c r="D362" s="117" t="s">
        <v>528</v>
      </c>
      <c r="E362" s="118">
        <v>951000626</v>
      </c>
      <c r="G362" s="117" t="s">
        <v>1644</v>
      </c>
      <c r="H362" s="117">
        <v>531303</v>
      </c>
    </row>
    <row r="363" spans="4:8" ht="15" thickBot="1" x14ac:dyDescent="0.35">
      <c r="D363" s="117" t="s">
        <v>529</v>
      </c>
      <c r="E363" s="118">
        <v>1951001428</v>
      </c>
      <c r="G363" s="117" t="s">
        <v>1645</v>
      </c>
      <c r="H363" s="117">
        <v>550101</v>
      </c>
    </row>
    <row r="364" spans="4:8" ht="15" thickBot="1" x14ac:dyDescent="0.35">
      <c r="D364" s="117" t="s">
        <v>530</v>
      </c>
      <c r="E364" s="118">
        <v>951001089</v>
      </c>
      <c r="G364" s="117" t="s">
        <v>1646</v>
      </c>
      <c r="H364" s="117">
        <v>168010</v>
      </c>
    </row>
    <row r="365" spans="4:8" ht="15" thickBot="1" x14ac:dyDescent="0.35">
      <c r="D365" s="117" t="s">
        <v>531</v>
      </c>
      <c r="E365" s="118">
        <v>951000357</v>
      </c>
      <c r="G365" s="117" t="s">
        <v>1647</v>
      </c>
      <c r="H365" s="117">
        <v>530101</v>
      </c>
    </row>
    <row r="366" spans="4:8" ht="15" thickBot="1" x14ac:dyDescent="0.35">
      <c r="D366" s="117" t="s">
        <v>532</v>
      </c>
      <c r="E366" s="118">
        <v>951000553</v>
      </c>
      <c r="G366" s="117" t="s">
        <v>1648</v>
      </c>
      <c r="H366" s="117">
        <v>231010</v>
      </c>
    </row>
    <row r="367" spans="4:8" ht="15" thickBot="1" x14ac:dyDescent="0.35">
      <c r="D367" s="117" t="s">
        <v>533</v>
      </c>
      <c r="E367" s="118">
        <v>951000001</v>
      </c>
      <c r="G367" s="117" t="s">
        <v>1649</v>
      </c>
      <c r="H367" s="117">
        <v>231012</v>
      </c>
    </row>
    <row r="368" spans="4:8" ht="15" thickBot="1" x14ac:dyDescent="0.35">
      <c r="D368" s="117" t="s">
        <v>534</v>
      </c>
      <c r="E368" s="118">
        <v>1951001433</v>
      </c>
      <c r="G368" s="117" t="s">
        <v>1650</v>
      </c>
      <c r="H368" s="117">
        <v>532706</v>
      </c>
    </row>
    <row r="369" spans="4:8" ht="27.6" thickBot="1" x14ac:dyDescent="0.35">
      <c r="D369" s="117" t="s">
        <v>535</v>
      </c>
      <c r="E369" s="118">
        <v>955000000</v>
      </c>
      <c r="G369" s="117" t="s">
        <v>1651</v>
      </c>
      <c r="H369" s="117">
        <v>530704</v>
      </c>
    </row>
    <row r="370" spans="4:8" ht="15" thickBot="1" x14ac:dyDescent="0.35">
      <c r="D370" s="117" t="s">
        <v>536</v>
      </c>
      <c r="E370" s="118">
        <v>951000585</v>
      </c>
      <c r="G370" s="117" t="s">
        <v>1</v>
      </c>
      <c r="H370" s="117">
        <v>530706</v>
      </c>
    </row>
    <row r="371" spans="4:8" ht="15" thickBot="1" x14ac:dyDescent="0.35">
      <c r="D371" s="117" t="s">
        <v>537</v>
      </c>
      <c r="E371" s="118">
        <v>951000221</v>
      </c>
      <c r="G371" s="117" t="s">
        <v>1652</v>
      </c>
      <c r="H371" s="117">
        <v>530107</v>
      </c>
    </row>
    <row r="372" spans="4:8" ht="15" thickBot="1" x14ac:dyDescent="0.35">
      <c r="D372" s="117" t="s">
        <v>538</v>
      </c>
      <c r="E372" s="118">
        <v>951000587</v>
      </c>
      <c r="G372" s="117" t="s">
        <v>1653</v>
      </c>
      <c r="H372" s="117">
        <v>410120</v>
      </c>
    </row>
    <row r="373" spans="4:8" ht="15" thickBot="1" x14ac:dyDescent="0.35">
      <c r="D373" s="117" t="s">
        <v>539</v>
      </c>
      <c r="E373" s="118">
        <v>951000554</v>
      </c>
      <c r="G373" s="117" t="s">
        <v>1654</v>
      </c>
      <c r="H373" s="117">
        <v>112010</v>
      </c>
    </row>
    <row r="374" spans="4:8" ht="15" thickBot="1" x14ac:dyDescent="0.35">
      <c r="D374" s="117" t="s">
        <v>540</v>
      </c>
      <c r="E374" s="118">
        <v>951000716</v>
      </c>
      <c r="G374" s="117" t="s">
        <v>1655</v>
      </c>
      <c r="H374" s="117">
        <v>112020</v>
      </c>
    </row>
    <row r="375" spans="4:8" ht="27.6" thickBot="1" x14ac:dyDescent="0.35">
      <c r="D375" s="117" t="s">
        <v>541</v>
      </c>
      <c r="E375" s="118">
        <v>951000054</v>
      </c>
      <c r="G375" s="117" t="s">
        <v>1672</v>
      </c>
      <c r="H375" s="117">
        <v>1234</v>
      </c>
    </row>
    <row r="376" spans="4:8" ht="15" thickBot="1" x14ac:dyDescent="0.35">
      <c r="D376" s="117" t="s">
        <v>542</v>
      </c>
      <c r="E376" s="118">
        <v>951000986</v>
      </c>
      <c r="G376" s="117"/>
      <c r="H376" s="117"/>
    </row>
    <row r="377" spans="4:8" ht="15" thickBot="1" x14ac:dyDescent="0.35">
      <c r="D377" s="117" t="s">
        <v>543</v>
      </c>
      <c r="E377" s="118">
        <v>951000677</v>
      </c>
      <c r="G377" s="117"/>
      <c r="H377" s="117"/>
    </row>
    <row r="378" spans="4:8" ht="27.6" thickBot="1" x14ac:dyDescent="0.35">
      <c r="D378" s="117" t="s">
        <v>544</v>
      </c>
      <c r="E378" s="118">
        <v>951000696</v>
      </c>
      <c r="G378" s="117"/>
      <c r="H378" s="117"/>
    </row>
    <row r="379" spans="4:8" ht="15" thickBot="1" x14ac:dyDescent="0.35">
      <c r="D379" s="117" t="s">
        <v>545</v>
      </c>
      <c r="E379" s="118">
        <v>951000113</v>
      </c>
      <c r="G379" s="117"/>
      <c r="H379" s="117"/>
    </row>
    <row r="380" spans="4:8" ht="15" thickBot="1" x14ac:dyDescent="0.35">
      <c r="D380" s="117" t="s">
        <v>546</v>
      </c>
      <c r="E380" s="118">
        <v>951000099</v>
      </c>
      <c r="G380" s="117"/>
      <c r="H380" s="117"/>
    </row>
    <row r="381" spans="4:8" ht="15" thickBot="1" x14ac:dyDescent="0.35">
      <c r="D381" s="117" t="s">
        <v>547</v>
      </c>
      <c r="E381" s="118">
        <v>951001141</v>
      </c>
      <c r="G381" s="117"/>
      <c r="H381" s="117"/>
    </row>
    <row r="382" spans="4:8" ht="15" thickBot="1" x14ac:dyDescent="0.35">
      <c r="D382" s="117" t="s">
        <v>548</v>
      </c>
      <c r="E382" s="118">
        <v>951001178</v>
      </c>
      <c r="G382" s="117"/>
      <c r="H382" s="117"/>
    </row>
    <row r="383" spans="4:8" ht="15" thickBot="1" x14ac:dyDescent="0.35">
      <c r="D383" s="117" t="s">
        <v>549</v>
      </c>
      <c r="E383" s="118">
        <v>951001159</v>
      </c>
      <c r="G383" s="117"/>
      <c r="H383" s="117"/>
    </row>
    <row r="384" spans="4:8" ht="15" thickBot="1" x14ac:dyDescent="0.35">
      <c r="D384" s="117" t="s">
        <v>550</v>
      </c>
      <c r="E384" s="118">
        <v>959000035</v>
      </c>
      <c r="G384" s="117"/>
      <c r="H384" s="117"/>
    </row>
    <row r="385" spans="4:8" ht="15" thickBot="1" x14ac:dyDescent="0.35">
      <c r="D385" s="117" t="s">
        <v>551</v>
      </c>
      <c r="E385" s="118">
        <v>951000020</v>
      </c>
      <c r="G385" s="117"/>
      <c r="H385" s="117"/>
    </row>
    <row r="386" spans="4:8" ht="15" thickBot="1" x14ac:dyDescent="0.35">
      <c r="D386" s="117" t="s">
        <v>552</v>
      </c>
      <c r="E386" s="118">
        <v>951000350</v>
      </c>
      <c r="G386" s="117"/>
      <c r="H386" s="117"/>
    </row>
    <row r="387" spans="4:8" ht="15" thickBot="1" x14ac:dyDescent="0.35">
      <c r="D387" s="117" t="s">
        <v>553</v>
      </c>
      <c r="E387" s="118">
        <v>951000600</v>
      </c>
      <c r="G387" s="117"/>
      <c r="H387" s="117"/>
    </row>
    <row r="388" spans="4:8" ht="15" thickBot="1" x14ac:dyDescent="0.35">
      <c r="D388" s="117" t="s">
        <v>554</v>
      </c>
      <c r="E388" s="118">
        <v>951000505</v>
      </c>
      <c r="G388" s="117"/>
      <c r="H388" s="117"/>
    </row>
    <row r="389" spans="4:8" ht="27.6" thickBot="1" x14ac:dyDescent="0.35">
      <c r="D389" s="117" t="s">
        <v>555</v>
      </c>
      <c r="E389" s="118">
        <v>951001403</v>
      </c>
      <c r="G389" s="117"/>
      <c r="H389" s="117"/>
    </row>
    <row r="390" spans="4:8" ht="27.6" thickBot="1" x14ac:dyDescent="0.35">
      <c r="D390" s="117" t="s">
        <v>556</v>
      </c>
      <c r="E390" s="118">
        <v>951000954</v>
      </c>
      <c r="G390" s="117"/>
      <c r="H390" s="117"/>
    </row>
    <row r="391" spans="4:8" ht="27.6" thickBot="1" x14ac:dyDescent="0.35">
      <c r="D391" s="117" t="s">
        <v>557</v>
      </c>
      <c r="E391" s="118">
        <v>951001352</v>
      </c>
      <c r="G391" s="117"/>
      <c r="H391" s="117"/>
    </row>
    <row r="392" spans="4:8" ht="27.6" thickBot="1" x14ac:dyDescent="0.35">
      <c r="D392" s="117" t="s">
        <v>558</v>
      </c>
      <c r="E392" s="118">
        <v>951001189</v>
      </c>
      <c r="G392" s="117"/>
      <c r="H392" s="117"/>
    </row>
    <row r="393" spans="4:8" ht="15" thickBot="1" x14ac:dyDescent="0.35">
      <c r="D393" s="117" t="s">
        <v>559</v>
      </c>
      <c r="E393" s="118">
        <v>951001139</v>
      </c>
      <c r="G393" s="117"/>
      <c r="H393" s="117"/>
    </row>
    <row r="394" spans="4:8" ht="15" thickBot="1" x14ac:dyDescent="0.35">
      <c r="D394" s="117" t="s">
        <v>560</v>
      </c>
      <c r="E394" s="118">
        <v>951000478</v>
      </c>
      <c r="G394" s="117"/>
      <c r="H394" s="117"/>
    </row>
    <row r="395" spans="4:8" ht="15" thickBot="1" x14ac:dyDescent="0.35">
      <c r="D395" s="117" t="s">
        <v>561</v>
      </c>
      <c r="E395" s="118">
        <v>951000000</v>
      </c>
      <c r="G395" s="117"/>
      <c r="H395" s="117"/>
    </row>
    <row r="396" spans="4:8" ht="15" thickBot="1" x14ac:dyDescent="0.35">
      <c r="D396" s="117" t="s">
        <v>562</v>
      </c>
      <c r="E396" s="118">
        <v>951000222</v>
      </c>
      <c r="G396" s="117"/>
      <c r="H396" s="117"/>
    </row>
    <row r="397" spans="4:8" ht="27.6" thickBot="1" x14ac:dyDescent="0.35">
      <c r="D397" s="117" t="s">
        <v>563</v>
      </c>
      <c r="E397" s="118">
        <v>951000568</v>
      </c>
      <c r="G397" s="117"/>
      <c r="H397" s="117"/>
    </row>
    <row r="398" spans="4:8" ht="15" thickBot="1" x14ac:dyDescent="0.35">
      <c r="D398" s="117" t="s">
        <v>564</v>
      </c>
      <c r="E398" s="118">
        <v>951000407</v>
      </c>
      <c r="G398" s="117"/>
      <c r="H398" s="117"/>
    </row>
    <row r="399" spans="4:8" ht="15" thickBot="1" x14ac:dyDescent="0.35">
      <c r="D399" s="117" t="s">
        <v>565</v>
      </c>
      <c r="E399" s="118">
        <v>951000247</v>
      </c>
      <c r="G399" s="117"/>
      <c r="H399" s="117"/>
    </row>
    <row r="400" spans="4:8" ht="15" thickBot="1" x14ac:dyDescent="0.35">
      <c r="D400" s="117" t="s">
        <v>566</v>
      </c>
      <c r="E400" s="118">
        <v>951000504</v>
      </c>
      <c r="G400" s="117"/>
      <c r="H400" s="117"/>
    </row>
    <row r="401" spans="4:8" ht="15" thickBot="1" x14ac:dyDescent="0.35">
      <c r="D401" s="117" t="s">
        <v>567</v>
      </c>
      <c r="E401" s="118">
        <v>951000947</v>
      </c>
      <c r="G401" s="117"/>
      <c r="H401" s="117"/>
    </row>
    <row r="402" spans="4:8" ht="15" thickBot="1" x14ac:dyDescent="0.35">
      <c r="D402" s="117" t="s">
        <v>568</v>
      </c>
      <c r="E402" s="118">
        <v>951000509</v>
      </c>
      <c r="G402" s="117"/>
      <c r="H402" s="117"/>
    </row>
    <row r="403" spans="4:8" ht="15" thickBot="1" x14ac:dyDescent="0.35">
      <c r="D403" s="117" t="s">
        <v>569</v>
      </c>
      <c r="E403" s="118">
        <v>951000710</v>
      </c>
      <c r="G403" s="117"/>
      <c r="H403" s="117"/>
    </row>
    <row r="404" spans="4:8" ht="15" thickBot="1" x14ac:dyDescent="0.35">
      <c r="D404" s="117" t="s">
        <v>570</v>
      </c>
      <c r="E404" s="118">
        <v>951000341</v>
      </c>
      <c r="G404" s="117"/>
      <c r="H404" s="117"/>
    </row>
    <row r="405" spans="4:8" ht="27.6" thickBot="1" x14ac:dyDescent="0.35">
      <c r="D405" s="117" t="s">
        <v>571</v>
      </c>
      <c r="E405" s="118">
        <v>951000375</v>
      </c>
      <c r="G405" s="117"/>
      <c r="H405" s="117"/>
    </row>
    <row r="406" spans="4:8" ht="15" thickBot="1" x14ac:dyDescent="0.35">
      <c r="D406" s="117" t="s">
        <v>572</v>
      </c>
      <c r="E406" s="118">
        <v>951001202</v>
      </c>
      <c r="G406" s="117"/>
      <c r="H406" s="117"/>
    </row>
    <row r="407" spans="4:8" ht="15" thickBot="1" x14ac:dyDescent="0.35">
      <c r="D407" s="117" t="s">
        <v>573</v>
      </c>
      <c r="E407" s="118">
        <v>24000055</v>
      </c>
      <c r="G407" s="117"/>
      <c r="H407" s="117"/>
    </row>
    <row r="408" spans="4:8" ht="15" thickBot="1" x14ac:dyDescent="0.35">
      <c r="D408" s="117" t="s">
        <v>573</v>
      </c>
      <c r="E408" s="118">
        <v>957000035</v>
      </c>
      <c r="G408" s="117"/>
      <c r="H408" s="117"/>
    </row>
    <row r="409" spans="4:8" ht="15" thickBot="1" x14ac:dyDescent="0.35">
      <c r="D409" s="117" t="s">
        <v>574</v>
      </c>
      <c r="E409" s="118">
        <v>951000656</v>
      </c>
      <c r="G409" s="117"/>
      <c r="H409" s="117"/>
    </row>
    <row r="410" spans="4:8" ht="15" thickBot="1" x14ac:dyDescent="0.35">
      <c r="D410" s="117" t="s">
        <v>575</v>
      </c>
      <c r="E410" s="118">
        <v>951000112</v>
      </c>
      <c r="G410" s="117"/>
      <c r="H410" s="117"/>
    </row>
    <row r="411" spans="4:8" ht="27.6" thickBot="1" x14ac:dyDescent="0.35">
      <c r="D411" s="117" t="s">
        <v>576</v>
      </c>
      <c r="E411" s="118">
        <v>951000932</v>
      </c>
      <c r="G411" s="117"/>
      <c r="H411" s="117"/>
    </row>
    <row r="412" spans="4:8" ht="15" thickBot="1" x14ac:dyDescent="0.35">
      <c r="D412" s="117" t="s">
        <v>577</v>
      </c>
      <c r="E412" s="118">
        <v>959000017</v>
      </c>
      <c r="G412" s="117"/>
      <c r="H412" s="117"/>
    </row>
    <row r="413" spans="4:8" ht="15" thickBot="1" x14ac:dyDescent="0.35">
      <c r="D413" s="117" t="s">
        <v>578</v>
      </c>
      <c r="E413" s="118">
        <v>956000028</v>
      </c>
      <c r="G413" s="117"/>
      <c r="H413" s="117"/>
    </row>
    <row r="414" spans="4:8" ht="15" thickBot="1" x14ac:dyDescent="0.35">
      <c r="D414" s="117" t="s">
        <v>579</v>
      </c>
      <c r="E414" s="118">
        <v>951000543</v>
      </c>
      <c r="G414" s="117"/>
      <c r="H414" s="117"/>
    </row>
    <row r="415" spans="4:8" ht="15" thickBot="1" x14ac:dyDescent="0.35">
      <c r="D415" s="117" t="s">
        <v>580</v>
      </c>
      <c r="E415" s="118">
        <v>951000241</v>
      </c>
      <c r="G415" s="117"/>
      <c r="H415" s="117"/>
    </row>
    <row r="416" spans="4:8" ht="27.6" thickBot="1" x14ac:dyDescent="0.35">
      <c r="D416" s="117" t="s">
        <v>581</v>
      </c>
      <c r="E416" s="118">
        <v>951001249</v>
      </c>
      <c r="G416" s="117"/>
      <c r="H416" s="117"/>
    </row>
    <row r="417" spans="4:8" ht="15" thickBot="1" x14ac:dyDescent="0.35">
      <c r="D417" s="117" t="s">
        <v>582</v>
      </c>
      <c r="E417" s="118">
        <v>951000784</v>
      </c>
      <c r="G417" s="117"/>
      <c r="H417" s="117"/>
    </row>
    <row r="418" spans="4:8" ht="15" thickBot="1" x14ac:dyDescent="0.35">
      <c r="D418" s="117" t="s">
        <v>583</v>
      </c>
      <c r="E418" s="118">
        <v>951000403</v>
      </c>
      <c r="G418" s="117"/>
      <c r="H418" s="117"/>
    </row>
    <row r="419" spans="4:8" ht="27.6" thickBot="1" x14ac:dyDescent="0.35">
      <c r="D419" s="117" t="s">
        <v>584</v>
      </c>
      <c r="E419" s="118">
        <v>951000186</v>
      </c>
      <c r="G419" s="117"/>
      <c r="H419" s="117"/>
    </row>
    <row r="420" spans="4:8" ht="27.6" thickBot="1" x14ac:dyDescent="0.35">
      <c r="D420" s="117" t="s">
        <v>585</v>
      </c>
      <c r="E420" s="118">
        <v>951000966</v>
      </c>
      <c r="G420" s="117"/>
      <c r="H420" s="117"/>
    </row>
    <row r="421" spans="4:8" ht="27.6" thickBot="1" x14ac:dyDescent="0.35">
      <c r="D421" s="117" t="s">
        <v>586</v>
      </c>
      <c r="E421" s="118">
        <v>951000839</v>
      </c>
      <c r="G421" s="117"/>
      <c r="H421" s="117"/>
    </row>
    <row r="422" spans="4:8" ht="15" thickBot="1" x14ac:dyDescent="0.35">
      <c r="D422" s="117" t="s">
        <v>587</v>
      </c>
      <c r="E422" s="118">
        <v>951001050</v>
      </c>
      <c r="G422" s="117"/>
      <c r="H422" s="117"/>
    </row>
    <row r="423" spans="4:8" ht="15" thickBot="1" x14ac:dyDescent="0.35">
      <c r="D423" s="117" t="s">
        <v>588</v>
      </c>
      <c r="E423" s="118">
        <v>951000921</v>
      </c>
      <c r="G423" s="117"/>
      <c r="H423" s="117"/>
    </row>
    <row r="424" spans="4:8" ht="15" thickBot="1" x14ac:dyDescent="0.35">
      <c r="D424" s="117" t="s">
        <v>589</v>
      </c>
      <c r="E424" s="118">
        <v>951000210</v>
      </c>
      <c r="G424" s="117"/>
      <c r="H424" s="117"/>
    </row>
    <row r="425" spans="4:8" ht="15" thickBot="1" x14ac:dyDescent="0.35">
      <c r="D425" s="117" t="s">
        <v>590</v>
      </c>
      <c r="E425" s="118">
        <v>951000972</v>
      </c>
      <c r="G425" s="117"/>
      <c r="H425" s="117"/>
    </row>
    <row r="426" spans="4:8" ht="27.6" thickBot="1" x14ac:dyDescent="0.35">
      <c r="D426" s="117" t="s">
        <v>591</v>
      </c>
      <c r="E426" s="118">
        <v>951001324</v>
      </c>
      <c r="G426" s="117"/>
      <c r="H426" s="117"/>
    </row>
    <row r="427" spans="4:8" ht="15" thickBot="1" x14ac:dyDescent="0.35">
      <c r="D427" s="117" t="s">
        <v>592</v>
      </c>
      <c r="E427" s="118">
        <v>951001362</v>
      </c>
      <c r="G427" s="117"/>
      <c r="H427" s="117"/>
    </row>
    <row r="428" spans="4:8" ht="15" thickBot="1" x14ac:dyDescent="0.35">
      <c r="D428" s="117" t="s">
        <v>593</v>
      </c>
      <c r="E428" s="118">
        <v>951001322</v>
      </c>
      <c r="G428" s="117"/>
      <c r="H428" s="117"/>
    </row>
    <row r="429" spans="4:8" ht="15" thickBot="1" x14ac:dyDescent="0.35">
      <c r="D429" s="117" t="s">
        <v>594</v>
      </c>
      <c r="E429" s="118">
        <v>951001375</v>
      </c>
      <c r="G429" s="117"/>
      <c r="H429" s="117"/>
    </row>
    <row r="430" spans="4:8" ht="27.6" thickBot="1" x14ac:dyDescent="0.35">
      <c r="D430" s="117" t="s">
        <v>595</v>
      </c>
      <c r="E430" s="118">
        <v>951000775</v>
      </c>
      <c r="G430" s="117"/>
      <c r="H430" s="117"/>
    </row>
    <row r="431" spans="4:8" ht="15" thickBot="1" x14ac:dyDescent="0.35">
      <c r="D431" s="117" t="s">
        <v>596</v>
      </c>
      <c r="E431" s="118">
        <v>951000219</v>
      </c>
      <c r="G431" s="117"/>
      <c r="H431" s="117"/>
    </row>
    <row r="432" spans="4:8" ht="15" thickBot="1" x14ac:dyDescent="0.35">
      <c r="D432" s="117" t="s">
        <v>597</v>
      </c>
      <c r="E432" s="118">
        <v>951000685</v>
      </c>
      <c r="G432" s="117"/>
      <c r="H432" s="117"/>
    </row>
    <row r="433" spans="4:8" ht="15" thickBot="1" x14ac:dyDescent="0.35">
      <c r="D433" s="117" t="s">
        <v>598</v>
      </c>
      <c r="E433" s="118">
        <v>951000100</v>
      </c>
      <c r="G433" s="117"/>
      <c r="H433" s="117"/>
    </row>
    <row r="434" spans="4:8" ht="15" thickBot="1" x14ac:dyDescent="0.35">
      <c r="D434" s="117" t="s">
        <v>599</v>
      </c>
      <c r="E434" s="118">
        <v>951000485</v>
      </c>
      <c r="G434" s="117"/>
      <c r="H434" s="117"/>
    </row>
    <row r="435" spans="4:8" ht="15" thickBot="1" x14ac:dyDescent="0.35">
      <c r="D435" s="117" t="s">
        <v>600</v>
      </c>
      <c r="E435" s="118">
        <v>951000965</v>
      </c>
      <c r="G435" s="117"/>
      <c r="H435" s="117"/>
    </row>
    <row r="436" spans="4:8" ht="15" thickBot="1" x14ac:dyDescent="0.35">
      <c r="D436" s="117" t="s">
        <v>601</v>
      </c>
      <c r="E436" s="118">
        <v>951000114</v>
      </c>
      <c r="G436" s="117"/>
      <c r="H436" s="117"/>
    </row>
    <row r="437" spans="4:8" ht="27.6" thickBot="1" x14ac:dyDescent="0.35">
      <c r="D437" s="117" t="s">
        <v>602</v>
      </c>
      <c r="E437" s="118">
        <v>951000035</v>
      </c>
      <c r="G437" s="117"/>
      <c r="H437" s="117"/>
    </row>
    <row r="438" spans="4:8" ht="27.6" thickBot="1" x14ac:dyDescent="0.35">
      <c r="D438" s="117" t="s">
        <v>603</v>
      </c>
      <c r="E438" s="118">
        <v>951000108</v>
      </c>
      <c r="G438" s="117"/>
      <c r="H438" s="117"/>
    </row>
    <row r="439" spans="4:8" ht="15" thickBot="1" x14ac:dyDescent="0.35">
      <c r="D439" s="117" t="s">
        <v>604</v>
      </c>
      <c r="E439" s="118">
        <v>951000256</v>
      </c>
      <c r="G439" s="117"/>
      <c r="H439" s="117"/>
    </row>
    <row r="440" spans="4:8" ht="15" thickBot="1" x14ac:dyDescent="0.35">
      <c r="D440" s="117" t="s">
        <v>605</v>
      </c>
      <c r="E440" s="118">
        <v>951000445</v>
      </c>
      <c r="G440" s="117"/>
      <c r="H440" s="117"/>
    </row>
    <row r="441" spans="4:8" ht="27.6" thickBot="1" x14ac:dyDescent="0.35">
      <c r="D441" s="117" t="s">
        <v>606</v>
      </c>
      <c r="E441" s="118">
        <v>951000871</v>
      </c>
      <c r="G441" s="117"/>
      <c r="H441" s="117"/>
    </row>
    <row r="442" spans="4:8" ht="15" thickBot="1" x14ac:dyDescent="0.35">
      <c r="D442" s="117" t="s">
        <v>607</v>
      </c>
      <c r="E442" s="118">
        <v>951000886</v>
      </c>
      <c r="G442" s="117"/>
      <c r="H442" s="117"/>
    </row>
    <row r="443" spans="4:8" ht="15" thickBot="1" x14ac:dyDescent="0.35">
      <c r="D443" s="117" t="s">
        <v>608</v>
      </c>
      <c r="E443" s="118">
        <v>951000946</v>
      </c>
      <c r="G443" s="117"/>
      <c r="H443" s="117"/>
    </row>
    <row r="444" spans="4:8" ht="27.6" thickBot="1" x14ac:dyDescent="0.35">
      <c r="D444" s="117" t="s">
        <v>609</v>
      </c>
      <c r="E444" s="118">
        <v>951001051</v>
      </c>
      <c r="G444" s="117"/>
      <c r="H444" s="117"/>
    </row>
    <row r="445" spans="4:8" ht="27.6" thickBot="1" x14ac:dyDescent="0.35">
      <c r="D445" s="117" t="s">
        <v>610</v>
      </c>
      <c r="E445" s="118">
        <v>956000020</v>
      </c>
      <c r="G445" s="117"/>
      <c r="H445" s="117"/>
    </row>
    <row r="446" spans="4:8" ht="15" thickBot="1" x14ac:dyDescent="0.35">
      <c r="D446" s="117" t="s">
        <v>611</v>
      </c>
      <c r="E446" s="118">
        <v>951000364</v>
      </c>
      <c r="G446" s="117"/>
      <c r="H446" s="117"/>
    </row>
    <row r="447" spans="4:8" ht="27.6" thickBot="1" x14ac:dyDescent="0.35">
      <c r="D447" s="117" t="s">
        <v>612</v>
      </c>
      <c r="E447" s="118">
        <v>951001203</v>
      </c>
      <c r="G447" s="117"/>
      <c r="H447" s="117"/>
    </row>
    <row r="448" spans="4:8" ht="15" thickBot="1" x14ac:dyDescent="0.35">
      <c r="D448" s="117" t="s">
        <v>613</v>
      </c>
      <c r="E448" s="118">
        <v>951000482</v>
      </c>
      <c r="G448" s="117"/>
      <c r="H448" s="117"/>
    </row>
    <row r="449" spans="4:8" ht="27.6" thickBot="1" x14ac:dyDescent="0.35">
      <c r="D449" s="117" t="s">
        <v>614</v>
      </c>
      <c r="E449" s="118">
        <v>951001030</v>
      </c>
      <c r="G449" s="117"/>
      <c r="H449" s="117"/>
    </row>
    <row r="450" spans="4:8" ht="15" thickBot="1" x14ac:dyDescent="0.35">
      <c r="D450" s="117" t="s">
        <v>615</v>
      </c>
      <c r="E450" s="118">
        <v>951000535</v>
      </c>
      <c r="G450" s="117"/>
      <c r="H450" s="117"/>
    </row>
    <row r="451" spans="4:8" ht="15" thickBot="1" x14ac:dyDescent="0.35">
      <c r="D451" s="117" t="s">
        <v>616</v>
      </c>
      <c r="E451" s="118">
        <v>951000388</v>
      </c>
      <c r="G451" s="117"/>
      <c r="H451" s="117"/>
    </row>
    <row r="452" spans="4:8" ht="15" thickBot="1" x14ac:dyDescent="0.35">
      <c r="D452" s="117" t="s">
        <v>617</v>
      </c>
      <c r="E452" s="118">
        <v>951000191</v>
      </c>
      <c r="G452" s="117"/>
      <c r="H452" s="117"/>
    </row>
    <row r="453" spans="4:8" ht="15" thickBot="1" x14ac:dyDescent="0.35">
      <c r="D453" s="117" t="s">
        <v>618</v>
      </c>
      <c r="E453" s="118">
        <v>951000750</v>
      </c>
      <c r="G453" s="117"/>
      <c r="H453" s="117"/>
    </row>
    <row r="454" spans="4:8" ht="27.6" thickBot="1" x14ac:dyDescent="0.35">
      <c r="D454" s="117" t="s">
        <v>619</v>
      </c>
      <c r="E454" s="118">
        <v>951000497</v>
      </c>
      <c r="G454" s="117"/>
      <c r="H454" s="117"/>
    </row>
    <row r="455" spans="4:8" ht="15" thickBot="1" x14ac:dyDescent="0.35">
      <c r="D455" s="117" t="s">
        <v>620</v>
      </c>
      <c r="E455" s="118">
        <v>951000325</v>
      </c>
      <c r="G455" s="117"/>
      <c r="H455" s="117"/>
    </row>
    <row r="456" spans="4:8" ht="27.6" thickBot="1" x14ac:dyDescent="0.35">
      <c r="D456" s="117" t="s">
        <v>621</v>
      </c>
      <c r="E456" s="118">
        <v>951000880</v>
      </c>
      <c r="G456" s="117"/>
      <c r="H456" s="117"/>
    </row>
    <row r="457" spans="4:8" ht="15" thickBot="1" x14ac:dyDescent="0.35">
      <c r="D457" s="117" t="s">
        <v>622</v>
      </c>
      <c r="E457" s="118">
        <v>951000124</v>
      </c>
      <c r="G457" s="117"/>
      <c r="H457" s="117"/>
    </row>
    <row r="458" spans="4:8" ht="15" thickBot="1" x14ac:dyDescent="0.35">
      <c r="D458" s="117" t="s">
        <v>623</v>
      </c>
      <c r="E458" s="118">
        <v>951000439</v>
      </c>
      <c r="G458" s="117"/>
      <c r="H458" s="117"/>
    </row>
    <row r="459" spans="4:8" ht="15" thickBot="1" x14ac:dyDescent="0.35">
      <c r="D459" s="117" t="s">
        <v>624</v>
      </c>
      <c r="E459" s="118">
        <v>951001016</v>
      </c>
      <c r="G459" s="117"/>
      <c r="H459" s="117"/>
    </row>
    <row r="460" spans="4:8" ht="27.6" thickBot="1" x14ac:dyDescent="0.35">
      <c r="D460" s="117" t="s">
        <v>625</v>
      </c>
      <c r="E460" s="118">
        <v>951000226</v>
      </c>
      <c r="G460" s="117"/>
      <c r="H460" s="117"/>
    </row>
    <row r="461" spans="4:8" ht="27.6" thickBot="1" x14ac:dyDescent="0.35">
      <c r="D461" s="117" t="s">
        <v>626</v>
      </c>
      <c r="E461" s="118">
        <v>951000084</v>
      </c>
      <c r="G461" s="117"/>
      <c r="H461" s="117"/>
    </row>
    <row r="462" spans="4:8" ht="15" thickBot="1" x14ac:dyDescent="0.35">
      <c r="D462" s="117" t="s">
        <v>627</v>
      </c>
      <c r="E462" s="118">
        <v>951000791</v>
      </c>
      <c r="G462" s="117"/>
      <c r="H462" s="117"/>
    </row>
    <row r="463" spans="4:8" ht="27.6" thickBot="1" x14ac:dyDescent="0.35">
      <c r="D463" s="117" t="s">
        <v>628</v>
      </c>
      <c r="E463" s="118">
        <v>951000028</v>
      </c>
      <c r="G463" s="117"/>
      <c r="H463" s="117"/>
    </row>
    <row r="464" spans="4:8" ht="15" thickBot="1" x14ac:dyDescent="0.35">
      <c r="D464" s="117" t="s">
        <v>629</v>
      </c>
      <c r="E464" s="118">
        <v>951000065</v>
      </c>
      <c r="G464" s="117"/>
      <c r="H464" s="117"/>
    </row>
    <row r="465" spans="4:8" ht="15" thickBot="1" x14ac:dyDescent="0.35">
      <c r="D465" s="117" t="s">
        <v>630</v>
      </c>
      <c r="E465" s="118">
        <v>951000281</v>
      </c>
      <c r="G465" s="117"/>
      <c r="H465" s="117"/>
    </row>
    <row r="466" spans="4:8" ht="27.6" thickBot="1" x14ac:dyDescent="0.35">
      <c r="D466" s="117" t="s">
        <v>631</v>
      </c>
      <c r="E466" s="118">
        <v>40000006</v>
      </c>
      <c r="G466" s="117"/>
      <c r="H466" s="117"/>
    </row>
    <row r="467" spans="4:8" ht="15" thickBot="1" x14ac:dyDescent="0.35">
      <c r="D467" s="117" t="s">
        <v>632</v>
      </c>
      <c r="E467" s="118">
        <v>40000005</v>
      </c>
      <c r="G467" s="117"/>
      <c r="H467" s="117"/>
    </row>
    <row r="468" spans="4:8" ht="27.6" thickBot="1" x14ac:dyDescent="0.35">
      <c r="D468" s="117" t="s">
        <v>633</v>
      </c>
      <c r="E468" s="118">
        <v>951001206</v>
      </c>
      <c r="G468" s="117"/>
      <c r="H468" s="117"/>
    </row>
    <row r="469" spans="4:8" ht="15" thickBot="1" x14ac:dyDescent="0.35">
      <c r="D469" s="117" t="s">
        <v>634</v>
      </c>
      <c r="E469" s="118">
        <v>951000583</v>
      </c>
      <c r="G469" s="117"/>
      <c r="H469" s="117"/>
    </row>
    <row r="470" spans="4:8" ht="27.6" thickBot="1" x14ac:dyDescent="0.35">
      <c r="D470" s="117" t="s">
        <v>635</v>
      </c>
      <c r="E470" s="118">
        <v>951000938</v>
      </c>
      <c r="G470" s="117"/>
      <c r="H470" s="117"/>
    </row>
    <row r="471" spans="4:8" ht="15" thickBot="1" x14ac:dyDescent="0.35">
      <c r="D471" s="117" t="s">
        <v>636</v>
      </c>
      <c r="E471" s="118">
        <v>951000495</v>
      </c>
      <c r="G471" s="117"/>
      <c r="H471" s="117"/>
    </row>
    <row r="472" spans="4:8" ht="15" thickBot="1" x14ac:dyDescent="0.35">
      <c r="D472" s="117" t="s">
        <v>637</v>
      </c>
      <c r="E472" s="118">
        <v>951000728</v>
      </c>
      <c r="G472" s="117"/>
      <c r="H472" s="117"/>
    </row>
    <row r="473" spans="4:8" ht="27.6" thickBot="1" x14ac:dyDescent="0.35">
      <c r="D473" s="117" t="s">
        <v>638</v>
      </c>
      <c r="E473" s="118">
        <v>951000095</v>
      </c>
      <c r="G473" s="117"/>
      <c r="H473" s="117"/>
    </row>
    <row r="474" spans="4:8" ht="15" thickBot="1" x14ac:dyDescent="0.35">
      <c r="D474" s="117" t="s">
        <v>639</v>
      </c>
      <c r="E474" s="118">
        <v>951000366</v>
      </c>
      <c r="G474" s="117"/>
      <c r="H474" s="117"/>
    </row>
    <row r="475" spans="4:8" ht="15" thickBot="1" x14ac:dyDescent="0.35">
      <c r="D475" s="117" t="s">
        <v>640</v>
      </c>
      <c r="E475" s="118">
        <v>951000252</v>
      </c>
      <c r="G475" s="117"/>
      <c r="H475" s="117"/>
    </row>
    <row r="476" spans="4:8" ht="27.6" thickBot="1" x14ac:dyDescent="0.35">
      <c r="D476" s="117" t="s">
        <v>641</v>
      </c>
      <c r="E476" s="118">
        <v>951000822</v>
      </c>
      <c r="G476" s="117"/>
      <c r="H476" s="117"/>
    </row>
    <row r="477" spans="4:8" ht="15" thickBot="1" x14ac:dyDescent="0.35">
      <c r="D477" s="117" t="s">
        <v>642</v>
      </c>
      <c r="E477" s="118">
        <v>951000596</v>
      </c>
      <c r="G477" s="117"/>
      <c r="H477" s="117"/>
    </row>
    <row r="478" spans="4:8" ht="15" thickBot="1" x14ac:dyDescent="0.35">
      <c r="D478" s="117" t="s">
        <v>643</v>
      </c>
      <c r="E478" s="118">
        <v>951000552</v>
      </c>
      <c r="G478" s="117"/>
      <c r="H478" s="117"/>
    </row>
    <row r="479" spans="4:8" ht="15" thickBot="1" x14ac:dyDescent="0.35">
      <c r="D479" s="117" t="s">
        <v>644</v>
      </c>
      <c r="E479" s="118">
        <v>951000900</v>
      </c>
      <c r="G479" s="117"/>
      <c r="H479" s="117"/>
    </row>
    <row r="480" spans="4:8" ht="15" thickBot="1" x14ac:dyDescent="0.35">
      <c r="D480" s="117" t="s">
        <v>645</v>
      </c>
      <c r="E480" s="118">
        <v>951000687</v>
      </c>
      <c r="G480" s="117"/>
      <c r="H480" s="117"/>
    </row>
    <row r="481" spans="4:8" ht="15" thickBot="1" x14ac:dyDescent="0.35">
      <c r="D481" s="117" t="s">
        <v>646</v>
      </c>
      <c r="E481" s="118">
        <v>951000508</v>
      </c>
      <c r="G481" s="117"/>
      <c r="H481" s="117"/>
    </row>
    <row r="482" spans="4:8" ht="15" thickBot="1" x14ac:dyDescent="0.35">
      <c r="D482" s="117" t="s">
        <v>647</v>
      </c>
      <c r="E482" s="118">
        <v>951000720</v>
      </c>
      <c r="G482" s="117"/>
      <c r="H482" s="117"/>
    </row>
    <row r="483" spans="4:8" ht="27.6" thickBot="1" x14ac:dyDescent="0.35">
      <c r="D483" s="117" t="s">
        <v>648</v>
      </c>
      <c r="E483" s="118">
        <v>951000111</v>
      </c>
      <c r="G483" s="117"/>
      <c r="H483" s="117"/>
    </row>
    <row r="484" spans="4:8" ht="27.6" thickBot="1" x14ac:dyDescent="0.35">
      <c r="D484" s="117" t="s">
        <v>649</v>
      </c>
      <c r="E484" s="118">
        <v>951000872</v>
      </c>
      <c r="G484" s="117"/>
      <c r="H484" s="117"/>
    </row>
    <row r="485" spans="4:8" ht="27.6" thickBot="1" x14ac:dyDescent="0.35">
      <c r="D485" s="117" t="s">
        <v>650</v>
      </c>
      <c r="E485" s="118">
        <v>951000551</v>
      </c>
      <c r="G485" s="117"/>
      <c r="H485" s="117"/>
    </row>
    <row r="486" spans="4:8" ht="15" thickBot="1" x14ac:dyDescent="0.35">
      <c r="D486" s="117" t="s">
        <v>651</v>
      </c>
      <c r="E486" s="118">
        <v>951000227</v>
      </c>
      <c r="G486" s="117"/>
      <c r="H486" s="117"/>
    </row>
    <row r="487" spans="4:8" ht="15" thickBot="1" x14ac:dyDescent="0.35">
      <c r="D487" s="117" t="s">
        <v>652</v>
      </c>
      <c r="E487" s="118">
        <v>959000018</v>
      </c>
      <c r="G487" s="117"/>
      <c r="H487" s="117"/>
    </row>
    <row r="488" spans="4:8" ht="15" thickBot="1" x14ac:dyDescent="0.35">
      <c r="D488" s="117" t="s">
        <v>653</v>
      </c>
      <c r="E488" s="118">
        <v>951000997</v>
      </c>
      <c r="G488" s="117"/>
      <c r="H488" s="117"/>
    </row>
    <row r="489" spans="4:8" ht="15" thickBot="1" x14ac:dyDescent="0.35">
      <c r="D489" s="117" t="s">
        <v>654</v>
      </c>
      <c r="E489" s="118">
        <v>951001013</v>
      </c>
      <c r="G489" s="117"/>
      <c r="H489" s="117"/>
    </row>
    <row r="490" spans="4:8" ht="15" thickBot="1" x14ac:dyDescent="0.35">
      <c r="D490" s="117" t="s">
        <v>655</v>
      </c>
      <c r="E490" s="118">
        <v>951000115</v>
      </c>
      <c r="G490" s="117"/>
      <c r="H490" s="117"/>
    </row>
    <row r="491" spans="4:8" ht="15" thickBot="1" x14ac:dyDescent="0.35">
      <c r="D491" s="117" t="s">
        <v>656</v>
      </c>
      <c r="E491" s="118">
        <v>951000126</v>
      </c>
      <c r="G491" s="117"/>
      <c r="H491" s="117"/>
    </row>
    <row r="492" spans="4:8" ht="15" thickBot="1" x14ac:dyDescent="0.35">
      <c r="D492" s="117" t="s">
        <v>657</v>
      </c>
      <c r="E492" s="118">
        <v>951000983</v>
      </c>
      <c r="G492" s="117"/>
      <c r="H492" s="117"/>
    </row>
    <row r="493" spans="4:8" ht="15" thickBot="1" x14ac:dyDescent="0.35">
      <c r="D493" s="117" t="s">
        <v>658</v>
      </c>
      <c r="E493" s="118">
        <v>951000576</v>
      </c>
      <c r="G493" s="117"/>
      <c r="H493" s="117"/>
    </row>
    <row r="494" spans="4:8" ht="27.6" thickBot="1" x14ac:dyDescent="0.35">
      <c r="D494" s="117" t="s">
        <v>659</v>
      </c>
      <c r="E494" s="118">
        <v>951000190</v>
      </c>
      <c r="G494" s="117"/>
      <c r="H494" s="117"/>
    </row>
    <row r="495" spans="4:8" ht="15" thickBot="1" x14ac:dyDescent="0.35">
      <c r="D495" s="117" t="s">
        <v>660</v>
      </c>
      <c r="E495" s="118">
        <v>951000978</v>
      </c>
      <c r="G495" s="117"/>
      <c r="H495" s="117"/>
    </row>
    <row r="496" spans="4:8" ht="15" thickBot="1" x14ac:dyDescent="0.35">
      <c r="D496" s="117" t="s">
        <v>661</v>
      </c>
      <c r="E496" s="118">
        <v>951000402</v>
      </c>
      <c r="G496" s="117"/>
      <c r="H496" s="117"/>
    </row>
    <row r="497" spans="4:8" ht="15" thickBot="1" x14ac:dyDescent="0.35">
      <c r="D497" s="117" t="s">
        <v>662</v>
      </c>
      <c r="E497" s="118">
        <v>951000122</v>
      </c>
      <c r="G497" s="117"/>
      <c r="H497" s="117"/>
    </row>
    <row r="498" spans="4:8" ht="15" thickBot="1" x14ac:dyDescent="0.35">
      <c r="D498" s="117" t="s">
        <v>663</v>
      </c>
      <c r="E498" s="118">
        <v>951000081</v>
      </c>
      <c r="G498" s="117"/>
      <c r="H498" s="117"/>
    </row>
    <row r="499" spans="4:8" ht="15" thickBot="1" x14ac:dyDescent="0.35">
      <c r="D499" s="117" t="s">
        <v>664</v>
      </c>
      <c r="E499" s="118">
        <v>956000047</v>
      </c>
      <c r="G499" s="117"/>
      <c r="H499" s="117"/>
    </row>
    <row r="500" spans="4:8" ht="27.6" thickBot="1" x14ac:dyDescent="0.35">
      <c r="D500" s="117" t="s">
        <v>665</v>
      </c>
      <c r="E500" s="118">
        <v>951000904</v>
      </c>
      <c r="G500" s="117"/>
      <c r="H500" s="117"/>
    </row>
    <row r="501" spans="4:8" ht="15" thickBot="1" x14ac:dyDescent="0.35">
      <c r="D501" s="117" t="s">
        <v>666</v>
      </c>
      <c r="E501" s="118">
        <v>951000850</v>
      </c>
      <c r="G501" s="117"/>
      <c r="H501" s="117"/>
    </row>
    <row r="502" spans="4:8" ht="27.6" thickBot="1" x14ac:dyDescent="0.35">
      <c r="D502" s="117" t="s">
        <v>667</v>
      </c>
      <c r="E502" s="118">
        <v>12003144</v>
      </c>
      <c r="G502" s="117"/>
      <c r="H502" s="117"/>
    </row>
    <row r="503" spans="4:8" ht="27.6" thickBot="1" x14ac:dyDescent="0.35">
      <c r="D503" s="117" t="s">
        <v>668</v>
      </c>
      <c r="E503" s="118">
        <v>951000952</v>
      </c>
      <c r="G503" s="117"/>
      <c r="H503" s="117"/>
    </row>
    <row r="504" spans="4:8" ht="15" thickBot="1" x14ac:dyDescent="0.35">
      <c r="D504" s="117" t="s">
        <v>669</v>
      </c>
      <c r="E504" s="118">
        <v>951000968</v>
      </c>
      <c r="G504" s="117"/>
      <c r="H504" s="117"/>
    </row>
    <row r="505" spans="4:8" ht="15" thickBot="1" x14ac:dyDescent="0.35">
      <c r="D505" s="117" t="s">
        <v>670</v>
      </c>
      <c r="E505" s="118">
        <v>951000245</v>
      </c>
      <c r="G505" s="117"/>
      <c r="H505" s="117"/>
    </row>
    <row r="506" spans="4:8" ht="15" thickBot="1" x14ac:dyDescent="0.35">
      <c r="D506" s="117" t="s">
        <v>671</v>
      </c>
      <c r="E506" s="118">
        <v>951000689</v>
      </c>
      <c r="G506" s="117"/>
      <c r="H506" s="117"/>
    </row>
    <row r="507" spans="4:8" ht="15" thickBot="1" x14ac:dyDescent="0.35">
      <c r="D507" s="117" t="s">
        <v>672</v>
      </c>
      <c r="E507" s="118">
        <v>951000801</v>
      </c>
      <c r="G507" s="117"/>
      <c r="H507" s="117"/>
    </row>
    <row r="508" spans="4:8" ht="15" thickBot="1" x14ac:dyDescent="0.35">
      <c r="D508" s="117" t="s">
        <v>673</v>
      </c>
      <c r="E508" s="118">
        <v>951000280</v>
      </c>
      <c r="G508" s="117"/>
      <c r="H508" s="117"/>
    </row>
    <row r="509" spans="4:8" ht="15" thickBot="1" x14ac:dyDescent="0.35">
      <c r="D509" s="117" t="s">
        <v>674</v>
      </c>
      <c r="E509" s="118">
        <v>951000417</v>
      </c>
      <c r="G509" s="117"/>
      <c r="H509" s="117"/>
    </row>
    <row r="510" spans="4:8" ht="15" thickBot="1" x14ac:dyDescent="0.35">
      <c r="D510" s="117" t="s">
        <v>675</v>
      </c>
      <c r="E510" s="118">
        <v>951000823</v>
      </c>
      <c r="G510" s="117"/>
      <c r="H510" s="117"/>
    </row>
    <row r="511" spans="4:8" ht="15" thickBot="1" x14ac:dyDescent="0.35">
      <c r="D511" s="117" t="s">
        <v>676</v>
      </c>
      <c r="E511" s="118">
        <v>951001114</v>
      </c>
      <c r="G511" s="117"/>
      <c r="H511" s="117"/>
    </row>
    <row r="512" spans="4:8" ht="15" thickBot="1" x14ac:dyDescent="0.35">
      <c r="D512" s="117" t="s">
        <v>423</v>
      </c>
      <c r="E512" s="118">
        <v>951000703</v>
      </c>
      <c r="G512" s="117"/>
      <c r="H512" s="117"/>
    </row>
    <row r="513" spans="4:8" ht="15" thickBot="1" x14ac:dyDescent="0.35">
      <c r="D513" s="117" t="s">
        <v>677</v>
      </c>
      <c r="E513" s="118">
        <v>951000498</v>
      </c>
      <c r="G513" s="117"/>
      <c r="H513" s="117"/>
    </row>
    <row r="514" spans="4:8" ht="15" thickBot="1" x14ac:dyDescent="0.35">
      <c r="D514" s="117" t="s">
        <v>678</v>
      </c>
      <c r="E514" s="118">
        <v>951001223</v>
      </c>
      <c r="G514" s="117"/>
      <c r="H514" s="117"/>
    </row>
    <row r="515" spans="4:8" ht="27.6" thickBot="1" x14ac:dyDescent="0.35">
      <c r="D515" s="117" t="s">
        <v>679</v>
      </c>
      <c r="E515" s="118">
        <v>951001037</v>
      </c>
      <c r="G515" s="117"/>
      <c r="H515" s="117"/>
    </row>
    <row r="516" spans="4:8" ht="15" thickBot="1" x14ac:dyDescent="0.35">
      <c r="D516" s="117" t="s">
        <v>680</v>
      </c>
      <c r="E516" s="118">
        <v>951000238</v>
      </c>
      <c r="G516" s="117"/>
      <c r="H516" s="117"/>
    </row>
    <row r="517" spans="4:8" ht="15" thickBot="1" x14ac:dyDescent="0.35">
      <c r="D517" s="117" t="s">
        <v>681</v>
      </c>
      <c r="E517" s="118">
        <v>951000418</v>
      </c>
      <c r="G517" s="117"/>
      <c r="H517" s="117"/>
    </row>
    <row r="518" spans="4:8" ht="27.6" thickBot="1" x14ac:dyDescent="0.35">
      <c r="D518" s="117" t="s">
        <v>682</v>
      </c>
      <c r="E518" s="118">
        <v>951000440</v>
      </c>
      <c r="G518" s="117"/>
      <c r="H518" s="117"/>
    </row>
    <row r="519" spans="4:8" ht="15" thickBot="1" x14ac:dyDescent="0.35">
      <c r="D519" s="117" t="s">
        <v>683</v>
      </c>
      <c r="E519" s="118">
        <v>951001430</v>
      </c>
      <c r="G519" s="117"/>
      <c r="H519" s="117"/>
    </row>
    <row r="520" spans="4:8" ht="27.6" thickBot="1" x14ac:dyDescent="0.35">
      <c r="D520" s="117" t="s">
        <v>684</v>
      </c>
      <c r="E520" s="118">
        <v>951001325</v>
      </c>
      <c r="G520" s="117"/>
      <c r="H520" s="117"/>
    </row>
    <row r="521" spans="4:8" ht="15" thickBot="1" x14ac:dyDescent="0.35">
      <c r="D521" s="117" t="s">
        <v>685</v>
      </c>
      <c r="E521" s="118">
        <v>951000629</v>
      </c>
      <c r="G521" s="117"/>
      <c r="H521" s="117"/>
    </row>
    <row r="522" spans="4:8" ht="15" thickBot="1" x14ac:dyDescent="0.35">
      <c r="D522" s="117" t="s">
        <v>416</v>
      </c>
      <c r="E522" s="118">
        <v>951001004</v>
      </c>
      <c r="G522" s="117"/>
      <c r="H522" s="117"/>
    </row>
    <row r="523" spans="4:8" ht="15" thickBot="1" x14ac:dyDescent="0.35">
      <c r="D523" s="117" t="s">
        <v>686</v>
      </c>
      <c r="E523" s="118">
        <v>951000991</v>
      </c>
      <c r="G523" s="117"/>
      <c r="H523" s="117"/>
    </row>
    <row r="524" spans="4:8" ht="15" thickBot="1" x14ac:dyDescent="0.35">
      <c r="D524" s="117" t="s">
        <v>687</v>
      </c>
      <c r="E524" s="118">
        <v>951000888</v>
      </c>
      <c r="G524" s="117"/>
      <c r="H524" s="117"/>
    </row>
    <row r="525" spans="4:8" ht="27.6" thickBot="1" x14ac:dyDescent="0.35">
      <c r="D525" s="117" t="s">
        <v>688</v>
      </c>
      <c r="E525" s="118">
        <v>951001105</v>
      </c>
      <c r="G525" s="117"/>
      <c r="H525" s="117"/>
    </row>
    <row r="526" spans="4:8" ht="15" thickBot="1" x14ac:dyDescent="0.35">
      <c r="D526" s="117" t="s">
        <v>689</v>
      </c>
      <c r="E526" s="118">
        <v>951001331</v>
      </c>
      <c r="G526" s="117"/>
      <c r="H526" s="117"/>
    </row>
    <row r="527" spans="4:8" ht="15" thickBot="1" x14ac:dyDescent="0.35">
      <c r="D527" s="117" t="s">
        <v>690</v>
      </c>
      <c r="E527" s="118">
        <v>951000195</v>
      </c>
      <c r="G527" s="117"/>
      <c r="H527" s="117"/>
    </row>
    <row r="528" spans="4:8" ht="27.6" thickBot="1" x14ac:dyDescent="0.35">
      <c r="D528" s="117" t="s">
        <v>691</v>
      </c>
      <c r="E528" s="118">
        <v>951000027</v>
      </c>
      <c r="G528" s="117"/>
      <c r="H528" s="117"/>
    </row>
    <row r="529" spans="4:8" ht="15" thickBot="1" x14ac:dyDescent="0.35">
      <c r="D529" s="117" t="s">
        <v>692</v>
      </c>
      <c r="E529" s="118">
        <v>951000597</v>
      </c>
      <c r="G529" s="117"/>
      <c r="H529" s="117"/>
    </row>
    <row r="530" spans="4:8" ht="27.6" thickBot="1" x14ac:dyDescent="0.35">
      <c r="D530" s="117" t="s">
        <v>693</v>
      </c>
      <c r="E530" s="118">
        <v>951001027</v>
      </c>
      <c r="G530" s="117"/>
      <c r="H530" s="117"/>
    </row>
    <row r="531" spans="4:8" ht="27.6" thickBot="1" x14ac:dyDescent="0.35">
      <c r="D531" s="117" t="s">
        <v>694</v>
      </c>
      <c r="E531" s="118">
        <v>951000556</v>
      </c>
      <c r="G531" s="117"/>
      <c r="H531" s="117"/>
    </row>
    <row r="532" spans="4:8" ht="15" thickBot="1" x14ac:dyDescent="0.35">
      <c r="D532" s="117" t="s">
        <v>695</v>
      </c>
      <c r="E532" s="118">
        <v>951000582</v>
      </c>
      <c r="G532" s="117"/>
      <c r="H532" s="117"/>
    </row>
    <row r="533" spans="4:8" ht="27.6" thickBot="1" x14ac:dyDescent="0.35">
      <c r="D533" s="117" t="s">
        <v>696</v>
      </c>
      <c r="E533" s="118">
        <v>951000826</v>
      </c>
      <c r="G533" s="117"/>
      <c r="H533" s="117"/>
    </row>
    <row r="534" spans="4:8" ht="15" thickBot="1" x14ac:dyDescent="0.35">
      <c r="D534" s="117" t="s">
        <v>697</v>
      </c>
      <c r="E534" s="118">
        <v>951000218</v>
      </c>
      <c r="G534" s="117"/>
      <c r="H534" s="117"/>
    </row>
    <row r="535" spans="4:8" ht="27.6" thickBot="1" x14ac:dyDescent="0.35">
      <c r="D535" s="117" t="s">
        <v>698</v>
      </c>
      <c r="E535" s="118">
        <v>951000138</v>
      </c>
      <c r="G535" s="117"/>
      <c r="H535" s="117"/>
    </row>
    <row r="536" spans="4:8" ht="15" thickBot="1" x14ac:dyDescent="0.35">
      <c r="D536" s="117" t="s">
        <v>699</v>
      </c>
      <c r="E536" s="118">
        <v>951000762</v>
      </c>
      <c r="G536" s="117"/>
      <c r="H536" s="117"/>
    </row>
    <row r="537" spans="4:8" ht="15" thickBot="1" x14ac:dyDescent="0.35">
      <c r="D537" s="117" t="s">
        <v>700</v>
      </c>
      <c r="E537" s="118">
        <v>951000332</v>
      </c>
      <c r="G537" s="117"/>
      <c r="H537" s="117"/>
    </row>
    <row r="538" spans="4:8" ht="15" thickBot="1" x14ac:dyDescent="0.35">
      <c r="D538" s="117" t="s">
        <v>701</v>
      </c>
      <c r="E538" s="118">
        <v>951000194</v>
      </c>
      <c r="G538" s="117"/>
      <c r="H538" s="117"/>
    </row>
    <row r="539" spans="4:8" ht="15" thickBot="1" x14ac:dyDescent="0.35">
      <c r="D539" s="117" t="s">
        <v>702</v>
      </c>
      <c r="E539" s="118">
        <v>951000548</v>
      </c>
      <c r="G539" s="117"/>
      <c r="H539" s="117"/>
    </row>
    <row r="540" spans="4:8" ht="15" thickBot="1" x14ac:dyDescent="0.35">
      <c r="D540" s="117" t="s">
        <v>703</v>
      </c>
      <c r="E540" s="118">
        <v>951000725</v>
      </c>
      <c r="G540" s="117"/>
      <c r="H540" s="117"/>
    </row>
    <row r="541" spans="4:8" ht="27.6" thickBot="1" x14ac:dyDescent="0.35">
      <c r="D541" s="117" t="s">
        <v>704</v>
      </c>
      <c r="E541" s="118">
        <v>951000684</v>
      </c>
      <c r="G541" s="117"/>
      <c r="H541" s="117"/>
    </row>
    <row r="542" spans="4:8" ht="15" thickBot="1" x14ac:dyDescent="0.35">
      <c r="D542" s="117" t="s">
        <v>705</v>
      </c>
      <c r="E542" s="118">
        <v>951000658</v>
      </c>
      <c r="G542" s="117"/>
      <c r="H542" s="117"/>
    </row>
    <row r="543" spans="4:8" ht="27.6" thickBot="1" x14ac:dyDescent="0.35">
      <c r="D543" s="117" t="s">
        <v>706</v>
      </c>
      <c r="E543" s="118">
        <v>951000148</v>
      </c>
      <c r="G543" s="117"/>
      <c r="H543" s="117"/>
    </row>
    <row r="544" spans="4:8" ht="15" thickBot="1" x14ac:dyDescent="0.35">
      <c r="D544" s="117" t="s">
        <v>707</v>
      </c>
      <c r="E544" s="118">
        <v>951001145</v>
      </c>
      <c r="G544" s="117"/>
      <c r="H544" s="117"/>
    </row>
    <row r="545" spans="4:8" ht="15" thickBot="1" x14ac:dyDescent="0.35">
      <c r="D545" s="117" t="s">
        <v>708</v>
      </c>
      <c r="E545" s="118">
        <v>951000348</v>
      </c>
      <c r="G545" s="117"/>
      <c r="H545" s="117"/>
    </row>
    <row r="546" spans="4:8" ht="15" thickBot="1" x14ac:dyDescent="0.35">
      <c r="D546" s="117" t="s">
        <v>709</v>
      </c>
      <c r="E546" s="118">
        <v>951000484</v>
      </c>
      <c r="G546" s="117"/>
      <c r="H546" s="117"/>
    </row>
    <row r="547" spans="4:8" ht="15" thickBot="1" x14ac:dyDescent="0.35">
      <c r="D547" s="117" t="s">
        <v>710</v>
      </c>
      <c r="E547" s="118">
        <v>951000365</v>
      </c>
      <c r="G547" s="117"/>
      <c r="H547" s="117"/>
    </row>
    <row r="548" spans="4:8" ht="15" thickBot="1" x14ac:dyDescent="0.35">
      <c r="D548" s="117" t="s">
        <v>711</v>
      </c>
      <c r="E548" s="118">
        <v>951000620</v>
      </c>
      <c r="G548" s="117"/>
      <c r="H548" s="117"/>
    </row>
    <row r="549" spans="4:8" ht="15" thickBot="1" x14ac:dyDescent="0.35">
      <c r="D549" s="117" t="s">
        <v>712</v>
      </c>
      <c r="E549" s="118">
        <v>951001316</v>
      </c>
      <c r="G549" s="117"/>
      <c r="H549" s="117"/>
    </row>
    <row r="550" spans="4:8" ht="27.6" thickBot="1" x14ac:dyDescent="0.35">
      <c r="D550" s="117" t="s">
        <v>713</v>
      </c>
      <c r="E550" s="118">
        <v>951001000</v>
      </c>
      <c r="G550" s="117"/>
      <c r="H550" s="117"/>
    </row>
    <row r="551" spans="4:8" ht="27.6" thickBot="1" x14ac:dyDescent="0.35">
      <c r="D551" s="117" t="s">
        <v>714</v>
      </c>
      <c r="E551" s="118">
        <v>951000735</v>
      </c>
      <c r="G551" s="117"/>
      <c r="H551" s="117"/>
    </row>
    <row r="552" spans="4:8" ht="15" thickBot="1" x14ac:dyDescent="0.35">
      <c r="D552" s="117" t="s">
        <v>715</v>
      </c>
      <c r="E552" s="118">
        <v>951000242</v>
      </c>
      <c r="G552" s="117"/>
      <c r="H552" s="117"/>
    </row>
    <row r="553" spans="4:8" ht="27.6" thickBot="1" x14ac:dyDescent="0.35">
      <c r="D553" s="117" t="s">
        <v>716</v>
      </c>
      <c r="E553" s="118">
        <v>951001081</v>
      </c>
      <c r="G553" s="117"/>
      <c r="H553" s="117"/>
    </row>
    <row r="554" spans="4:8" ht="15" thickBot="1" x14ac:dyDescent="0.35">
      <c r="D554" s="117" t="s">
        <v>717</v>
      </c>
      <c r="E554" s="118">
        <v>951000397</v>
      </c>
      <c r="G554" s="117"/>
      <c r="H554" s="117"/>
    </row>
    <row r="555" spans="4:8" ht="15" thickBot="1" x14ac:dyDescent="0.35">
      <c r="D555" s="117" t="s">
        <v>718</v>
      </c>
      <c r="E555" s="118">
        <v>951001118</v>
      </c>
      <c r="G555" s="117"/>
      <c r="H555" s="117"/>
    </row>
    <row r="556" spans="4:8" ht="15" thickBot="1" x14ac:dyDescent="0.35">
      <c r="D556" s="117" t="s">
        <v>719</v>
      </c>
      <c r="E556" s="118">
        <v>951001032</v>
      </c>
      <c r="G556" s="117"/>
      <c r="H556" s="117"/>
    </row>
    <row r="557" spans="4:8" ht="15" thickBot="1" x14ac:dyDescent="0.35">
      <c r="D557" s="117" t="s">
        <v>720</v>
      </c>
      <c r="E557" s="118">
        <v>951000284</v>
      </c>
      <c r="G557" s="117"/>
      <c r="H557" s="117"/>
    </row>
    <row r="558" spans="4:8" ht="15" thickBot="1" x14ac:dyDescent="0.35">
      <c r="D558" s="117" t="s">
        <v>721</v>
      </c>
      <c r="E558" s="118">
        <v>951001015</v>
      </c>
      <c r="G558" s="117"/>
      <c r="H558" s="117"/>
    </row>
    <row r="559" spans="4:8" ht="15" thickBot="1" x14ac:dyDescent="0.35">
      <c r="D559" s="117" t="s">
        <v>722</v>
      </c>
      <c r="E559" s="118">
        <v>951000698</v>
      </c>
      <c r="G559" s="117"/>
      <c r="H559" s="117"/>
    </row>
    <row r="560" spans="4:8" ht="15" thickBot="1" x14ac:dyDescent="0.35">
      <c r="D560" s="117" t="s">
        <v>723</v>
      </c>
      <c r="E560" s="118">
        <v>951001389</v>
      </c>
      <c r="G560" s="117"/>
      <c r="H560" s="117"/>
    </row>
    <row r="561" spans="4:8" ht="15" thickBot="1" x14ac:dyDescent="0.35">
      <c r="D561" s="117" t="s">
        <v>724</v>
      </c>
      <c r="E561" s="118">
        <v>951000520</v>
      </c>
      <c r="G561" s="117"/>
      <c r="H561" s="117"/>
    </row>
    <row r="562" spans="4:8" ht="15" thickBot="1" x14ac:dyDescent="0.35">
      <c r="D562" s="117" t="s">
        <v>725</v>
      </c>
      <c r="E562" s="118">
        <v>951000197</v>
      </c>
      <c r="G562" s="117"/>
      <c r="H562" s="117"/>
    </row>
    <row r="563" spans="4:8" ht="15" thickBot="1" x14ac:dyDescent="0.35">
      <c r="D563" s="117" t="s">
        <v>726</v>
      </c>
      <c r="E563" s="118">
        <v>951000199</v>
      </c>
      <c r="G563" s="117"/>
      <c r="H563" s="117"/>
    </row>
    <row r="564" spans="4:8" ht="27.6" thickBot="1" x14ac:dyDescent="0.35">
      <c r="D564" s="117" t="s">
        <v>727</v>
      </c>
      <c r="E564" s="118">
        <v>951000172</v>
      </c>
      <c r="G564" s="117"/>
      <c r="H564" s="117"/>
    </row>
    <row r="565" spans="4:8" ht="15" thickBot="1" x14ac:dyDescent="0.35">
      <c r="D565" s="117" t="s">
        <v>728</v>
      </c>
      <c r="E565" s="118">
        <v>951000380</v>
      </c>
      <c r="G565" s="117"/>
      <c r="H565" s="117"/>
    </row>
    <row r="566" spans="4:8" ht="27.6" thickBot="1" x14ac:dyDescent="0.35">
      <c r="D566" s="117" t="s">
        <v>729</v>
      </c>
      <c r="E566" s="118">
        <v>951001197</v>
      </c>
      <c r="G566" s="117"/>
      <c r="H566" s="117"/>
    </row>
    <row r="567" spans="4:8" ht="27.6" thickBot="1" x14ac:dyDescent="0.35">
      <c r="D567" s="117" t="s">
        <v>730</v>
      </c>
      <c r="E567" s="118">
        <v>951000004</v>
      </c>
      <c r="G567" s="117"/>
      <c r="H567" s="117"/>
    </row>
    <row r="568" spans="4:8" ht="15" thickBot="1" x14ac:dyDescent="0.35">
      <c r="D568" s="117" t="s">
        <v>731</v>
      </c>
      <c r="E568" s="118">
        <v>957000060</v>
      </c>
      <c r="G568" s="117"/>
      <c r="H568" s="117"/>
    </row>
    <row r="569" spans="4:8" ht="15" thickBot="1" x14ac:dyDescent="0.35">
      <c r="D569" s="117" t="s">
        <v>732</v>
      </c>
      <c r="E569" s="118">
        <v>1951001431</v>
      </c>
      <c r="G569" s="117"/>
      <c r="H569" s="117"/>
    </row>
    <row r="570" spans="4:8" ht="27.6" thickBot="1" x14ac:dyDescent="0.35">
      <c r="D570" s="117" t="s">
        <v>733</v>
      </c>
      <c r="E570" s="118">
        <v>951000890</v>
      </c>
      <c r="G570" s="117"/>
      <c r="H570" s="117"/>
    </row>
    <row r="571" spans="4:8" ht="15" thickBot="1" x14ac:dyDescent="0.35">
      <c r="D571" s="117" t="s">
        <v>734</v>
      </c>
      <c r="E571" s="118">
        <v>951001026</v>
      </c>
      <c r="G571" s="117"/>
      <c r="H571" s="117"/>
    </row>
    <row r="572" spans="4:8" ht="15" thickBot="1" x14ac:dyDescent="0.35">
      <c r="D572" s="117" t="s">
        <v>735</v>
      </c>
      <c r="E572" s="118">
        <v>951000730</v>
      </c>
      <c r="G572" s="117"/>
      <c r="H572" s="117"/>
    </row>
    <row r="573" spans="4:8" ht="27.6" thickBot="1" x14ac:dyDescent="0.35">
      <c r="D573" s="117" t="s">
        <v>736</v>
      </c>
      <c r="E573" s="118">
        <v>951001057</v>
      </c>
      <c r="G573" s="117"/>
      <c r="H573" s="117"/>
    </row>
    <row r="574" spans="4:8" ht="15" thickBot="1" x14ac:dyDescent="0.35">
      <c r="D574" s="117" t="s">
        <v>737</v>
      </c>
      <c r="E574" s="118">
        <v>957000015</v>
      </c>
      <c r="G574" s="117"/>
      <c r="H574" s="117"/>
    </row>
    <row r="575" spans="4:8" ht="15" thickBot="1" x14ac:dyDescent="0.35">
      <c r="D575" s="117" t="s">
        <v>738</v>
      </c>
      <c r="E575" s="118">
        <v>951000763</v>
      </c>
      <c r="G575" s="117"/>
      <c r="H575" s="117"/>
    </row>
    <row r="576" spans="4:8" ht="15" thickBot="1" x14ac:dyDescent="0.35">
      <c r="D576" s="117" t="s">
        <v>739</v>
      </c>
      <c r="E576" s="118">
        <v>951000563</v>
      </c>
      <c r="G576" s="117"/>
      <c r="H576" s="117"/>
    </row>
    <row r="577" spans="4:8" ht="15" thickBot="1" x14ac:dyDescent="0.35">
      <c r="D577" s="117" t="s">
        <v>740</v>
      </c>
      <c r="E577" s="118">
        <v>951000059</v>
      </c>
      <c r="G577" s="117"/>
      <c r="H577" s="117"/>
    </row>
    <row r="578" spans="4:8" ht="15" thickBot="1" x14ac:dyDescent="0.35">
      <c r="D578" s="117" t="s">
        <v>741</v>
      </c>
      <c r="E578" s="118">
        <v>951000825</v>
      </c>
      <c r="G578" s="117"/>
      <c r="H578" s="117"/>
    </row>
    <row r="579" spans="4:8" ht="27.6" thickBot="1" x14ac:dyDescent="0.35">
      <c r="D579" s="117" t="s">
        <v>742</v>
      </c>
      <c r="E579" s="118">
        <v>951001310</v>
      </c>
      <c r="G579" s="117"/>
      <c r="H579" s="117"/>
    </row>
    <row r="580" spans="4:8" ht="27.6" thickBot="1" x14ac:dyDescent="0.35">
      <c r="D580" s="117" t="s">
        <v>742</v>
      </c>
      <c r="E580" s="118">
        <v>951001320</v>
      </c>
      <c r="G580" s="117"/>
      <c r="H580" s="117"/>
    </row>
    <row r="581" spans="4:8" ht="15" thickBot="1" x14ac:dyDescent="0.35">
      <c r="D581" s="117" t="s">
        <v>743</v>
      </c>
      <c r="E581" s="118">
        <v>951000025</v>
      </c>
      <c r="G581" s="117"/>
      <c r="H581" s="117"/>
    </row>
    <row r="582" spans="4:8" ht="15" thickBot="1" x14ac:dyDescent="0.35">
      <c r="D582" s="117" t="s">
        <v>744</v>
      </c>
      <c r="E582" s="118">
        <v>951000855</v>
      </c>
      <c r="G582" s="117"/>
      <c r="H582" s="117"/>
    </row>
    <row r="583" spans="4:8" ht="15" thickBot="1" x14ac:dyDescent="0.35">
      <c r="D583" s="117" t="s">
        <v>745</v>
      </c>
      <c r="E583" s="118">
        <v>951000069</v>
      </c>
      <c r="G583" s="117"/>
      <c r="H583" s="117"/>
    </row>
    <row r="584" spans="4:8" ht="15" thickBot="1" x14ac:dyDescent="0.35">
      <c r="D584" s="117" t="s">
        <v>746</v>
      </c>
      <c r="E584" s="118">
        <v>1951001370</v>
      </c>
      <c r="G584" s="117"/>
      <c r="H584" s="117"/>
    </row>
    <row r="585" spans="4:8" ht="15" thickBot="1" x14ac:dyDescent="0.35">
      <c r="D585" s="117" t="s">
        <v>747</v>
      </c>
      <c r="E585" s="118">
        <v>951000824</v>
      </c>
      <c r="G585" s="117"/>
      <c r="H585" s="117"/>
    </row>
    <row r="586" spans="4:8" ht="15" thickBot="1" x14ac:dyDescent="0.35">
      <c r="D586" s="117" t="s">
        <v>748</v>
      </c>
      <c r="E586" s="118">
        <v>951000106</v>
      </c>
      <c r="G586" s="117"/>
      <c r="H586" s="117"/>
    </row>
    <row r="587" spans="4:8" ht="15" thickBot="1" x14ac:dyDescent="0.35">
      <c r="D587" s="117" t="s">
        <v>749</v>
      </c>
      <c r="E587" s="118">
        <v>951000243</v>
      </c>
      <c r="G587" s="117"/>
      <c r="H587" s="117"/>
    </row>
    <row r="588" spans="4:8" ht="15" thickBot="1" x14ac:dyDescent="0.35">
      <c r="D588" s="117" t="s">
        <v>750</v>
      </c>
      <c r="E588" s="118">
        <v>951000208</v>
      </c>
      <c r="G588" s="117"/>
      <c r="H588" s="117"/>
    </row>
    <row r="589" spans="4:8" ht="27.6" thickBot="1" x14ac:dyDescent="0.35">
      <c r="D589" s="117" t="s">
        <v>751</v>
      </c>
      <c r="E589" s="118">
        <v>951000612</v>
      </c>
      <c r="G589" s="117"/>
      <c r="H589" s="117"/>
    </row>
    <row r="590" spans="4:8" ht="15" thickBot="1" x14ac:dyDescent="0.35">
      <c r="D590" s="117" t="s">
        <v>752</v>
      </c>
      <c r="E590" s="118">
        <v>951000577</v>
      </c>
      <c r="G590" s="117"/>
      <c r="H590" s="117"/>
    </row>
    <row r="591" spans="4:8" ht="27.6" thickBot="1" x14ac:dyDescent="0.35">
      <c r="D591" s="117" t="s">
        <v>753</v>
      </c>
      <c r="E591" s="118">
        <v>951001157</v>
      </c>
      <c r="G591" s="117"/>
      <c r="H591" s="117"/>
    </row>
    <row r="592" spans="4:8" ht="15" thickBot="1" x14ac:dyDescent="0.35">
      <c r="D592" s="117" t="s">
        <v>754</v>
      </c>
      <c r="E592" s="118">
        <v>951000024</v>
      </c>
      <c r="G592" s="117"/>
      <c r="H592" s="117"/>
    </row>
    <row r="593" spans="4:8" ht="15" thickBot="1" x14ac:dyDescent="0.35">
      <c r="D593" s="117" t="s">
        <v>755</v>
      </c>
      <c r="E593" s="118">
        <v>951000127</v>
      </c>
      <c r="G593" s="117"/>
      <c r="H593" s="117"/>
    </row>
    <row r="594" spans="4:8" ht="15" thickBot="1" x14ac:dyDescent="0.35">
      <c r="D594" s="117" t="s">
        <v>756</v>
      </c>
      <c r="E594" s="118">
        <v>957000050</v>
      </c>
      <c r="G594" s="117"/>
      <c r="H594" s="117"/>
    </row>
    <row r="595" spans="4:8" ht="15" thickBot="1" x14ac:dyDescent="0.35">
      <c r="D595" s="117" t="s">
        <v>757</v>
      </c>
      <c r="E595" s="118">
        <v>957000172</v>
      </c>
      <c r="G595" s="117"/>
      <c r="H595" s="117"/>
    </row>
    <row r="596" spans="4:8" ht="27.6" thickBot="1" x14ac:dyDescent="0.35">
      <c r="D596" s="117" t="s">
        <v>442</v>
      </c>
      <c r="E596" s="118">
        <v>957000116</v>
      </c>
      <c r="G596" s="117"/>
      <c r="H596" s="117"/>
    </row>
    <row r="597" spans="4:8" ht="27.6" thickBot="1" x14ac:dyDescent="0.35">
      <c r="D597" s="117" t="s">
        <v>758</v>
      </c>
      <c r="E597" s="118">
        <v>957000192</v>
      </c>
      <c r="G597" s="117"/>
      <c r="H597" s="117"/>
    </row>
    <row r="598" spans="4:8" ht="15" thickBot="1" x14ac:dyDescent="0.35">
      <c r="D598" s="117" t="s">
        <v>759</v>
      </c>
      <c r="E598" s="118">
        <v>957000171</v>
      </c>
      <c r="G598" s="117"/>
      <c r="H598" s="117"/>
    </row>
    <row r="599" spans="4:8" ht="15" thickBot="1" x14ac:dyDescent="0.35">
      <c r="D599" s="117" t="s">
        <v>482</v>
      </c>
      <c r="E599" s="118">
        <v>957000191</v>
      </c>
      <c r="G599" s="117"/>
      <c r="H599" s="117"/>
    </row>
    <row r="600" spans="4:8" ht="15" thickBot="1" x14ac:dyDescent="0.35">
      <c r="D600" s="117" t="s">
        <v>760</v>
      </c>
      <c r="E600" s="118">
        <v>957000186</v>
      </c>
      <c r="G600" s="117"/>
      <c r="H600" s="117"/>
    </row>
    <row r="601" spans="4:8" ht="15" thickBot="1" x14ac:dyDescent="0.35">
      <c r="D601" s="117" t="s">
        <v>761</v>
      </c>
      <c r="E601" s="118">
        <v>957000156</v>
      </c>
      <c r="G601" s="117"/>
      <c r="H601" s="117"/>
    </row>
    <row r="602" spans="4:8" ht="15" thickBot="1" x14ac:dyDescent="0.35">
      <c r="D602" s="117" t="s">
        <v>762</v>
      </c>
      <c r="E602" s="118">
        <v>957000170</v>
      </c>
      <c r="G602" s="117"/>
      <c r="H602" s="117"/>
    </row>
    <row r="603" spans="4:8" ht="15" thickBot="1" x14ac:dyDescent="0.35">
      <c r="D603" s="117" t="s">
        <v>763</v>
      </c>
      <c r="E603" s="118">
        <v>957000110</v>
      </c>
      <c r="G603" s="117"/>
      <c r="H603" s="117"/>
    </row>
    <row r="604" spans="4:8" ht="15" thickBot="1" x14ac:dyDescent="0.35">
      <c r="D604" s="117" t="s">
        <v>764</v>
      </c>
      <c r="E604" s="118">
        <v>957000135</v>
      </c>
      <c r="G604" s="117"/>
      <c r="H604" s="117"/>
    </row>
    <row r="605" spans="4:8" ht="15" thickBot="1" x14ac:dyDescent="0.35">
      <c r="D605" s="117" t="s">
        <v>765</v>
      </c>
      <c r="E605" s="118">
        <v>957000158</v>
      </c>
      <c r="G605" s="117"/>
      <c r="H605" s="117"/>
    </row>
    <row r="606" spans="4:8" ht="15" thickBot="1" x14ac:dyDescent="0.35">
      <c r="D606" s="117" t="s">
        <v>766</v>
      </c>
      <c r="E606" s="118">
        <v>1957000084</v>
      </c>
      <c r="G606" s="117"/>
      <c r="H606" s="117"/>
    </row>
    <row r="607" spans="4:8" ht="27.6" thickBot="1" x14ac:dyDescent="0.35">
      <c r="D607" s="117" t="s">
        <v>767</v>
      </c>
      <c r="E607" s="118">
        <v>1957000083</v>
      </c>
      <c r="G607" s="117"/>
      <c r="H607" s="117"/>
    </row>
    <row r="608" spans="4:8" ht="15" thickBot="1" x14ac:dyDescent="0.35">
      <c r="D608" s="117" t="s">
        <v>768</v>
      </c>
      <c r="E608" s="118">
        <v>957000157</v>
      </c>
      <c r="G608" s="117"/>
      <c r="H608" s="117"/>
    </row>
    <row r="609" spans="4:8" ht="27.6" thickBot="1" x14ac:dyDescent="0.35">
      <c r="D609" s="117" t="s">
        <v>769</v>
      </c>
      <c r="E609" s="118">
        <v>957000189</v>
      </c>
      <c r="G609" s="117"/>
      <c r="H609" s="117"/>
    </row>
    <row r="610" spans="4:8" ht="15" thickBot="1" x14ac:dyDescent="0.35">
      <c r="D610" s="117" t="s">
        <v>664</v>
      </c>
      <c r="E610" s="118">
        <v>957000185</v>
      </c>
      <c r="G610" s="117"/>
      <c r="H610" s="117"/>
    </row>
    <row r="611" spans="4:8" ht="15" thickBot="1" x14ac:dyDescent="0.35">
      <c r="D611" s="117" t="s">
        <v>770</v>
      </c>
      <c r="E611" s="118">
        <v>951000487</v>
      </c>
      <c r="G611" s="117"/>
      <c r="H611" s="117"/>
    </row>
    <row r="612" spans="4:8" ht="15" thickBot="1" x14ac:dyDescent="0.35">
      <c r="D612" s="117" t="s">
        <v>731</v>
      </c>
      <c r="E612" s="118">
        <v>957000111</v>
      </c>
      <c r="G612" s="117"/>
      <c r="H612" s="117"/>
    </row>
    <row r="613" spans="4:8" ht="15" thickBot="1" x14ac:dyDescent="0.35">
      <c r="D613" s="117" t="s">
        <v>771</v>
      </c>
      <c r="E613" s="118">
        <v>957000132</v>
      </c>
      <c r="G613" s="117"/>
      <c r="H613" s="117"/>
    </row>
    <row r="614" spans="4:8" ht="15" thickBot="1" x14ac:dyDescent="0.35">
      <c r="D614" s="117" t="s">
        <v>772</v>
      </c>
      <c r="E614" s="118">
        <v>957000137</v>
      </c>
      <c r="G614" s="117"/>
      <c r="H614" s="117"/>
    </row>
    <row r="615" spans="4:8" ht="15" thickBot="1" x14ac:dyDescent="0.35">
      <c r="D615" s="117" t="s">
        <v>773</v>
      </c>
      <c r="E615" s="118">
        <v>957000180</v>
      </c>
      <c r="G615" s="117"/>
      <c r="H615" s="117"/>
    </row>
    <row r="616" spans="4:8" ht="15" thickBot="1" x14ac:dyDescent="0.35">
      <c r="D616" s="117" t="s">
        <v>774</v>
      </c>
      <c r="E616" s="118">
        <v>957000175</v>
      </c>
      <c r="G616" s="117"/>
      <c r="H616" s="117"/>
    </row>
    <row r="617" spans="4:8" ht="15" thickBot="1" x14ac:dyDescent="0.35">
      <c r="D617" s="117" t="s">
        <v>775</v>
      </c>
      <c r="E617" s="118">
        <v>957000165</v>
      </c>
      <c r="G617" s="117"/>
      <c r="H617" s="117"/>
    </row>
    <row r="618" spans="4:8" ht="15" thickBot="1" x14ac:dyDescent="0.35">
      <c r="D618" s="117" t="s">
        <v>776</v>
      </c>
      <c r="E618" s="118">
        <v>957000138</v>
      </c>
      <c r="G618" s="117"/>
      <c r="H618" s="117"/>
    </row>
    <row r="619" spans="4:8" ht="27.6" thickBot="1" x14ac:dyDescent="0.35">
      <c r="D619" s="117" t="s">
        <v>777</v>
      </c>
      <c r="E619" s="118">
        <v>957000187</v>
      </c>
      <c r="G619" s="117"/>
      <c r="H619" s="117"/>
    </row>
    <row r="620" spans="4:8" ht="27.6" thickBot="1" x14ac:dyDescent="0.35">
      <c r="D620" s="117" t="s">
        <v>778</v>
      </c>
      <c r="E620" s="118">
        <v>957000190</v>
      </c>
      <c r="G620" s="117"/>
      <c r="H620" s="117"/>
    </row>
    <row r="621" spans="4:8" ht="15" thickBot="1" x14ac:dyDescent="0.35">
      <c r="D621" s="117" t="s">
        <v>779</v>
      </c>
      <c r="E621" s="118">
        <v>957000160</v>
      </c>
      <c r="G621" s="117"/>
      <c r="H621" s="117"/>
    </row>
    <row r="622" spans="4:8" ht="27.6" thickBot="1" x14ac:dyDescent="0.35">
      <c r="D622" s="117" t="s">
        <v>486</v>
      </c>
      <c r="E622" s="118">
        <v>957000188</v>
      </c>
      <c r="G622" s="117"/>
      <c r="H622" s="117"/>
    </row>
    <row r="623" spans="4:8" ht="15" thickBot="1" x14ac:dyDescent="0.35">
      <c r="D623" s="117" t="s">
        <v>780</v>
      </c>
      <c r="E623" s="118">
        <v>957000155</v>
      </c>
      <c r="G623" s="117"/>
      <c r="H623" s="117"/>
    </row>
    <row r="624" spans="4:8" ht="15" thickBot="1" x14ac:dyDescent="0.35">
      <c r="D624" s="117" t="s">
        <v>196</v>
      </c>
      <c r="E624" s="118">
        <v>957000140</v>
      </c>
      <c r="G624" s="117"/>
      <c r="H624" s="117"/>
    </row>
    <row r="625" spans="4:8" ht="15" thickBot="1" x14ac:dyDescent="0.35">
      <c r="D625" s="117" t="s">
        <v>781</v>
      </c>
      <c r="E625" s="118">
        <v>957000159</v>
      </c>
      <c r="G625" s="117"/>
      <c r="H625" s="117"/>
    </row>
    <row r="626" spans="4:8" ht="15" thickBot="1" x14ac:dyDescent="0.35">
      <c r="D626" s="117" t="s">
        <v>782</v>
      </c>
      <c r="E626" s="118">
        <v>957000130</v>
      </c>
      <c r="G626" s="117"/>
      <c r="H626" s="117"/>
    </row>
    <row r="627" spans="4:8" ht="15" thickBot="1" x14ac:dyDescent="0.35">
      <c r="D627" s="117" t="s">
        <v>199</v>
      </c>
      <c r="E627" s="118">
        <v>957000139</v>
      </c>
      <c r="G627" s="117"/>
      <c r="H627" s="117"/>
    </row>
    <row r="628" spans="4:8" ht="15" thickBot="1" x14ac:dyDescent="0.35">
      <c r="D628" s="117" t="s">
        <v>783</v>
      </c>
      <c r="E628" s="118">
        <v>957000100</v>
      </c>
      <c r="G628" s="117"/>
      <c r="H628" s="117"/>
    </row>
    <row r="629" spans="4:8" ht="15" thickBot="1" x14ac:dyDescent="0.35">
      <c r="D629" s="117" t="s">
        <v>409</v>
      </c>
      <c r="E629" s="118">
        <v>957000166</v>
      </c>
      <c r="G629" s="117"/>
      <c r="H629" s="117"/>
    </row>
    <row r="630" spans="4:8" ht="15" thickBot="1" x14ac:dyDescent="0.35">
      <c r="D630" s="117" t="s">
        <v>784</v>
      </c>
      <c r="E630" s="118">
        <v>957000125</v>
      </c>
      <c r="G630" s="117"/>
      <c r="H630" s="117"/>
    </row>
    <row r="631" spans="4:8" ht="27.6" thickBot="1" x14ac:dyDescent="0.35">
      <c r="D631" s="117" t="s">
        <v>349</v>
      </c>
      <c r="E631" s="118">
        <v>957000196</v>
      </c>
      <c r="G631" s="117"/>
      <c r="H631" s="117"/>
    </row>
    <row r="632" spans="4:8" ht="15" thickBot="1" x14ac:dyDescent="0.35">
      <c r="D632" s="117" t="s">
        <v>785</v>
      </c>
      <c r="E632" s="118">
        <v>957000065</v>
      </c>
      <c r="G632" s="117"/>
      <c r="H632" s="117"/>
    </row>
    <row r="633" spans="4:8" ht="15" thickBot="1" x14ac:dyDescent="0.35">
      <c r="D633" s="117" t="s">
        <v>786</v>
      </c>
      <c r="E633" s="118">
        <v>957000095</v>
      </c>
      <c r="G633" s="117"/>
      <c r="H633" s="117"/>
    </row>
    <row r="634" spans="4:8" ht="15" thickBot="1" x14ac:dyDescent="0.35">
      <c r="D634" s="117" t="s">
        <v>787</v>
      </c>
      <c r="E634" s="118">
        <v>957000120</v>
      </c>
      <c r="G634" s="117"/>
      <c r="H634" s="117"/>
    </row>
    <row r="635" spans="4:8" ht="15" thickBot="1" x14ac:dyDescent="0.35">
      <c r="D635" s="117" t="s">
        <v>788</v>
      </c>
      <c r="E635" s="118">
        <v>957000117</v>
      </c>
      <c r="G635" s="117"/>
      <c r="H635" s="117"/>
    </row>
    <row r="636" spans="4:8" ht="15" thickBot="1" x14ac:dyDescent="0.35">
      <c r="D636" s="117" t="s">
        <v>491</v>
      </c>
      <c r="E636" s="118">
        <v>957000115</v>
      </c>
      <c r="G636" s="117"/>
      <c r="H636" s="117"/>
    </row>
    <row r="637" spans="4:8" ht="15" thickBot="1" x14ac:dyDescent="0.35">
      <c r="D637" s="117" t="s">
        <v>789</v>
      </c>
      <c r="E637" s="118">
        <v>957000055</v>
      </c>
      <c r="G637" s="117"/>
      <c r="H637" s="117"/>
    </row>
    <row r="638" spans="4:8" ht="15" thickBot="1" x14ac:dyDescent="0.35">
      <c r="D638" s="117" t="s">
        <v>513</v>
      </c>
      <c r="E638" s="118">
        <v>957000076</v>
      </c>
      <c r="G638" s="117"/>
      <c r="H638" s="117"/>
    </row>
    <row r="639" spans="4:8" ht="15" thickBot="1" x14ac:dyDescent="0.35">
      <c r="D639" s="117" t="s">
        <v>790</v>
      </c>
      <c r="E639" s="118">
        <v>957000070</v>
      </c>
      <c r="G639" s="117"/>
      <c r="H639" s="117"/>
    </row>
    <row r="640" spans="4:8" ht="15" thickBot="1" x14ac:dyDescent="0.35">
      <c r="D640" s="117" t="s">
        <v>197</v>
      </c>
      <c r="E640" s="118">
        <v>957000081</v>
      </c>
      <c r="G640" s="117"/>
      <c r="H640" s="117"/>
    </row>
    <row r="641" spans="4:8" ht="15" thickBot="1" x14ac:dyDescent="0.35">
      <c r="D641" s="117" t="s">
        <v>791</v>
      </c>
      <c r="E641" s="118">
        <v>957000146</v>
      </c>
      <c r="G641" s="117"/>
      <c r="H641" s="117"/>
    </row>
    <row r="642" spans="4:8" ht="15" thickBot="1" x14ac:dyDescent="0.35">
      <c r="D642" s="117" t="s">
        <v>203</v>
      </c>
      <c r="E642" s="118">
        <v>957000181</v>
      </c>
      <c r="G642" s="117"/>
      <c r="H642" s="117"/>
    </row>
    <row r="643" spans="4:8" ht="15" thickBot="1" x14ac:dyDescent="0.35">
      <c r="D643" s="117" t="s">
        <v>792</v>
      </c>
      <c r="E643" s="118">
        <v>957000105</v>
      </c>
      <c r="G643" s="117"/>
      <c r="H643" s="117"/>
    </row>
    <row r="644" spans="4:8" ht="15" thickBot="1" x14ac:dyDescent="0.35">
      <c r="D644" s="117" t="s">
        <v>793</v>
      </c>
      <c r="E644" s="118">
        <v>951000882</v>
      </c>
      <c r="G644" s="117"/>
      <c r="H644" s="117"/>
    </row>
    <row r="645" spans="4:8" ht="27.6" thickBot="1" x14ac:dyDescent="0.35">
      <c r="D645" s="117" t="s">
        <v>794</v>
      </c>
      <c r="E645" s="118">
        <v>951000788</v>
      </c>
      <c r="G645" s="117"/>
      <c r="H645" s="117"/>
    </row>
    <row r="646" spans="4:8" ht="15" thickBot="1" x14ac:dyDescent="0.35">
      <c r="D646" s="117" t="s">
        <v>795</v>
      </c>
      <c r="E646" s="118">
        <v>951000061</v>
      </c>
      <c r="G646" s="117"/>
      <c r="H646" s="117"/>
    </row>
    <row r="647" spans="4:8" ht="15" thickBot="1" x14ac:dyDescent="0.35">
      <c r="D647" s="117" t="s">
        <v>796</v>
      </c>
      <c r="E647" s="118">
        <v>951000665</v>
      </c>
      <c r="G647" s="117"/>
      <c r="H647" s="117"/>
    </row>
    <row r="648" spans="4:8" ht="27.6" thickBot="1" x14ac:dyDescent="0.35">
      <c r="D648" s="117" t="s">
        <v>797</v>
      </c>
      <c r="E648" s="118">
        <v>13000031</v>
      </c>
      <c r="G648" s="117"/>
      <c r="H648" s="117"/>
    </row>
    <row r="649" spans="4:8" ht="27.6" thickBot="1" x14ac:dyDescent="0.35">
      <c r="D649" s="117" t="s">
        <v>797</v>
      </c>
      <c r="E649" s="118">
        <v>951000201</v>
      </c>
      <c r="G649" s="117"/>
      <c r="H649" s="117"/>
    </row>
    <row r="650" spans="4:8" ht="15" thickBot="1" x14ac:dyDescent="0.35">
      <c r="D650" s="117" t="s">
        <v>798</v>
      </c>
      <c r="E650" s="118">
        <v>957000013</v>
      </c>
      <c r="G650" s="117"/>
      <c r="H650" s="117"/>
    </row>
    <row r="651" spans="4:8" ht="15" thickBot="1" x14ac:dyDescent="0.35">
      <c r="D651" s="117" t="s">
        <v>799</v>
      </c>
      <c r="E651" s="118">
        <v>951001062</v>
      </c>
      <c r="G651" s="117"/>
      <c r="H651" s="117"/>
    </row>
    <row r="652" spans="4:8" ht="27.6" thickBot="1" x14ac:dyDescent="0.35">
      <c r="D652" s="117" t="s">
        <v>800</v>
      </c>
      <c r="E652" s="118">
        <v>951000615</v>
      </c>
      <c r="G652" s="117"/>
      <c r="H652" s="117"/>
    </row>
    <row r="653" spans="4:8" ht="15" thickBot="1" x14ac:dyDescent="0.35">
      <c r="D653" s="117" t="s">
        <v>801</v>
      </c>
      <c r="E653" s="118">
        <v>959000015</v>
      </c>
      <c r="G653" s="117"/>
      <c r="H653" s="117"/>
    </row>
    <row r="654" spans="4:8" ht="15" thickBot="1" x14ac:dyDescent="0.35">
      <c r="D654" s="117" t="s">
        <v>802</v>
      </c>
      <c r="E654" s="118">
        <v>951000734</v>
      </c>
      <c r="G654" s="117"/>
      <c r="H654" s="117"/>
    </row>
    <row r="655" spans="4:8" ht="15" thickBot="1" x14ac:dyDescent="0.35">
      <c r="D655" s="117" t="s">
        <v>803</v>
      </c>
      <c r="E655" s="118">
        <v>951000567</v>
      </c>
      <c r="G655" s="117"/>
      <c r="H655" s="117"/>
    </row>
    <row r="656" spans="4:8" ht="15" thickBot="1" x14ac:dyDescent="0.35">
      <c r="D656" s="117" t="s">
        <v>804</v>
      </c>
      <c r="E656" s="118">
        <v>951000454</v>
      </c>
      <c r="G656" s="117"/>
      <c r="H656" s="117"/>
    </row>
    <row r="657" spans="4:8" ht="15" thickBot="1" x14ac:dyDescent="0.35">
      <c r="D657" s="117" t="s">
        <v>805</v>
      </c>
      <c r="E657" s="118">
        <v>951000673</v>
      </c>
      <c r="G657" s="117"/>
      <c r="H657" s="117"/>
    </row>
    <row r="658" spans="4:8" ht="27.6" thickBot="1" x14ac:dyDescent="0.35">
      <c r="D658" s="117" t="s">
        <v>806</v>
      </c>
      <c r="E658" s="118">
        <v>951000512</v>
      </c>
      <c r="G658" s="117"/>
      <c r="H658" s="117"/>
    </row>
    <row r="659" spans="4:8" ht="27.6" thickBot="1" x14ac:dyDescent="0.35">
      <c r="D659" s="117" t="s">
        <v>807</v>
      </c>
      <c r="E659" s="118">
        <v>951001064</v>
      </c>
      <c r="G659" s="117"/>
      <c r="H659" s="117"/>
    </row>
    <row r="660" spans="4:8" ht="27.6" thickBot="1" x14ac:dyDescent="0.35">
      <c r="D660" s="117" t="s">
        <v>808</v>
      </c>
      <c r="E660" s="118">
        <v>951000795</v>
      </c>
      <c r="G660" s="117"/>
      <c r="H660" s="117"/>
    </row>
    <row r="661" spans="4:8" ht="15" thickBot="1" x14ac:dyDescent="0.35">
      <c r="D661" s="117" t="s">
        <v>809</v>
      </c>
      <c r="E661" s="118">
        <v>951001180</v>
      </c>
      <c r="G661" s="117"/>
      <c r="H661" s="117"/>
    </row>
    <row r="662" spans="4:8" ht="27.6" thickBot="1" x14ac:dyDescent="0.35">
      <c r="D662" s="117" t="s">
        <v>810</v>
      </c>
      <c r="E662" s="118">
        <v>951001199</v>
      </c>
      <c r="G662" s="117"/>
      <c r="H662" s="117"/>
    </row>
    <row r="663" spans="4:8" ht="27.6" thickBot="1" x14ac:dyDescent="0.35">
      <c r="D663" s="117" t="s">
        <v>811</v>
      </c>
      <c r="E663" s="118">
        <v>951000670</v>
      </c>
      <c r="G663" s="117"/>
      <c r="H663" s="117"/>
    </row>
    <row r="664" spans="4:8" ht="15" thickBot="1" x14ac:dyDescent="0.35">
      <c r="D664" s="117" t="s">
        <v>812</v>
      </c>
      <c r="E664" s="118">
        <v>951000651</v>
      </c>
      <c r="G664" s="117"/>
      <c r="H664" s="117"/>
    </row>
    <row r="665" spans="4:8" ht="15" thickBot="1" x14ac:dyDescent="0.35">
      <c r="D665" s="117" t="s">
        <v>813</v>
      </c>
      <c r="E665" s="118">
        <v>951000869</v>
      </c>
      <c r="G665" s="117"/>
      <c r="H665" s="117"/>
    </row>
    <row r="666" spans="4:8" ht="27.6" thickBot="1" x14ac:dyDescent="0.35">
      <c r="D666" s="117" t="s">
        <v>814</v>
      </c>
      <c r="E666" s="118">
        <v>951001111</v>
      </c>
      <c r="G666" s="117"/>
      <c r="H666" s="117"/>
    </row>
    <row r="667" spans="4:8" ht="27.6" thickBot="1" x14ac:dyDescent="0.35">
      <c r="D667" s="117" t="s">
        <v>815</v>
      </c>
      <c r="E667" s="118">
        <v>951000121</v>
      </c>
      <c r="G667" s="117"/>
      <c r="H667" s="117"/>
    </row>
    <row r="668" spans="4:8" ht="15" thickBot="1" x14ac:dyDescent="0.35">
      <c r="D668" s="117" t="s">
        <v>816</v>
      </c>
      <c r="E668" s="118">
        <v>951000830</v>
      </c>
      <c r="G668" s="117"/>
      <c r="H668" s="117"/>
    </row>
    <row r="669" spans="4:8" ht="15" thickBot="1" x14ac:dyDescent="0.35">
      <c r="D669" s="117" t="s">
        <v>816</v>
      </c>
      <c r="E669" s="118">
        <v>951001364</v>
      </c>
      <c r="G669" s="117"/>
      <c r="H669" s="117"/>
    </row>
    <row r="670" spans="4:8" ht="15" thickBot="1" x14ac:dyDescent="0.35">
      <c r="D670" s="117" t="s">
        <v>817</v>
      </c>
      <c r="E670" s="118">
        <v>951000798</v>
      </c>
      <c r="G670" s="117"/>
      <c r="H670" s="117"/>
    </row>
    <row r="671" spans="4:8" ht="15" thickBot="1" x14ac:dyDescent="0.35">
      <c r="D671" s="117" t="s">
        <v>818</v>
      </c>
      <c r="E671" s="118">
        <v>951000516</v>
      </c>
      <c r="G671" s="117"/>
      <c r="H671" s="117"/>
    </row>
    <row r="672" spans="4:8" ht="27.6" thickBot="1" x14ac:dyDescent="0.35">
      <c r="D672" s="117" t="s">
        <v>819</v>
      </c>
      <c r="E672" s="118">
        <v>951000455</v>
      </c>
      <c r="G672" s="117"/>
      <c r="H672" s="117"/>
    </row>
    <row r="673" spans="4:8" ht="15" thickBot="1" x14ac:dyDescent="0.35">
      <c r="D673" s="117" t="s">
        <v>820</v>
      </c>
      <c r="E673" s="118">
        <v>951000561</v>
      </c>
      <c r="G673" s="117"/>
      <c r="H673" s="117"/>
    </row>
    <row r="674" spans="4:8" ht="15" thickBot="1" x14ac:dyDescent="0.35">
      <c r="D674" s="117" t="s">
        <v>821</v>
      </c>
      <c r="E674" s="118">
        <v>951000564</v>
      </c>
      <c r="G674" s="117"/>
      <c r="H674" s="117"/>
    </row>
    <row r="675" spans="4:8" ht="15" thickBot="1" x14ac:dyDescent="0.35">
      <c r="D675" s="117" t="s">
        <v>735</v>
      </c>
      <c r="E675" s="118">
        <v>951000530</v>
      </c>
      <c r="G675" s="117"/>
      <c r="H675" s="117"/>
    </row>
    <row r="676" spans="4:8" ht="15" thickBot="1" x14ac:dyDescent="0.35">
      <c r="D676" s="117" t="s">
        <v>822</v>
      </c>
      <c r="E676" s="118">
        <v>951000428</v>
      </c>
      <c r="G676" s="117"/>
      <c r="H676" s="117"/>
    </row>
    <row r="677" spans="4:8" ht="15" thickBot="1" x14ac:dyDescent="0.35">
      <c r="D677" s="117" t="s">
        <v>823</v>
      </c>
      <c r="E677" s="118">
        <v>951000532</v>
      </c>
      <c r="G677" s="117"/>
      <c r="H677" s="117"/>
    </row>
    <row r="678" spans="4:8" ht="27.6" thickBot="1" x14ac:dyDescent="0.35">
      <c r="D678" s="117" t="s">
        <v>824</v>
      </c>
      <c r="E678" s="118">
        <v>951000005</v>
      </c>
      <c r="G678" s="117"/>
      <c r="H678" s="117"/>
    </row>
    <row r="679" spans="4:8" ht="27.6" thickBot="1" x14ac:dyDescent="0.35">
      <c r="D679" s="117" t="s">
        <v>825</v>
      </c>
      <c r="E679" s="118">
        <v>1951001394</v>
      </c>
      <c r="G679" s="117"/>
      <c r="H679" s="117"/>
    </row>
    <row r="680" spans="4:8" ht="27.6" thickBot="1" x14ac:dyDescent="0.35">
      <c r="D680" s="117" t="s">
        <v>826</v>
      </c>
      <c r="E680" s="118">
        <v>1951001393</v>
      </c>
      <c r="G680" s="117"/>
      <c r="H680" s="117"/>
    </row>
    <row r="681" spans="4:8" ht="15" thickBot="1" x14ac:dyDescent="0.35">
      <c r="D681" s="117" t="s">
        <v>827</v>
      </c>
      <c r="E681" s="118">
        <v>951000137</v>
      </c>
      <c r="G681" s="117"/>
      <c r="H681" s="117"/>
    </row>
    <row r="682" spans="4:8" ht="27.6" thickBot="1" x14ac:dyDescent="0.35">
      <c r="D682" s="117" t="s">
        <v>828</v>
      </c>
      <c r="E682" s="118">
        <v>951000751</v>
      </c>
      <c r="G682" s="117"/>
      <c r="H682" s="117"/>
    </row>
    <row r="683" spans="4:8" ht="27.6" thickBot="1" x14ac:dyDescent="0.35">
      <c r="D683" s="117" t="s">
        <v>829</v>
      </c>
      <c r="E683" s="118">
        <v>951000614</v>
      </c>
      <c r="G683" s="117"/>
      <c r="H683" s="117"/>
    </row>
    <row r="684" spans="4:8" ht="27.6" thickBot="1" x14ac:dyDescent="0.35">
      <c r="D684" s="117" t="s">
        <v>830</v>
      </c>
      <c r="E684" s="118">
        <v>951000232</v>
      </c>
      <c r="G684" s="117"/>
      <c r="H684" s="117"/>
    </row>
    <row r="685" spans="4:8" ht="27.6" thickBot="1" x14ac:dyDescent="0.35">
      <c r="D685" s="117" t="s">
        <v>830</v>
      </c>
      <c r="E685" s="118">
        <v>951000233</v>
      </c>
      <c r="G685" s="117"/>
      <c r="H685" s="117"/>
    </row>
    <row r="686" spans="4:8" ht="15" thickBot="1" x14ac:dyDescent="0.35">
      <c r="D686" s="117" t="s">
        <v>831</v>
      </c>
      <c r="E686" s="118">
        <v>951000785</v>
      </c>
      <c r="G686" s="117"/>
      <c r="H686" s="117"/>
    </row>
    <row r="687" spans="4:8" ht="15" thickBot="1" x14ac:dyDescent="0.35">
      <c r="D687" s="117" t="s">
        <v>832</v>
      </c>
      <c r="E687" s="118">
        <v>951000437</v>
      </c>
      <c r="G687" s="117"/>
      <c r="H687" s="117"/>
    </row>
    <row r="688" spans="4:8" ht="15" thickBot="1" x14ac:dyDescent="0.35">
      <c r="D688" s="117" t="s">
        <v>833</v>
      </c>
      <c r="E688" s="118">
        <v>951000507</v>
      </c>
      <c r="G688" s="117"/>
      <c r="H688" s="117"/>
    </row>
    <row r="689" spans="4:8" ht="15" thickBot="1" x14ac:dyDescent="0.35">
      <c r="D689" s="117" t="s">
        <v>834</v>
      </c>
      <c r="E689" s="118">
        <v>951000646</v>
      </c>
      <c r="G689" s="117"/>
      <c r="H689" s="117"/>
    </row>
    <row r="690" spans="4:8" ht="15" thickBot="1" x14ac:dyDescent="0.35">
      <c r="D690" s="117" t="s">
        <v>835</v>
      </c>
      <c r="E690" s="118">
        <v>951001190</v>
      </c>
      <c r="G690" s="117"/>
      <c r="H690" s="117"/>
    </row>
    <row r="691" spans="4:8" ht="15" thickBot="1" x14ac:dyDescent="0.35">
      <c r="D691" s="117" t="s">
        <v>836</v>
      </c>
      <c r="E691" s="118">
        <v>951000902</v>
      </c>
      <c r="G691" s="117"/>
      <c r="H691" s="117"/>
    </row>
    <row r="692" spans="4:8" ht="15" thickBot="1" x14ac:dyDescent="0.35">
      <c r="D692" s="117" t="s">
        <v>837</v>
      </c>
      <c r="E692" s="118">
        <v>951000589</v>
      </c>
      <c r="G692" s="117"/>
      <c r="H692" s="117"/>
    </row>
    <row r="693" spans="4:8" ht="15" thickBot="1" x14ac:dyDescent="0.35">
      <c r="D693" s="117" t="s">
        <v>782</v>
      </c>
      <c r="E693" s="118">
        <v>957000136</v>
      </c>
      <c r="G693" s="117"/>
      <c r="H693" s="117"/>
    </row>
    <row r="694" spans="4:8" ht="15" thickBot="1" x14ac:dyDescent="0.35">
      <c r="D694" s="117" t="s">
        <v>838</v>
      </c>
      <c r="E694" s="118">
        <v>951000517</v>
      </c>
      <c r="G694" s="117"/>
      <c r="H694" s="117"/>
    </row>
    <row r="695" spans="4:8" ht="15" thickBot="1" x14ac:dyDescent="0.35">
      <c r="D695" s="117" t="s">
        <v>839</v>
      </c>
      <c r="E695" s="118">
        <v>951000435</v>
      </c>
      <c r="G695" s="117"/>
      <c r="H695" s="117"/>
    </row>
    <row r="696" spans="4:8" ht="15" thickBot="1" x14ac:dyDescent="0.35">
      <c r="D696" s="117" t="s">
        <v>840</v>
      </c>
      <c r="E696" s="118">
        <v>951000990</v>
      </c>
      <c r="G696" s="117"/>
      <c r="H696" s="117"/>
    </row>
    <row r="697" spans="4:8" ht="27.6" thickBot="1" x14ac:dyDescent="0.35">
      <c r="D697" s="117" t="s">
        <v>841</v>
      </c>
      <c r="E697" s="118">
        <v>951001158</v>
      </c>
      <c r="G697" s="117"/>
      <c r="H697" s="117"/>
    </row>
    <row r="698" spans="4:8" ht="15" thickBot="1" x14ac:dyDescent="0.35">
      <c r="D698" s="117" t="s">
        <v>842</v>
      </c>
      <c r="E698" s="118">
        <v>951001161</v>
      </c>
      <c r="G698" s="117"/>
      <c r="H698" s="117"/>
    </row>
    <row r="699" spans="4:8" ht="27.6" thickBot="1" x14ac:dyDescent="0.35">
      <c r="D699" s="117" t="s">
        <v>843</v>
      </c>
      <c r="E699" s="118">
        <v>951001090</v>
      </c>
      <c r="G699" s="117"/>
      <c r="H699" s="117"/>
    </row>
    <row r="700" spans="4:8" ht="15" thickBot="1" x14ac:dyDescent="0.35">
      <c r="D700" s="117" t="s">
        <v>844</v>
      </c>
      <c r="E700" s="118">
        <v>951000063</v>
      </c>
      <c r="G700" s="117"/>
      <c r="H700" s="117"/>
    </row>
    <row r="701" spans="4:8" ht="15" thickBot="1" x14ac:dyDescent="0.35">
      <c r="D701" s="117" t="s">
        <v>845</v>
      </c>
      <c r="E701" s="118">
        <v>951000951</v>
      </c>
      <c r="G701" s="117"/>
      <c r="H701" s="117"/>
    </row>
    <row r="702" spans="4:8" ht="27.6" thickBot="1" x14ac:dyDescent="0.35">
      <c r="D702" s="117" t="s">
        <v>846</v>
      </c>
      <c r="E702" s="118">
        <v>951000525</v>
      </c>
      <c r="G702" s="117"/>
      <c r="H702" s="117"/>
    </row>
    <row r="703" spans="4:8" ht="15" thickBot="1" x14ac:dyDescent="0.35">
      <c r="D703" s="117" t="s">
        <v>662</v>
      </c>
      <c r="E703" s="118">
        <v>951001348</v>
      </c>
      <c r="G703" s="117"/>
      <c r="H703" s="117"/>
    </row>
    <row r="704" spans="4:8" ht="27.6" thickBot="1" x14ac:dyDescent="0.35">
      <c r="D704" s="117" t="s">
        <v>847</v>
      </c>
      <c r="E704" s="118">
        <v>951000779</v>
      </c>
      <c r="G704" s="117"/>
      <c r="H704" s="117"/>
    </row>
    <row r="705" spans="4:8" ht="27.6" thickBot="1" x14ac:dyDescent="0.35">
      <c r="D705" s="117" t="s">
        <v>848</v>
      </c>
      <c r="E705" s="118">
        <v>950100009</v>
      </c>
      <c r="G705" s="117"/>
      <c r="H705" s="117"/>
    </row>
    <row r="706" spans="4:8" ht="15" thickBot="1" x14ac:dyDescent="0.35">
      <c r="D706" s="117" t="s">
        <v>849</v>
      </c>
      <c r="E706" s="118">
        <v>951000690</v>
      </c>
      <c r="G706" s="117"/>
      <c r="H706" s="117"/>
    </row>
    <row r="707" spans="4:8" ht="15" thickBot="1" x14ac:dyDescent="0.35">
      <c r="D707" s="117" t="s">
        <v>850</v>
      </c>
      <c r="E707" s="118">
        <v>951000209</v>
      </c>
      <c r="G707" s="117"/>
      <c r="H707" s="117"/>
    </row>
    <row r="708" spans="4:8" ht="15" thickBot="1" x14ac:dyDescent="0.35">
      <c r="D708" s="117" t="s">
        <v>851</v>
      </c>
      <c r="E708" s="118">
        <v>951000899</v>
      </c>
      <c r="G708" s="117"/>
      <c r="H708" s="117"/>
    </row>
    <row r="709" spans="4:8" ht="15" thickBot="1" x14ac:dyDescent="0.35">
      <c r="D709" s="117" t="s">
        <v>852</v>
      </c>
      <c r="E709" s="118">
        <v>951000023</v>
      </c>
      <c r="G709" s="117"/>
      <c r="H709" s="117"/>
    </row>
    <row r="710" spans="4:8" ht="27.6" thickBot="1" x14ac:dyDescent="0.35">
      <c r="D710" s="117" t="s">
        <v>853</v>
      </c>
      <c r="E710" s="118">
        <v>951000733</v>
      </c>
      <c r="G710" s="117"/>
      <c r="H710" s="117"/>
    </row>
    <row r="711" spans="4:8" ht="15" thickBot="1" x14ac:dyDescent="0.35">
      <c r="D711" s="117" t="s">
        <v>854</v>
      </c>
      <c r="E711" s="118">
        <v>951000877</v>
      </c>
      <c r="G711" s="117"/>
      <c r="H711" s="117"/>
    </row>
    <row r="712" spans="4:8" ht="15" thickBot="1" x14ac:dyDescent="0.35">
      <c r="D712" s="117" t="s">
        <v>855</v>
      </c>
      <c r="E712" s="118">
        <v>951000359</v>
      </c>
      <c r="G712" s="117"/>
      <c r="H712" s="117"/>
    </row>
    <row r="713" spans="4:8" ht="15" thickBot="1" x14ac:dyDescent="0.35">
      <c r="D713" s="117" t="s">
        <v>856</v>
      </c>
      <c r="E713" s="118">
        <v>951000419</v>
      </c>
      <c r="G713" s="117"/>
      <c r="H713" s="117"/>
    </row>
    <row r="714" spans="4:8" ht="27.6" thickBot="1" x14ac:dyDescent="0.35">
      <c r="D714" s="117" t="s">
        <v>857</v>
      </c>
      <c r="E714" s="118">
        <v>951000630</v>
      </c>
      <c r="G714" s="117"/>
      <c r="H714" s="117"/>
    </row>
    <row r="715" spans="4:8" ht="27.6" thickBot="1" x14ac:dyDescent="0.35">
      <c r="D715" s="117" t="s">
        <v>858</v>
      </c>
      <c r="E715" s="118">
        <v>951001035</v>
      </c>
      <c r="G715" s="117"/>
      <c r="H715" s="117"/>
    </row>
    <row r="716" spans="4:8" ht="27.6" thickBot="1" x14ac:dyDescent="0.35">
      <c r="D716" s="117" t="s">
        <v>859</v>
      </c>
      <c r="E716" s="118">
        <v>951001181</v>
      </c>
      <c r="G716" s="117"/>
      <c r="H716" s="117"/>
    </row>
    <row r="717" spans="4:8" ht="15" thickBot="1" x14ac:dyDescent="0.35">
      <c r="D717" s="117" t="s">
        <v>860</v>
      </c>
      <c r="E717" s="118">
        <v>951000773</v>
      </c>
      <c r="G717" s="117"/>
      <c r="H717" s="117"/>
    </row>
    <row r="718" spans="4:8" ht="27.6" thickBot="1" x14ac:dyDescent="0.35">
      <c r="D718" s="117" t="s">
        <v>861</v>
      </c>
      <c r="E718" s="118">
        <v>951000644</v>
      </c>
      <c r="G718" s="117"/>
      <c r="H718" s="117"/>
    </row>
    <row r="719" spans="4:8" ht="27.6" thickBot="1" x14ac:dyDescent="0.35">
      <c r="D719" s="117" t="s">
        <v>862</v>
      </c>
      <c r="E719" s="118">
        <v>951000769</v>
      </c>
      <c r="G719" s="117"/>
      <c r="H719" s="117"/>
    </row>
    <row r="720" spans="4:8" ht="15" thickBot="1" x14ac:dyDescent="0.35">
      <c r="D720" s="117" t="s">
        <v>863</v>
      </c>
      <c r="E720" s="118">
        <v>951000590</v>
      </c>
      <c r="G720" s="117"/>
      <c r="H720" s="117"/>
    </row>
    <row r="721" spans="4:8" ht="15" thickBot="1" x14ac:dyDescent="0.35">
      <c r="D721" s="117" t="s">
        <v>864</v>
      </c>
      <c r="E721" s="118">
        <v>951001021</v>
      </c>
      <c r="G721" s="117"/>
      <c r="H721" s="117"/>
    </row>
    <row r="722" spans="4:8" ht="15" thickBot="1" x14ac:dyDescent="0.35">
      <c r="D722" s="117" t="s">
        <v>865</v>
      </c>
      <c r="E722" s="118">
        <v>951000602</v>
      </c>
      <c r="G722" s="117"/>
      <c r="H722" s="117"/>
    </row>
    <row r="723" spans="4:8" ht="27.6" thickBot="1" x14ac:dyDescent="0.35">
      <c r="D723" s="117" t="s">
        <v>866</v>
      </c>
      <c r="E723" s="118">
        <v>951000317</v>
      </c>
      <c r="G723" s="117"/>
      <c r="H723" s="117"/>
    </row>
    <row r="724" spans="4:8" ht="15" thickBot="1" x14ac:dyDescent="0.35">
      <c r="D724" s="117" t="s">
        <v>867</v>
      </c>
      <c r="E724" s="118">
        <v>951001286</v>
      </c>
      <c r="G724" s="117"/>
      <c r="H724" s="117"/>
    </row>
    <row r="725" spans="4:8" ht="15" thickBot="1" x14ac:dyDescent="0.35">
      <c r="D725" s="117" t="s">
        <v>868</v>
      </c>
      <c r="E725" s="118">
        <v>951000709</v>
      </c>
      <c r="G725" s="117"/>
      <c r="H725" s="117"/>
    </row>
    <row r="726" spans="4:8" ht="15" thickBot="1" x14ac:dyDescent="0.35">
      <c r="D726" s="117" t="s">
        <v>869</v>
      </c>
      <c r="E726" s="118">
        <v>951001087</v>
      </c>
      <c r="G726" s="117"/>
      <c r="H726" s="117"/>
    </row>
    <row r="727" spans="4:8" ht="15" thickBot="1" x14ac:dyDescent="0.35">
      <c r="D727" s="117" t="s">
        <v>870</v>
      </c>
      <c r="E727" s="118">
        <v>951001426</v>
      </c>
      <c r="G727" s="117"/>
      <c r="H727" s="117"/>
    </row>
    <row r="728" spans="4:8" ht="15" thickBot="1" x14ac:dyDescent="0.35">
      <c r="D728" s="117" t="s">
        <v>871</v>
      </c>
      <c r="E728" s="118">
        <v>951000772</v>
      </c>
      <c r="G728" s="117"/>
      <c r="H728" s="117"/>
    </row>
    <row r="729" spans="4:8" ht="15" thickBot="1" x14ac:dyDescent="0.35">
      <c r="D729" s="117" t="s">
        <v>872</v>
      </c>
      <c r="E729" s="118">
        <v>951000598</v>
      </c>
      <c r="G729" s="117"/>
      <c r="H729" s="117"/>
    </row>
    <row r="730" spans="4:8" ht="15" thickBot="1" x14ac:dyDescent="0.35">
      <c r="D730" s="117" t="s">
        <v>873</v>
      </c>
      <c r="E730" s="118">
        <v>951000599</v>
      </c>
      <c r="G730" s="117"/>
      <c r="H730" s="117"/>
    </row>
    <row r="731" spans="4:8" ht="15" thickBot="1" x14ac:dyDescent="0.35">
      <c r="D731" s="117" t="s">
        <v>874</v>
      </c>
      <c r="E731" s="118">
        <v>951000693</v>
      </c>
      <c r="G731" s="117"/>
      <c r="H731" s="117"/>
    </row>
    <row r="732" spans="4:8" ht="15" thickBot="1" x14ac:dyDescent="0.35">
      <c r="D732" s="117" t="s">
        <v>875</v>
      </c>
      <c r="E732" s="118">
        <v>951000827</v>
      </c>
      <c r="G732" s="117"/>
      <c r="H732" s="117"/>
    </row>
    <row r="733" spans="4:8" ht="15" thickBot="1" x14ac:dyDescent="0.35">
      <c r="D733" s="117" t="s">
        <v>876</v>
      </c>
      <c r="E733" s="118">
        <v>951000392</v>
      </c>
      <c r="G733" s="117"/>
      <c r="H733" s="117"/>
    </row>
    <row r="734" spans="4:8" ht="15" thickBot="1" x14ac:dyDescent="0.35">
      <c r="D734" s="117" t="s">
        <v>877</v>
      </c>
      <c r="E734" s="118">
        <v>951000605</v>
      </c>
      <c r="G734" s="117"/>
      <c r="H734" s="117"/>
    </row>
    <row r="735" spans="4:8" ht="15" thickBot="1" x14ac:dyDescent="0.35">
      <c r="D735" s="117" t="s">
        <v>878</v>
      </c>
      <c r="E735" s="118">
        <v>951000093</v>
      </c>
      <c r="G735" s="117"/>
      <c r="H735" s="117"/>
    </row>
    <row r="736" spans="4:8" ht="15" thickBot="1" x14ac:dyDescent="0.35">
      <c r="D736" s="117" t="s">
        <v>879</v>
      </c>
      <c r="E736" s="118">
        <v>951000526</v>
      </c>
      <c r="G736" s="117"/>
      <c r="H736" s="117"/>
    </row>
    <row r="737" spans="4:8" ht="15" thickBot="1" x14ac:dyDescent="0.35">
      <c r="D737" s="117" t="s">
        <v>880</v>
      </c>
      <c r="E737" s="118">
        <v>951000047</v>
      </c>
      <c r="G737" s="117"/>
      <c r="H737" s="117"/>
    </row>
    <row r="738" spans="4:8" ht="15" thickBot="1" x14ac:dyDescent="0.35">
      <c r="D738" s="117" t="s">
        <v>881</v>
      </c>
      <c r="E738" s="118">
        <v>951000789</v>
      </c>
      <c r="G738" s="117"/>
      <c r="H738" s="117"/>
    </row>
    <row r="739" spans="4:8" ht="15" thickBot="1" x14ac:dyDescent="0.35">
      <c r="D739" s="117" t="s">
        <v>882</v>
      </c>
      <c r="E739" s="118">
        <v>951000141</v>
      </c>
      <c r="G739" s="117"/>
      <c r="H739" s="117"/>
    </row>
    <row r="740" spans="4:8" ht="15" thickBot="1" x14ac:dyDescent="0.35">
      <c r="D740" s="117" t="s">
        <v>883</v>
      </c>
      <c r="E740" s="118">
        <v>951000046</v>
      </c>
      <c r="G740" s="117"/>
      <c r="H740" s="117"/>
    </row>
    <row r="741" spans="4:8" ht="15" thickBot="1" x14ac:dyDescent="0.35">
      <c r="D741" s="117" t="s">
        <v>884</v>
      </c>
      <c r="E741" s="118">
        <v>951000217</v>
      </c>
      <c r="G741" s="117"/>
      <c r="H741" s="117"/>
    </row>
    <row r="742" spans="4:8" ht="27.6" thickBot="1" x14ac:dyDescent="0.35">
      <c r="D742" s="117" t="s">
        <v>885</v>
      </c>
      <c r="E742" s="118">
        <v>951000085</v>
      </c>
      <c r="G742" s="117"/>
      <c r="H742" s="117"/>
    </row>
    <row r="743" spans="4:8" ht="27.6" thickBot="1" x14ac:dyDescent="0.35">
      <c r="D743" s="117" t="s">
        <v>886</v>
      </c>
      <c r="E743" s="118">
        <v>951000998</v>
      </c>
      <c r="G743" s="117"/>
      <c r="H743" s="117"/>
    </row>
    <row r="744" spans="4:8" ht="27.6" thickBot="1" x14ac:dyDescent="0.35">
      <c r="D744" s="117" t="s">
        <v>887</v>
      </c>
      <c r="E744" s="118">
        <v>951000860</v>
      </c>
      <c r="G744" s="117"/>
      <c r="H744" s="117"/>
    </row>
    <row r="745" spans="4:8" ht="15" thickBot="1" x14ac:dyDescent="0.35">
      <c r="D745" s="117" t="s">
        <v>888</v>
      </c>
      <c r="E745" s="118">
        <v>951000540</v>
      </c>
      <c r="G745" s="117"/>
      <c r="H745" s="117"/>
    </row>
    <row r="746" spans="4:8" ht="27.6" thickBot="1" x14ac:dyDescent="0.35">
      <c r="D746" s="117" t="s">
        <v>889</v>
      </c>
      <c r="E746" s="118">
        <v>951000415</v>
      </c>
      <c r="G746" s="117"/>
      <c r="H746" s="117"/>
    </row>
    <row r="747" spans="4:8" ht="15" thickBot="1" x14ac:dyDescent="0.35">
      <c r="D747" s="117" t="s">
        <v>890</v>
      </c>
      <c r="E747" s="118">
        <v>951000453</v>
      </c>
      <c r="G747" s="117"/>
      <c r="H747" s="117"/>
    </row>
    <row r="748" spans="4:8" ht="15" thickBot="1" x14ac:dyDescent="0.35">
      <c r="D748" s="117" t="s">
        <v>891</v>
      </c>
      <c r="E748" s="118">
        <v>951000586</v>
      </c>
      <c r="G748" s="117"/>
      <c r="H748" s="117"/>
    </row>
    <row r="749" spans="4:8" ht="15" thickBot="1" x14ac:dyDescent="0.35">
      <c r="D749" s="117" t="s">
        <v>892</v>
      </c>
      <c r="E749" s="118">
        <v>1951001429</v>
      </c>
      <c r="G749" s="117"/>
      <c r="H749" s="117"/>
    </row>
    <row r="750" spans="4:8" ht="15" thickBot="1" x14ac:dyDescent="0.35">
      <c r="D750" s="117" t="s">
        <v>893</v>
      </c>
      <c r="E750" s="118">
        <v>951000510</v>
      </c>
      <c r="G750" s="117"/>
      <c r="H750" s="117"/>
    </row>
    <row r="751" spans="4:8" ht="15" thickBot="1" x14ac:dyDescent="0.35">
      <c r="D751" s="117" t="s">
        <v>894</v>
      </c>
      <c r="E751" s="118">
        <v>951000883</v>
      </c>
      <c r="G751" s="117"/>
      <c r="H751" s="117"/>
    </row>
    <row r="752" spans="4:8" ht="27.6" thickBot="1" x14ac:dyDescent="0.35">
      <c r="D752" s="117" t="s">
        <v>895</v>
      </c>
      <c r="E752" s="118">
        <v>951000581</v>
      </c>
      <c r="G752" s="117"/>
      <c r="H752" s="117"/>
    </row>
    <row r="753" spans="4:8" ht="15" thickBot="1" x14ac:dyDescent="0.35">
      <c r="D753" s="117" t="s">
        <v>896</v>
      </c>
      <c r="E753" s="118">
        <v>951001060</v>
      </c>
      <c r="G753" s="117"/>
      <c r="H753" s="117"/>
    </row>
    <row r="754" spans="4:8" ht="27.6" thickBot="1" x14ac:dyDescent="0.35">
      <c r="D754" s="117" t="s">
        <v>897</v>
      </c>
      <c r="E754" s="118">
        <v>952000000</v>
      </c>
      <c r="G754" s="117"/>
      <c r="H754" s="117"/>
    </row>
    <row r="755" spans="4:8" ht="15" thickBot="1" x14ac:dyDescent="0.35">
      <c r="D755" s="117" t="s">
        <v>898</v>
      </c>
      <c r="E755" s="118">
        <v>952000005</v>
      </c>
      <c r="G755" s="117"/>
      <c r="H755" s="117"/>
    </row>
    <row r="756" spans="4:8" ht="15" thickBot="1" x14ac:dyDescent="0.35">
      <c r="D756" s="117" t="s">
        <v>899</v>
      </c>
      <c r="E756" s="118">
        <v>951001204</v>
      </c>
      <c r="G756" s="117"/>
      <c r="H756" s="117"/>
    </row>
    <row r="757" spans="4:8" ht="15" thickBot="1" x14ac:dyDescent="0.35">
      <c r="D757" s="117" t="s">
        <v>900</v>
      </c>
      <c r="E757" s="118">
        <v>951000068</v>
      </c>
      <c r="G757" s="117"/>
      <c r="H757" s="117"/>
    </row>
    <row r="758" spans="4:8" ht="15" thickBot="1" x14ac:dyDescent="0.35">
      <c r="D758" s="117" t="s">
        <v>901</v>
      </c>
      <c r="E758" s="118">
        <v>957000025</v>
      </c>
      <c r="G758" s="117"/>
      <c r="H758" s="117"/>
    </row>
    <row r="759" spans="4:8" ht="27.6" thickBot="1" x14ac:dyDescent="0.35">
      <c r="D759" s="117" t="s">
        <v>902</v>
      </c>
      <c r="E759" s="118">
        <v>951000971</v>
      </c>
      <c r="G759" s="117"/>
      <c r="H759" s="117"/>
    </row>
    <row r="760" spans="4:8" ht="15" thickBot="1" x14ac:dyDescent="0.35">
      <c r="D760" s="117" t="s">
        <v>903</v>
      </c>
      <c r="E760" s="118">
        <v>951000756</v>
      </c>
      <c r="G760" s="117"/>
      <c r="H760" s="117"/>
    </row>
    <row r="761" spans="4:8" ht="15" thickBot="1" x14ac:dyDescent="0.35">
      <c r="D761" s="117" t="s">
        <v>904</v>
      </c>
      <c r="E761" s="118">
        <v>951000987</v>
      </c>
      <c r="G761" s="117"/>
      <c r="H761" s="117"/>
    </row>
    <row r="762" spans="4:8" ht="27.6" thickBot="1" x14ac:dyDescent="0.35">
      <c r="D762" s="117" t="s">
        <v>591</v>
      </c>
      <c r="E762" s="118">
        <v>951001024</v>
      </c>
      <c r="G762" s="117"/>
      <c r="H762" s="117"/>
    </row>
    <row r="763" spans="4:8" ht="27.6" thickBot="1" x14ac:dyDescent="0.35">
      <c r="D763" s="117" t="s">
        <v>905</v>
      </c>
      <c r="E763" s="118">
        <v>951001017</v>
      </c>
      <c r="G763" s="117"/>
      <c r="H763" s="117"/>
    </row>
    <row r="764" spans="4:8" ht="15" thickBot="1" x14ac:dyDescent="0.35">
      <c r="D764" s="117" t="s">
        <v>310</v>
      </c>
      <c r="E764" s="118">
        <v>951000251</v>
      </c>
      <c r="G764" s="117"/>
      <c r="H764" s="117"/>
    </row>
    <row r="765" spans="4:8" ht="15" thickBot="1" x14ac:dyDescent="0.35">
      <c r="D765" s="117" t="s">
        <v>906</v>
      </c>
      <c r="E765" s="118">
        <v>951000265</v>
      </c>
      <c r="G765" s="117"/>
      <c r="H765" s="117"/>
    </row>
    <row r="766" spans="4:8" ht="27.6" thickBot="1" x14ac:dyDescent="0.35">
      <c r="D766" s="117" t="s">
        <v>402</v>
      </c>
      <c r="E766" s="118">
        <v>951001052</v>
      </c>
      <c r="G766" s="117"/>
      <c r="H766" s="117"/>
    </row>
    <row r="767" spans="4:8" ht="27.6" thickBot="1" x14ac:dyDescent="0.35">
      <c r="D767" s="117" t="s">
        <v>907</v>
      </c>
      <c r="E767" s="118">
        <v>951001262</v>
      </c>
      <c r="G767" s="117"/>
      <c r="H767" s="117"/>
    </row>
    <row r="768" spans="4:8" ht="15" thickBot="1" x14ac:dyDescent="0.35">
      <c r="D768" s="117" t="s">
        <v>908</v>
      </c>
      <c r="E768" s="118">
        <v>951001396</v>
      </c>
      <c r="G768" s="117"/>
      <c r="H768" s="117"/>
    </row>
    <row r="769" spans="4:8" ht="15" thickBot="1" x14ac:dyDescent="0.35">
      <c r="D769" s="117" t="s">
        <v>909</v>
      </c>
      <c r="E769" s="118">
        <v>956000036</v>
      </c>
      <c r="G769" s="117"/>
      <c r="H769" s="117"/>
    </row>
    <row r="770" spans="4:8" ht="27.6" thickBot="1" x14ac:dyDescent="0.35">
      <c r="D770" s="117" t="s">
        <v>910</v>
      </c>
      <c r="E770" s="118">
        <v>951000810</v>
      </c>
      <c r="G770" s="117"/>
      <c r="H770" s="117"/>
    </row>
    <row r="771" spans="4:8" ht="15" thickBot="1" x14ac:dyDescent="0.35">
      <c r="D771" s="117" t="s">
        <v>911</v>
      </c>
      <c r="E771" s="118">
        <v>951001006</v>
      </c>
      <c r="G771" s="117"/>
      <c r="H771" s="117"/>
    </row>
    <row r="772" spans="4:8" ht="15" thickBot="1" x14ac:dyDescent="0.35">
      <c r="D772" s="117" t="s">
        <v>912</v>
      </c>
      <c r="E772" s="118">
        <v>951000545</v>
      </c>
      <c r="G772" s="117"/>
      <c r="H772" s="117"/>
    </row>
    <row r="773" spans="4:8" ht="15" thickBot="1" x14ac:dyDescent="0.35">
      <c r="D773" s="117" t="s">
        <v>913</v>
      </c>
      <c r="E773" s="118">
        <v>951000204</v>
      </c>
      <c r="G773" s="117"/>
      <c r="H773" s="117"/>
    </row>
    <row r="774" spans="4:8" ht="15" thickBot="1" x14ac:dyDescent="0.35">
      <c r="D774" s="117" t="s">
        <v>914</v>
      </c>
      <c r="E774" s="118">
        <v>951001040</v>
      </c>
      <c r="G774" s="117"/>
      <c r="H774" s="117"/>
    </row>
    <row r="775" spans="4:8" ht="15" thickBot="1" x14ac:dyDescent="0.35">
      <c r="D775" s="117" t="s">
        <v>915</v>
      </c>
      <c r="E775" s="118">
        <v>951001210</v>
      </c>
      <c r="G775" s="117"/>
      <c r="H775" s="117"/>
    </row>
    <row r="776" spans="4:8" ht="15" thickBot="1" x14ac:dyDescent="0.35">
      <c r="D776" s="117" t="s">
        <v>916</v>
      </c>
      <c r="E776" s="118">
        <v>951000774</v>
      </c>
      <c r="G776" s="117"/>
      <c r="H776" s="117"/>
    </row>
    <row r="777" spans="4:8" ht="27.6" thickBot="1" x14ac:dyDescent="0.35">
      <c r="D777" s="117" t="s">
        <v>917</v>
      </c>
      <c r="E777" s="118">
        <v>951000045</v>
      </c>
      <c r="G777" s="117"/>
      <c r="H777" s="117"/>
    </row>
    <row r="778" spans="4:8" ht="27.6" thickBot="1" x14ac:dyDescent="0.35">
      <c r="D778" s="117" t="s">
        <v>918</v>
      </c>
      <c r="E778" s="118">
        <v>951001112</v>
      </c>
      <c r="G778" s="117"/>
      <c r="H778" s="117"/>
    </row>
    <row r="779" spans="4:8" ht="27.6" thickBot="1" x14ac:dyDescent="0.35">
      <c r="D779" s="117" t="s">
        <v>919</v>
      </c>
      <c r="E779" s="118">
        <v>951001188</v>
      </c>
      <c r="G779" s="117"/>
      <c r="H779" s="117"/>
    </row>
    <row r="780" spans="4:8" ht="15" thickBot="1" x14ac:dyDescent="0.35">
      <c r="D780" s="117" t="s">
        <v>920</v>
      </c>
      <c r="E780" s="118">
        <v>951000168</v>
      </c>
      <c r="G780" s="117"/>
      <c r="H780" s="117"/>
    </row>
    <row r="781" spans="4:8" ht="15" thickBot="1" x14ac:dyDescent="0.35">
      <c r="D781" s="117" t="s">
        <v>921</v>
      </c>
      <c r="E781" s="118">
        <v>951000282</v>
      </c>
      <c r="G781" s="117"/>
      <c r="H781" s="117"/>
    </row>
    <row r="782" spans="4:8" ht="15" thickBot="1" x14ac:dyDescent="0.35">
      <c r="D782" s="117" t="s">
        <v>922</v>
      </c>
      <c r="E782" s="118">
        <v>951000944</v>
      </c>
      <c r="G782" s="117"/>
      <c r="H782" s="117"/>
    </row>
    <row r="783" spans="4:8" ht="15" thickBot="1" x14ac:dyDescent="0.35">
      <c r="D783" s="117" t="s">
        <v>923</v>
      </c>
      <c r="E783" s="118">
        <v>951000335</v>
      </c>
      <c r="G783" s="117"/>
      <c r="H783" s="117"/>
    </row>
    <row r="784" spans="4:8" ht="15" thickBot="1" x14ac:dyDescent="0.35">
      <c r="D784" s="117" t="s">
        <v>924</v>
      </c>
      <c r="E784" s="118">
        <v>951000094</v>
      </c>
      <c r="G784" s="117"/>
      <c r="H784" s="117"/>
    </row>
    <row r="785" spans="4:8" ht="15" thickBot="1" x14ac:dyDescent="0.35">
      <c r="D785" s="117" t="s">
        <v>925</v>
      </c>
      <c r="E785" s="118">
        <v>951000239</v>
      </c>
      <c r="G785" s="117"/>
      <c r="H785" s="117"/>
    </row>
    <row r="786" spans="4:8" ht="15" thickBot="1" x14ac:dyDescent="0.35">
      <c r="D786" s="117" t="s">
        <v>926</v>
      </c>
      <c r="E786" s="118">
        <v>951000661</v>
      </c>
      <c r="G786" s="117"/>
      <c r="H786" s="117"/>
    </row>
    <row r="787" spans="4:8" ht="15" thickBot="1" x14ac:dyDescent="0.35">
      <c r="D787" s="117" t="s">
        <v>927</v>
      </c>
      <c r="E787" s="118">
        <v>951000409</v>
      </c>
      <c r="G787" s="117"/>
      <c r="H787" s="117"/>
    </row>
    <row r="788" spans="4:8" ht="15" thickBot="1" x14ac:dyDescent="0.35">
      <c r="D788" s="117" t="s">
        <v>928</v>
      </c>
      <c r="E788" s="118">
        <v>951000177</v>
      </c>
      <c r="G788" s="117"/>
      <c r="H788" s="117"/>
    </row>
    <row r="789" spans="4:8" ht="15" thickBot="1" x14ac:dyDescent="0.35">
      <c r="D789" s="117" t="s">
        <v>929</v>
      </c>
      <c r="E789" s="118">
        <v>951000618</v>
      </c>
      <c r="G789" s="117"/>
      <c r="H789" s="117"/>
    </row>
    <row r="790" spans="4:8" ht="15" thickBot="1" x14ac:dyDescent="0.35">
      <c r="D790" s="117" t="s">
        <v>930</v>
      </c>
      <c r="E790" s="118">
        <v>951000688</v>
      </c>
      <c r="G790" s="117"/>
      <c r="H790" s="117"/>
    </row>
    <row r="791" spans="4:8" ht="15" thickBot="1" x14ac:dyDescent="0.35">
      <c r="D791" s="117" t="s">
        <v>931</v>
      </c>
      <c r="E791" s="118">
        <v>951000315</v>
      </c>
      <c r="G791" s="117"/>
      <c r="H791" s="117"/>
    </row>
    <row r="792" spans="4:8" ht="15" thickBot="1" x14ac:dyDescent="0.35">
      <c r="D792" s="117" t="s">
        <v>932</v>
      </c>
      <c r="E792" s="118">
        <v>951000343</v>
      </c>
      <c r="G792" s="117"/>
      <c r="H792" s="117"/>
    </row>
    <row r="793" spans="4:8" ht="15" thickBot="1" x14ac:dyDescent="0.35">
      <c r="D793" s="117" t="s">
        <v>933</v>
      </c>
      <c r="E793" s="118">
        <v>951000158</v>
      </c>
      <c r="G793" s="117"/>
      <c r="H793" s="117"/>
    </row>
    <row r="794" spans="4:8" ht="15" thickBot="1" x14ac:dyDescent="0.35">
      <c r="D794" s="117" t="s">
        <v>934</v>
      </c>
      <c r="E794" s="118">
        <v>951000438</v>
      </c>
      <c r="G794" s="117"/>
      <c r="H794" s="117"/>
    </row>
    <row r="795" spans="4:8" ht="15" thickBot="1" x14ac:dyDescent="0.35">
      <c r="D795" s="117" t="s">
        <v>935</v>
      </c>
      <c r="E795" s="118">
        <v>951000601</v>
      </c>
      <c r="G795" s="117"/>
      <c r="H795" s="117"/>
    </row>
    <row r="796" spans="4:8" ht="27.6" thickBot="1" x14ac:dyDescent="0.35">
      <c r="D796" s="117" t="s">
        <v>936</v>
      </c>
      <c r="E796" s="118">
        <v>951000159</v>
      </c>
      <c r="G796" s="117"/>
      <c r="H796" s="117"/>
    </row>
    <row r="797" spans="4:8" ht="27.6" thickBot="1" x14ac:dyDescent="0.35">
      <c r="D797" s="117" t="s">
        <v>937</v>
      </c>
      <c r="E797" s="118">
        <v>951000625</v>
      </c>
      <c r="G797" s="117"/>
      <c r="H797" s="117"/>
    </row>
    <row r="798" spans="4:8" ht="15" thickBot="1" x14ac:dyDescent="0.35">
      <c r="D798" s="117" t="s">
        <v>938</v>
      </c>
      <c r="E798" s="118">
        <v>951000736</v>
      </c>
      <c r="G798" s="117"/>
      <c r="H798" s="117"/>
    </row>
    <row r="799" spans="4:8" ht="15" thickBot="1" x14ac:dyDescent="0.35">
      <c r="D799" s="117" t="s">
        <v>939</v>
      </c>
      <c r="E799" s="118">
        <v>951000977</v>
      </c>
      <c r="G799" s="117"/>
      <c r="H799" s="117"/>
    </row>
    <row r="800" spans="4:8" ht="27.6" thickBot="1" x14ac:dyDescent="0.35">
      <c r="D800" s="117" t="s">
        <v>940</v>
      </c>
      <c r="E800" s="118">
        <v>951001350</v>
      </c>
      <c r="G800" s="117"/>
      <c r="H800" s="117"/>
    </row>
    <row r="801" spans="4:8" ht="15" thickBot="1" x14ac:dyDescent="0.35">
      <c r="D801" s="117" t="s">
        <v>941</v>
      </c>
      <c r="E801" s="118">
        <v>951000214</v>
      </c>
      <c r="G801" s="117"/>
      <c r="H801" s="117"/>
    </row>
    <row r="802" spans="4:8" ht="15" thickBot="1" x14ac:dyDescent="0.35">
      <c r="D802" s="117" t="s">
        <v>942</v>
      </c>
      <c r="E802" s="118">
        <v>951000207</v>
      </c>
      <c r="G802" s="117"/>
      <c r="H802" s="117"/>
    </row>
    <row r="803" spans="4:8" ht="15" thickBot="1" x14ac:dyDescent="0.35">
      <c r="D803" s="117" t="s">
        <v>943</v>
      </c>
      <c r="E803" s="118">
        <v>951000627</v>
      </c>
      <c r="G803" s="117"/>
      <c r="H803" s="117"/>
    </row>
    <row r="804" spans="4:8" ht="27.6" thickBot="1" x14ac:dyDescent="0.35">
      <c r="D804" s="117" t="s">
        <v>944</v>
      </c>
      <c r="E804" s="118">
        <v>951000636</v>
      </c>
      <c r="G804" s="117"/>
      <c r="H804" s="117"/>
    </row>
    <row r="805" spans="4:8" ht="15" thickBot="1" x14ac:dyDescent="0.35">
      <c r="D805" s="117" t="s">
        <v>945</v>
      </c>
      <c r="E805" s="118">
        <v>951000588</v>
      </c>
      <c r="G805" s="117"/>
      <c r="H805" s="117"/>
    </row>
    <row r="806" spans="4:8" ht="15" thickBot="1" x14ac:dyDescent="0.35">
      <c r="D806" s="117" t="s">
        <v>946</v>
      </c>
      <c r="E806" s="118">
        <v>951000674</v>
      </c>
      <c r="G806" s="117"/>
      <c r="H806" s="117"/>
    </row>
    <row r="807" spans="4:8" ht="27.6" thickBot="1" x14ac:dyDescent="0.35">
      <c r="D807" s="117" t="s">
        <v>947</v>
      </c>
      <c r="E807" s="118">
        <v>951000748</v>
      </c>
      <c r="G807" s="117"/>
      <c r="H807" s="117"/>
    </row>
    <row r="808" spans="4:8" ht="15" thickBot="1" x14ac:dyDescent="0.35">
      <c r="D808" s="117" t="s">
        <v>948</v>
      </c>
      <c r="E808" s="118">
        <v>951000134</v>
      </c>
      <c r="G808" s="117"/>
      <c r="H808" s="117"/>
    </row>
    <row r="809" spans="4:8" ht="27.6" thickBot="1" x14ac:dyDescent="0.35">
      <c r="D809" s="117" t="s">
        <v>949</v>
      </c>
      <c r="E809" s="118">
        <v>951000619</v>
      </c>
      <c r="G809" s="117"/>
      <c r="H809" s="117"/>
    </row>
    <row r="810" spans="4:8" ht="15" thickBot="1" x14ac:dyDescent="0.35">
      <c r="D810" s="117" t="s">
        <v>950</v>
      </c>
      <c r="E810" s="118">
        <v>957000075</v>
      </c>
      <c r="G810" s="117"/>
      <c r="H810" s="117"/>
    </row>
    <row r="811" spans="4:8" ht="27.6" thickBot="1" x14ac:dyDescent="0.35">
      <c r="D811" s="117" t="s">
        <v>951</v>
      </c>
      <c r="E811" s="118">
        <v>951000443</v>
      </c>
      <c r="G811" s="117"/>
      <c r="H811" s="117"/>
    </row>
    <row r="812" spans="4:8" ht="27.6" thickBot="1" x14ac:dyDescent="0.35">
      <c r="D812" s="117" t="s">
        <v>952</v>
      </c>
      <c r="E812" s="118">
        <v>951000876</v>
      </c>
      <c r="G812" s="117"/>
      <c r="H812" s="117"/>
    </row>
    <row r="813" spans="4:8" ht="15" thickBot="1" x14ac:dyDescent="0.35">
      <c r="D813" s="117" t="s">
        <v>953</v>
      </c>
      <c r="E813" s="118">
        <v>951000166</v>
      </c>
      <c r="G813" s="117"/>
      <c r="H813" s="117"/>
    </row>
    <row r="814" spans="4:8" ht="15" thickBot="1" x14ac:dyDescent="0.35">
      <c r="D814" s="117" t="s">
        <v>954</v>
      </c>
      <c r="E814" s="118">
        <v>951000591</v>
      </c>
      <c r="G814" s="117"/>
      <c r="H814" s="117"/>
    </row>
    <row r="815" spans="4:8" ht="27.6" thickBot="1" x14ac:dyDescent="0.35">
      <c r="D815" s="117" t="s">
        <v>955</v>
      </c>
      <c r="E815" s="118">
        <v>951000868</v>
      </c>
      <c r="G815" s="117"/>
      <c r="H815" s="117"/>
    </row>
    <row r="816" spans="4:8" ht="15" thickBot="1" x14ac:dyDescent="0.35">
      <c r="D816" s="117" t="s">
        <v>956</v>
      </c>
      <c r="E816" s="118">
        <v>951001054</v>
      </c>
      <c r="G816" s="117"/>
      <c r="H816" s="117"/>
    </row>
    <row r="817" spans="4:8" ht="15" thickBot="1" x14ac:dyDescent="0.35">
      <c r="D817" s="117" t="s">
        <v>957</v>
      </c>
      <c r="E817" s="118">
        <v>951000879</v>
      </c>
      <c r="G817" s="117"/>
      <c r="H817" s="117"/>
    </row>
    <row r="818" spans="4:8" ht="27.6" thickBot="1" x14ac:dyDescent="0.35">
      <c r="D818" s="117" t="s">
        <v>958</v>
      </c>
      <c r="E818" s="118">
        <v>951001184</v>
      </c>
      <c r="G818" s="117"/>
      <c r="H818" s="117"/>
    </row>
    <row r="819" spans="4:8" ht="15" thickBot="1" x14ac:dyDescent="0.35">
      <c r="D819" s="117" t="s">
        <v>959</v>
      </c>
      <c r="E819" s="118">
        <v>951000356</v>
      </c>
      <c r="G819" s="117"/>
      <c r="H819" s="117"/>
    </row>
    <row r="820" spans="4:8" ht="27.6" thickBot="1" x14ac:dyDescent="0.35">
      <c r="D820" s="117" t="s">
        <v>960</v>
      </c>
      <c r="E820" s="118">
        <v>951000254</v>
      </c>
      <c r="G820" s="117"/>
      <c r="H820" s="117"/>
    </row>
    <row r="821" spans="4:8" ht="15" thickBot="1" x14ac:dyDescent="0.35">
      <c r="D821" s="117" t="s">
        <v>961</v>
      </c>
      <c r="E821" s="118">
        <v>951000146</v>
      </c>
      <c r="G821" s="117"/>
      <c r="H821" s="117"/>
    </row>
    <row r="822" spans="4:8" ht="15" thickBot="1" x14ac:dyDescent="0.35">
      <c r="D822" s="117" t="s">
        <v>962</v>
      </c>
      <c r="E822" s="118">
        <v>951000295</v>
      </c>
      <c r="G822" s="117"/>
      <c r="H822" s="117"/>
    </row>
    <row r="823" spans="4:8" ht="15" thickBot="1" x14ac:dyDescent="0.35">
      <c r="D823" s="117" t="s">
        <v>963</v>
      </c>
      <c r="E823" s="118">
        <v>951000193</v>
      </c>
      <c r="G823" s="117"/>
      <c r="H823" s="117"/>
    </row>
    <row r="824" spans="4:8" ht="15" thickBot="1" x14ac:dyDescent="0.35">
      <c r="D824" s="117" t="s">
        <v>964</v>
      </c>
      <c r="E824" s="118">
        <v>951000903</v>
      </c>
      <c r="G824" s="117"/>
      <c r="H824" s="117"/>
    </row>
    <row r="825" spans="4:8" ht="15" thickBot="1" x14ac:dyDescent="0.35">
      <c r="D825" s="117" t="s">
        <v>965</v>
      </c>
      <c r="E825" s="118">
        <v>951000298</v>
      </c>
      <c r="G825" s="117"/>
      <c r="H825" s="117"/>
    </row>
    <row r="826" spans="4:8" ht="15" thickBot="1" x14ac:dyDescent="0.35">
      <c r="D826" s="117" t="s">
        <v>966</v>
      </c>
      <c r="E826" s="118">
        <v>951000534</v>
      </c>
      <c r="G826" s="117"/>
      <c r="H826" s="117"/>
    </row>
    <row r="827" spans="4:8" ht="27.6" thickBot="1" x14ac:dyDescent="0.35">
      <c r="D827" s="117" t="s">
        <v>967</v>
      </c>
      <c r="E827" s="118">
        <v>951001191</v>
      </c>
      <c r="G827" s="117"/>
      <c r="H827" s="117"/>
    </row>
    <row r="828" spans="4:8" ht="15" thickBot="1" x14ac:dyDescent="0.35">
      <c r="D828" s="117" t="s">
        <v>968</v>
      </c>
      <c r="E828" s="118">
        <v>951000715</v>
      </c>
      <c r="G828" s="117"/>
      <c r="H828" s="117"/>
    </row>
    <row r="829" spans="4:8" ht="15" thickBot="1" x14ac:dyDescent="0.35">
      <c r="D829" s="117" t="s">
        <v>969</v>
      </c>
      <c r="E829" s="118">
        <v>951001132</v>
      </c>
      <c r="G829" s="117"/>
      <c r="H829" s="117"/>
    </row>
    <row r="830" spans="4:8" ht="27.6" thickBot="1" x14ac:dyDescent="0.35">
      <c r="D830" s="117" t="s">
        <v>970</v>
      </c>
      <c r="E830" s="118">
        <v>951000096</v>
      </c>
      <c r="G830" s="117"/>
      <c r="H830" s="117"/>
    </row>
    <row r="831" spans="4:8" ht="15" thickBot="1" x14ac:dyDescent="0.35">
      <c r="D831" s="117" t="s">
        <v>971</v>
      </c>
      <c r="E831" s="118">
        <v>951000082</v>
      </c>
      <c r="G831" s="117"/>
      <c r="H831" s="117"/>
    </row>
    <row r="832" spans="4:8" ht="15" thickBot="1" x14ac:dyDescent="0.35">
      <c r="D832" s="117" t="s">
        <v>972</v>
      </c>
      <c r="E832" s="118">
        <v>951000040</v>
      </c>
      <c r="G832" s="117"/>
      <c r="H832" s="117"/>
    </row>
    <row r="833" spans="4:8" ht="15" thickBot="1" x14ac:dyDescent="0.35">
      <c r="D833" s="117" t="s">
        <v>973</v>
      </c>
      <c r="E833" s="118">
        <v>951000042</v>
      </c>
      <c r="G833" s="117"/>
      <c r="H833" s="117"/>
    </row>
    <row r="834" spans="4:8" ht="15" thickBot="1" x14ac:dyDescent="0.35">
      <c r="D834" s="117" t="s">
        <v>974</v>
      </c>
      <c r="E834" s="118">
        <v>951000985</v>
      </c>
      <c r="G834" s="117"/>
      <c r="H834" s="117"/>
    </row>
    <row r="835" spans="4:8" ht="15" thickBot="1" x14ac:dyDescent="0.35">
      <c r="D835" s="117" t="s">
        <v>975</v>
      </c>
      <c r="E835" s="118">
        <v>951001020</v>
      </c>
      <c r="G835" s="117"/>
      <c r="H835" s="117"/>
    </row>
    <row r="836" spans="4:8" ht="15" thickBot="1" x14ac:dyDescent="0.35">
      <c r="D836" s="117" t="s">
        <v>976</v>
      </c>
      <c r="E836" s="118">
        <v>951000483</v>
      </c>
      <c r="G836" s="117"/>
      <c r="H836" s="117"/>
    </row>
    <row r="837" spans="4:8" ht="15" thickBot="1" x14ac:dyDescent="0.35">
      <c r="D837" s="117" t="s">
        <v>977</v>
      </c>
      <c r="E837" s="118">
        <v>951000569</v>
      </c>
      <c r="G837" s="117"/>
      <c r="H837" s="117"/>
    </row>
    <row r="838" spans="4:8" ht="27.6" thickBot="1" x14ac:dyDescent="0.35">
      <c r="D838" s="117" t="s">
        <v>978</v>
      </c>
      <c r="E838" s="118">
        <v>951000299</v>
      </c>
      <c r="G838" s="117"/>
      <c r="H838" s="117"/>
    </row>
    <row r="839" spans="4:8" ht="27.6" thickBot="1" x14ac:dyDescent="0.35">
      <c r="D839" s="117" t="s">
        <v>979</v>
      </c>
      <c r="E839" s="118">
        <v>951000169</v>
      </c>
      <c r="G839" s="117"/>
      <c r="H839" s="117"/>
    </row>
    <row r="840" spans="4:8" ht="15" thickBot="1" x14ac:dyDescent="0.35">
      <c r="D840" s="117" t="s">
        <v>980</v>
      </c>
      <c r="E840" s="118">
        <v>951000695</v>
      </c>
      <c r="G840" s="117"/>
      <c r="H840" s="117"/>
    </row>
    <row r="841" spans="4:8" ht="15" thickBot="1" x14ac:dyDescent="0.35">
      <c r="D841" s="117" t="s">
        <v>981</v>
      </c>
      <c r="E841" s="118">
        <v>951000476</v>
      </c>
      <c r="G841" s="117"/>
      <c r="H841" s="117"/>
    </row>
    <row r="842" spans="4:8" ht="15" thickBot="1" x14ac:dyDescent="0.35">
      <c r="D842" s="117" t="s">
        <v>982</v>
      </c>
      <c r="E842" s="118">
        <v>951001028</v>
      </c>
      <c r="G842" s="117"/>
      <c r="H842" s="117"/>
    </row>
    <row r="843" spans="4:8" ht="27.6" thickBot="1" x14ac:dyDescent="0.35">
      <c r="D843" s="117" t="s">
        <v>983</v>
      </c>
      <c r="E843" s="118">
        <v>951001068</v>
      </c>
      <c r="G843" s="117"/>
      <c r="H843" s="117"/>
    </row>
    <row r="844" spans="4:8" ht="15" thickBot="1" x14ac:dyDescent="0.35">
      <c r="D844" s="117" t="s">
        <v>787</v>
      </c>
      <c r="E844" s="118">
        <v>956000029</v>
      </c>
      <c r="G844" s="117"/>
      <c r="H844" s="117"/>
    </row>
    <row r="845" spans="4:8" ht="15" thickBot="1" x14ac:dyDescent="0.35">
      <c r="D845" s="117" t="s">
        <v>984</v>
      </c>
      <c r="E845" s="118">
        <v>951000188</v>
      </c>
      <c r="G845" s="117"/>
      <c r="H845" s="117"/>
    </row>
    <row r="846" spans="4:8" ht="27.6" thickBot="1" x14ac:dyDescent="0.35">
      <c r="D846" s="117" t="s">
        <v>985</v>
      </c>
      <c r="E846" s="118">
        <v>951000320</v>
      </c>
      <c r="G846" s="117"/>
      <c r="H846" s="117"/>
    </row>
    <row r="847" spans="4:8" ht="27.6" thickBot="1" x14ac:dyDescent="0.35">
      <c r="D847" s="117" t="s">
        <v>986</v>
      </c>
      <c r="E847" s="118">
        <v>956000030</v>
      </c>
      <c r="G847" s="117"/>
      <c r="H847" s="117"/>
    </row>
    <row r="848" spans="4:8" ht="15" thickBot="1" x14ac:dyDescent="0.35">
      <c r="D848" s="117" t="s">
        <v>780</v>
      </c>
      <c r="E848" s="118">
        <v>957000195</v>
      </c>
      <c r="G848" s="117"/>
      <c r="H848" s="117"/>
    </row>
    <row r="849" spans="4:8" ht="15" thickBot="1" x14ac:dyDescent="0.35">
      <c r="D849" s="117" t="s">
        <v>987</v>
      </c>
      <c r="E849" s="118">
        <v>951001172</v>
      </c>
      <c r="G849" s="117"/>
      <c r="H849" s="117"/>
    </row>
    <row r="850" spans="4:8" ht="15" thickBot="1" x14ac:dyDescent="0.35">
      <c r="D850" s="117" t="s">
        <v>196</v>
      </c>
      <c r="E850" s="118">
        <v>957000150</v>
      </c>
      <c r="G850" s="117"/>
      <c r="H850" s="117"/>
    </row>
    <row r="851" spans="4:8" ht="27.6" thickBot="1" x14ac:dyDescent="0.35">
      <c r="D851" s="117" t="s">
        <v>988</v>
      </c>
      <c r="E851" s="118">
        <v>956000025</v>
      </c>
      <c r="G851" s="117"/>
      <c r="H851" s="117"/>
    </row>
    <row r="852" spans="4:8" ht="15" thickBot="1" x14ac:dyDescent="0.35">
      <c r="D852" s="117" t="s">
        <v>989</v>
      </c>
      <c r="E852" s="118">
        <v>951000009</v>
      </c>
      <c r="G852" s="117"/>
      <c r="H852" s="117"/>
    </row>
    <row r="853" spans="4:8" ht="15" thickBot="1" x14ac:dyDescent="0.35">
      <c r="D853" s="117" t="s">
        <v>990</v>
      </c>
      <c r="E853" s="118">
        <v>951000681</v>
      </c>
      <c r="G853" s="117"/>
      <c r="H853" s="117"/>
    </row>
    <row r="854" spans="4:8" ht="27.6" thickBot="1" x14ac:dyDescent="0.35">
      <c r="D854" s="117" t="s">
        <v>991</v>
      </c>
      <c r="E854" s="118">
        <v>951000531</v>
      </c>
      <c r="G854" s="117"/>
      <c r="H854" s="117"/>
    </row>
    <row r="855" spans="4:8" ht="27.6" thickBot="1" x14ac:dyDescent="0.35">
      <c r="D855" s="117" t="s">
        <v>992</v>
      </c>
      <c r="E855" s="118">
        <v>951001085</v>
      </c>
      <c r="G855" s="117"/>
      <c r="H855" s="117"/>
    </row>
    <row r="856" spans="4:8" ht="27.6" thickBot="1" x14ac:dyDescent="0.35">
      <c r="D856" s="117" t="s">
        <v>993</v>
      </c>
      <c r="E856" s="118">
        <v>951000678</v>
      </c>
      <c r="G856" s="117"/>
      <c r="H856" s="117"/>
    </row>
    <row r="857" spans="4:8" ht="15" thickBot="1" x14ac:dyDescent="0.35">
      <c r="D857" s="117" t="s">
        <v>994</v>
      </c>
      <c r="E857" s="118">
        <v>957000077</v>
      </c>
      <c r="G857" s="117"/>
      <c r="H857" s="117"/>
    </row>
    <row r="858" spans="4:8" ht="15" thickBot="1" x14ac:dyDescent="0.35">
      <c r="D858" s="117" t="s">
        <v>995</v>
      </c>
      <c r="E858" s="118">
        <v>951001058</v>
      </c>
      <c r="G858" s="117"/>
      <c r="H858" s="117"/>
    </row>
    <row r="859" spans="4:8" ht="27.6" thickBot="1" x14ac:dyDescent="0.35">
      <c r="D859" s="117" t="s">
        <v>996</v>
      </c>
      <c r="E859" s="118">
        <v>951001317</v>
      </c>
      <c r="G859" s="117"/>
      <c r="H859" s="117"/>
    </row>
    <row r="860" spans="4:8" ht="27.6" thickBot="1" x14ac:dyDescent="0.35">
      <c r="D860" s="117" t="s">
        <v>997</v>
      </c>
      <c r="E860" s="118">
        <v>951000592</v>
      </c>
      <c r="G860" s="117"/>
      <c r="H860" s="117"/>
    </row>
    <row r="861" spans="4:8" ht="15" thickBot="1" x14ac:dyDescent="0.35">
      <c r="D861" s="117" t="s">
        <v>998</v>
      </c>
      <c r="E861" s="118">
        <v>951001330</v>
      </c>
      <c r="G861" s="117"/>
      <c r="H861" s="117"/>
    </row>
    <row r="862" spans="4:8" ht="15" thickBot="1" x14ac:dyDescent="0.35">
      <c r="D862" s="117" t="s">
        <v>999</v>
      </c>
      <c r="E862" s="118">
        <v>951000269</v>
      </c>
      <c r="G862" s="117"/>
      <c r="H862" s="117"/>
    </row>
    <row r="863" spans="4:8" ht="15" thickBot="1" x14ac:dyDescent="0.35">
      <c r="D863" s="117" t="s">
        <v>1000</v>
      </c>
      <c r="E863" s="118">
        <v>951000500</v>
      </c>
      <c r="G863" s="117"/>
      <c r="H863" s="117"/>
    </row>
    <row r="864" spans="4:8" ht="15" thickBot="1" x14ac:dyDescent="0.35">
      <c r="D864" s="117" t="s">
        <v>781</v>
      </c>
      <c r="E864" s="118">
        <v>957000161</v>
      </c>
      <c r="G864" s="117"/>
      <c r="H864" s="117"/>
    </row>
    <row r="865" spans="4:8" ht="15" thickBot="1" x14ac:dyDescent="0.35">
      <c r="D865" s="117" t="s">
        <v>1001</v>
      </c>
      <c r="E865" s="118">
        <v>951001398</v>
      </c>
      <c r="G865" s="117"/>
      <c r="H865" s="117"/>
    </row>
    <row r="866" spans="4:8" ht="15" thickBot="1" x14ac:dyDescent="0.35">
      <c r="D866" s="117" t="s">
        <v>1002</v>
      </c>
      <c r="E866" s="118">
        <v>951000837</v>
      </c>
      <c r="G866" s="117"/>
      <c r="H866" s="117"/>
    </row>
    <row r="867" spans="4:8" ht="15" thickBot="1" x14ac:dyDescent="0.35">
      <c r="D867" s="117" t="s">
        <v>1003</v>
      </c>
      <c r="E867" s="118">
        <v>951000230</v>
      </c>
      <c r="G867" s="117"/>
      <c r="H867" s="117"/>
    </row>
    <row r="868" spans="4:8" ht="27.6" thickBot="1" x14ac:dyDescent="0.35">
      <c r="D868" s="117" t="s">
        <v>1004</v>
      </c>
      <c r="E868" s="118">
        <v>951000405</v>
      </c>
      <c r="G868" s="117"/>
      <c r="H868" s="117"/>
    </row>
    <row r="869" spans="4:8" ht="15" thickBot="1" x14ac:dyDescent="0.35">
      <c r="D869" s="117" t="s">
        <v>1005</v>
      </c>
      <c r="E869" s="118">
        <v>951000560</v>
      </c>
      <c r="G869" s="117"/>
      <c r="H869" s="117"/>
    </row>
    <row r="870" spans="4:8" ht="15" thickBot="1" x14ac:dyDescent="0.35">
      <c r="D870" s="117" t="s">
        <v>1006</v>
      </c>
      <c r="E870" s="118">
        <v>951000292</v>
      </c>
      <c r="G870" s="117"/>
      <c r="H870" s="117"/>
    </row>
    <row r="871" spans="4:8" ht="15" thickBot="1" x14ac:dyDescent="0.35">
      <c r="D871" s="117" t="s">
        <v>1007</v>
      </c>
      <c r="E871" s="118">
        <v>951000130</v>
      </c>
      <c r="G871" s="117"/>
      <c r="H871" s="117"/>
    </row>
    <row r="872" spans="4:8" ht="15" thickBot="1" x14ac:dyDescent="0.35">
      <c r="D872" s="117" t="s">
        <v>1008</v>
      </c>
      <c r="E872" s="118">
        <v>959000036</v>
      </c>
      <c r="G872" s="117"/>
      <c r="H872" s="117"/>
    </row>
    <row r="873" spans="4:8" ht="15" thickBot="1" x14ac:dyDescent="0.35">
      <c r="D873" s="117" t="s">
        <v>1009</v>
      </c>
      <c r="E873" s="118">
        <v>951000447</v>
      </c>
      <c r="G873" s="117"/>
      <c r="H873" s="117"/>
    </row>
    <row r="874" spans="4:8" ht="15" thickBot="1" x14ac:dyDescent="0.35">
      <c r="D874" s="117" t="s">
        <v>1010</v>
      </c>
      <c r="E874" s="118">
        <v>951000929</v>
      </c>
      <c r="G874" s="117"/>
      <c r="H874" s="117"/>
    </row>
    <row r="875" spans="4:8" ht="15" thickBot="1" x14ac:dyDescent="0.35">
      <c r="D875" s="117" t="s">
        <v>1011</v>
      </c>
      <c r="E875" s="118">
        <v>951000340</v>
      </c>
      <c r="G875" s="117"/>
      <c r="H875" s="117"/>
    </row>
    <row r="876" spans="4:8" ht="15" thickBot="1" x14ac:dyDescent="0.35">
      <c r="D876" s="117" t="s">
        <v>1012</v>
      </c>
      <c r="E876" s="118">
        <v>951000838</v>
      </c>
      <c r="G876" s="117"/>
      <c r="H876" s="117"/>
    </row>
    <row r="877" spans="4:8" ht="27.6" thickBot="1" x14ac:dyDescent="0.35">
      <c r="D877" s="117" t="s">
        <v>1013</v>
      </c>
      <c r="E877" s="118">
        <v>951001110</v>
      </c>
      <c r="G877" s="117"/>
      <c r="H877" s="117"/>
    </row>
    <row r="878" spans="4:8" ht="15" thickBot="1" x14ac:dyDescent="0.35">
      <c r="D878" s="117" t="s">
        <v>1014</v>
      </c>
      <c r="E878" s="118">
        <v>959000006</v>
      </c>
      <c r="G878" s="117"/>
      <c r="H878" s="117"/>
    </row>
    <row r="879" spans="4:8" ht="15" thickBot="1" x14ac:dyDescent="0.35">
      <c r="D879" s="117" t="s">
        <v>1015</v>
      </c>
      <c r="E879" s="118">
        <v>951000212</v>
      </c>
      <c r="G879" s="117"/>
      <c r="H879" s="117"/>
    </row>
    <row r="880" spans="4:8" ht="15" thickBot="1" x14ac:dyDescent="0.35">
      <c r="D880" s="117" t="s">
        <v>1016</v>
      </c>
      <c r="E880" s="118">
        <v>951000202</v>
      </c>
      <c r="G880" s="117"/>
      <c r="H880" s="117"/>
    </row>
    <row r="881" spans="4:8" ht="27.6" thickBot="1" x14ac:dyDescent="0.35">
      <c r="D881" s="117" t="s">
        <v>1017</v>
      </c>
      <c r="E881" s="118">
        <v>951000123</v>
      </c>
      <c r="G881" s="117"/>
      <c r="H881" s="117"/>
    </row>
    <row r="882" spans="4:8" ht="27.6" thickBot="1" x14ac:dyDescent="0.35">
      <c r="D882" s="117" t="s">
        <v>1018</v>
      </c>
      <c r="E882" s="118">
        <v>951000396</v>
      </c>
      <c r="G882" s="117"/>
      <c r="H882" s="117"/>
    </row>
    <row r="883" spans="4:8" ht="15" thickBot="1" x14ac:dyDescent="0.35">
      <c r="D883" s="117" t="s">
        <v>1019</v>
      </c>
      <c r="E883" s="118">
        <v>951000268</v>
      </c>
      <c r="G883" s="117"/>
      <c r="H883" s="117"/>
    </row>
    <row r="884" spans="4:8" ht="27.6" thickBot="1" x14ac:dyDescent="0.35">
      <c r="D884" s="117" t="s">
        <v>1020</v>
      </c>
      <c r="E884" s="118">
        <v>951000101</v>
      </c>
      <c r="G884" s="117"/>
      <c r="H884" s="117"/>
    </row>
    <row r="885" spans="4:8" ht="15" thickBot="1" x14ac:dyDescent="0.35">
      <c r="D885" s="117" t="s">
        <v>1021</v>
      </c>
      <c r="E885" s="118">
        <v>951000133</v>
      </c>
      <c r="G885" s="117"/>
      <c r="H885" s="117"/>
    </row>
    <row r="886" spans="4:8" ht="15" thickBot="1" x14ac:dyDescent="0.35">
      <c r="D886" s="117" t="s">
        <v>1022</v>
      </c>
      <c r="E886" s="118">
        <v>951000459</v>
      </c>
      <c r="G886" s="117"/>
      <c r="H886" s="117"/>
    </row>
    <row r="887" spans="4:8" ht="15" thickBot="1" x14ac:dyDescent="0.35">
      <c r="D887" s="117" t="s">
        <v>1023</v>
      </c>
      <c r="E887" s="118">
        <v>951000018</v>
      </c>
      <c r="G887" s="117"/>
      <c r="H887" s="117"/>
    </row>
    <row r="888" spans="4:8" ht="15" thickBot="1" x14ac:dyDescent="0.35">
      <c r="D888" s="117" t="s">
        <v>1024</v>
      </c>
      <c r="E888" s="118">
        <v>951000331</v>
      </c>
      <c r="G888" s="117"/>
      <c r="H888" s="117"/>
    </row>
    <row r="889" spans="4:8" ht="15" thickBot="1" x14ac:dyDescent="0.35">
      <c r="D889" s="117" t="s">
        <v>1025</v>
      </c>
      <c r="E889" s="118">
        <v>951000060</v>
      </c>
      <c r="G889" s="117"/>
      <c r="H889" s="117"/>
    </row>
    <row r="890" spans="4:8" ht="15" thickBot="1" x14ac:dyDescent="0.35">
      <c r="D890" s="117" t="s">
        <v>1026</v>
      </c>
      <c r="E890" s="118">
        <v>951000296</v>
      </c>
      <c r="G890" s="117"/>
      <c r="H890" s="117"/>
    </row>
    <row r="891" spans="4:8" ht="15" thickBot="1" x14ac:dyDescent="0.35">
      <c r="D891" s="117" t="s">
        <v>1027</v>
      </c>
      <c r="E891" s="118">
        <v>959000025</v>
      </c>
      <c r="G891" s="117"/>
      <c r="H891" s="117"/>
    </row>
    <row r="892" spans="4:8" ht="15" thickBot="1" x14ac:dyDescent="0.35">
      <c r="D892" s="117" t="s">
        <v>1028</v>
      </c>
      <c r="E892" s="118">
        <v>951000884</v>
      </c>
      <c r="G892" s="117"/>
      <c r="H892" s="117"/>
    </row>
    <row r="893" spans="4:8" ht="15" thickBot="1" x14ac:dyDescent="0.35">
      <c r="D893" s="117" t="s">
        <v>1029</v>
      </c>
      <c r="E893" s="118">
        <v>951000198</v>
      </c>
      <c r="G893" s="117"/>
      <c r="H893" s="117"/>
    </row>
    <row r="894" spans="4:8" ht="27.6" thickBot="1" x14ac:dyDescent="0.35">
      <c r="D894" s="117" t="s">
        <v>1030</v>
      </c>
      <c r="E894" s="118">
        <v>951001385</v>
      </c>
      <c r="G894" s="117"/>
      <c r="H894" s="117"/>
    </row>
    <row r="895" spans="4:8" ht="15" thickBot="1" x14ac:dyDescent="0.35">
      <c r="D895" s="117" t="s">
        <v>1031</v>
      </c>
      <c r="E895" s="118">
        <v>951001252</v>
      </c>
      <c r="G895" s="117"/>
      <c r="H895" s="117"/>
    </row>
    <row r="896" spans="4:8" ht="15" thickBot="1" x14ac:dyDescent="0.35">
      <c r="D896" s="117" t="s">
        <v>1032</v>
      </c>
      <c r="E896" s="118">
        <v>951000107</v>
      </c>
      <c r="G896" s="117"/>
      <c r="H896" s="117"/>
    </row>
    <row r="897" spans="4:8" ht="15" thickBot="1" x14ac:dyDescent="0.35">
      <c r="D897" s="117" t="s">
        <v>1033</v>
      </c>
      <c r="E897" s="118">
        <v>951000161</v>
      </c>
      <c r="G897" s="117"/>
      <c r="H897" s="117"/>
    </row>
    <row r="898" spans="4:8" ht="15" thickBot="1" x14ac:dyDescent="0.35">
      <c r="D898" s="117" t="s">
        <v>1034</v>
      </c>
      <c r="E898" s="118">
        <v>951000836</v>
      </c>
      <c r="G898" s="117"/>
      <c r="H898" s="117"/>
    </row>
    <row r="899" spans="4:8" ht="15" thickBot="1" x14ac:dyDescent="0.35">
      <c r="D899" s="117" t="s">
        <v>1035</v>
      </c>
      <c r="E899" s="118">
        <v>951000845</v>
      </c>
      <c r="G899" s="117"/>
      <c r="H899" s="117"/>
    </row>
    <row r="900" spans="4:8" ht="15" thickBot="1" x14ac:dyDescent="0.35">
      <c r="D900" s="117" t="s">
        <v>1036</v>
      </c>
      <c r="E900" s="118">
        <v>951000246</v>
      </c>
      <c r="G900" s="117"/>
      <c r="H900" s="117"/>
    </row>
    <row r="901" spans="4:8" ht="27.6" thickBot="1" x14ac:dyDescent="0.35">
      <c r="D901" s="117" t="s">
        <v>1037</v>
      </c>
      <c r="E901" s="118">
        <v>951001163</v>
      </c>
      <c r="G901" s="117"/>
      <c r="H901" s="117"/>
    </row>
    <row r="902" spans="4:8" ht="27.6" thickBot="1" x14ac:dyDescent="0.35">
      <c r="D902" s="117" t="s">
        <v>1038</v>
      </c>
      <c r="E902" s="118">
        <v>951001196</v>
      </c>
      <c r="G902" s="117"/>
      <c r="H902" s="117"/>
    </row>
    <row r="903" spans="4:8" ht="15" thickBot="1" x14ac:dyDescent="0.35">
      <c r="D903" s="117" t="s">
        <v>1039</v>
      </c>
      <c r="E903" s="118">
        <v>951000641</v>
      </c>
      <c r="G903" s="117"/>
      <c r="H903" s="117"/>
    </row>
    <row r="904" spans="4:8" ht="15" thickBot="1" x14ac:dyDescent="0.35">
      <c r="D904" s="117" t="s">
        <v>1040</v>
      </c>
      <c r="E904" s="118">
        <v>951000683</v>
      </c>
      <c r="G904" s="117"/>
      <c r="H904" s="117"/>
    </row>
    <row r="905" spans="4:8" ht="27.6" thickBot="1" x14ac:dyDescent="0.35">
      <c r="D905" s="117" t="s">
        <v>1041</v>
      </c>
      <c r="E905" s="118">
        <v>951001088</v>
      </c>
      <c r="G905" s="117"/>
      <c r="H905" s="117"/>
    </row>
    <row r="906" spans="4:8" ht="15" thickBot="1" x14ac:dyDescent="0.35">
      <c r="D906" s="117" t="s">
        <v>1042</v>
      </c>
      <c r="E906" s="118">
        <v>951000401</v>
      </c>
      <c r="G906" s="117"/>
      <c r="H906" s="117"/>
    </row>
    <row r="907" spans="4:8" ht="15" thickBot="1" x14ac:dyDescent="0.35">
      <c r="D907" s="117" t="s">
        <v>1043</v>
      </c>
      <c r="E907" s="118">
        <v>951000660</v>
      </c>
      <c r="G907" s="117"/>
      <c r="H907" s="117"/>
    </row>
    <row r="908" spans="4:8" ht="15" thickBot="1" x14ac:dyDescent="0.35">
      <c r="D908" s="117" t="s">
        <v>1044</v>
      </c>
      <c r="E908" s="118">
        <v>951001022</v>
      </c>
      <c r="G908" s="117"/>
      <c r="H908" s="117"/>
    </row>
    <row r="909" spans="4:8" ht="15" thickBot="1" x14ac:dyDescent="0.35">
      <c r="D909" s="117" t="s">
        <v>1045</v>
      </c>
      <c r="E909" s="118">
        <v>951000575</v>
      </c>
      <c r="G909" s="117"/>
      <c r="H909" s="117"/>
    </row>
    <row r="910" spans="4:8" ht="15" thickBot="1" x14ac:dyDescent="0.35">
      <c r="D910" s="117" t="s">
        <v>420</v>
      </c>
      <c r="E910" s="118">
        <v>951001131</v>
      </c>
      <c r="G910" s="117"/>
      <c r="H910" s="117"/>
    </row>
    <row r="911" spans="4:8" ht="27.6" thickBot="1" x14ac:dyDescent="0.35">
      <c r="D911" s="117" t="s">
        <v>1046</v>
      </c>
      <c r="E911" s="118">
        <v>951001208</v>
      </c>
      <c r="G911" s="117"/>
      <c r="H911" s="117"/>
    </row>
    <row r="912" spans="4:8" ht="15" thickBot="1" x14ac:dyDescent="0.35">
      <c r="D912" s="117" t="s">
        <v>1047</v>
      </c>
      <c r="E912" s="118">
        <v>951000894</v>
      </c>
      <c r="G912" s="117"/>
      <c r="H912" s="117"/>
    </row>
    <row r="913" spans="4:8" ht="15" thickBot="1" x14ac:dyDescent="0.35">
      <c r="D913" s="117" t="s">
        <v>1048</v>
      </c>
      <c r="E913" s="118">
        <v>951000178</v>
      </c>
      <c r="G913" s="117"/>
      <c r="H913" s="117"/>
    </row>
    <row r="914" spans="4:8" ht="27.6" thickBot="1" x14ac:dyDescent="0.35">
      <c r="D914" s="117" t="s">
        <v>1049</v>
      </c>
      <c r="E914" s="118">
        <v>951000967</v>
      </c>
      <c r="G914" s="117"/>
      <c r="H914" s="117"/>
    </row>
    <row r="915" spans="4:8" ht="27.6" thickBot="1" x14ac:dyDescent="0.35">
      <c r="D915" s="117" t="s">
        <v>1050</v>
      </c>
      <c r="E915" s="118">
        <v>951000494</v>
      </c>
      <c r="G915" s="117"/>
      <c r="H915" s="117"/>
    </row>
    <row r="916" spans="4:8" ht="15" thickBot="1" x14ac:dyDescent="0.35">
      <c r="D916" s="117" t="s">
        <v>1051</v>
      </c>
      <c r="E916" s="118">
        <v>951000067</v>
      </c>
      <c r="G916" s="117"/>
      <c r="H916" s="117"/>
    </row>
    <row r="917" spans="4:8" ht="27.6" thickBot="1" x14ac:dyDescent="0.35">
      <c r="D917" s="117" t="s">
        <v>1052</v>
      </c>
      <c r="E917" s="118">
        <v>951000248</v>
      </c>
      <c r="G917" s="117"/>
      <c r="H917" s="117"/>
    </row>
    <row r="918" spans="4:8" ht="15" thickBot="1" x14ac:dyDescent="0.35">
      <c r="D918" s="117" t="s">
        <v>1053</v>
      </c>
      <c r="E918" s="118">
        <v>140000003</v>
      </c>
      <c r="G918" s="117"/>
      <c r="H918" s="117"/>
    </row>
    <row r="919" spans="4:8" ht="15" thickBot="1" x14ac:dyDescent="0.35">
      <c r="D919" s="117" t="s">
        <v>1054</v>
      </c>
      <c r="E919" s="118">
        <v>951000006</v>
      </c>
      <c r="G919" s="117"/>
      <c r="H919" s="117"/>
    </row>
    <row r="920" spans="4:8" ht="15" thickBot="1" x14ac:dyDescent="0.35">
      <c r="D920" s="117" t="s">
        <v>281</v>
      </c>
      <c r="E920" s="118">
        <v>951000584</v>
      </c>
      <c r="G920" s="117"/>
      <c r="H920" s="117"/>
    </row>
    <row r="921" spans="4:8" ht="15" thickBot="1" x14ac:dyDescent="0.35">
      <c r="D921" s="117" t="s">
        <v>1055</v>
      </c>
      <c r="E921" s="118">
        <v>951001142</v>
      </c>
      <c r="G921" s="117"/>
      <c r="H921" s="117"/>
    </row>
    <row r="922" spans="4:8" ht="15" thickBot="1" x14ac:dyDescent="0.35">
      <c r="D922" s="117" t="s">
        <v>1056</v>
      </c>
      <c r="E922" s="118">
        <v>951000595</v>
      </c>
      <c r="G922" s="117"/>
      <c r="H922" s="117"/>
    </row>
    <row r="923" spans="4:8" ht="27.6" thickBot="1" x14ac:dyDescent="0.35">
      <c r="D923" s="117" t="s">
        <v>1057</v>
      </c>
      <c r="E923" s="118">
        <v>951001366</v>
      </c>
      <c r="G923" s="117"/>
      <c r="H923" s="117"/>
    </row>
    <row r="924" spans="4:8" ht="15" thickBot="1" x14ac:dyDescent="0.35">
      <c r="D924" s="117" t="s">
        <v>1058</v>
      </c>
      <c r="E924" s="118">
        <v>951001340</v>
      </c>
      <c r="G924" s="117"/>
      <c r="H924" s="117"/>
    </row>
    <row r="925" spans="4:8" ht="15" thickBot="1" x14ac:dyDescent="0.35">
      <c r="D925" s="117" t="s">
        <v>1059</v>
      </c>
      <c r="E925" s="118">
        <v>951000236</v>
      </c>
      <c r="G925" s="117"/>
      <c r="H925" s="117"/>
    </row>
    <row r="926" spans="4:8" ht="15" thickBot="1" x14ac:dyDescent="0.35">
      <c r="D926" s="117" t="s">
        <v>1060</v>
      </c>
      <c r="E926" s="118">
        <v>951000766</v>
      </c>
      <c r="G926" s="117"/>
      <c r="H926" s="117"/>
    </row>
    <row r="927" spans="4:8" ht="27.6" thickBot="1" x14ac:dyDescent="0.35">
      <c r="D927" s="117" t="s">
        <v>1061</v>
      </c>
      <c r="E927" s="118">
        <v>951001116</v>
      </c>
      <c r="G927" s="117"/>
      <c r="H927" s="117"/>
    </row>
    <row r="928" spans="4:8" ht="15" thickBot="1" x14ac:dyDescent="0.35">
      <c r="D928" s="117" t="s">
        <v>1062</v>
      </c>
      <c r="E928" s="118">
        <v>953000002</v>
      </c>
      <c r="G928" s="117"/>
      <c r="H928" s="117"/>
    </row>
    <row r="929" spans="4:8" ht="27.6" thickBot="1" x14ac:dyDescent="0.35">
      <c r="D929" s="117" t="s">
        <v>1063</v>
      </c>
      <c r="E929" s="118">
        <v>953000004</v>
      </c>
      <c r="G929" s="117"/>
      <c r="H929" s="117"/>
    </row>
    <row r="930" spans="4:8" ht="27.6" thickBot="1" x14ac:dyDescent="0.35">
      <c r="D930" s="117" t="s">
        <v>1064</v>
      </c>
      <c r="E930" s="118">
        <v>953000000</v>
      </c>
      <c r="G930" s="117"/>
      <c r="H930" s="117"/>
    </row>
    <row r="931" spans="4:8" ht="15" thickBot="1" x14ac:dyDescent="0.35">
      <c r="D931" s="117" t="s">
        <v>1065</v>
      </c>
      <c r="E931" s="118">
        <v>953000001</v>
      </c>
      <c r="G931" s="117"/>
      <c r="H931" s="117"/>
    </row>
    <row r="932" spans="4:8" ht="15" thickBot="1" x14ac:dyDescent="0.35">
      <c r="D932" s="117" t="s">
        <v>1066</v>
      </c>
      <c r="E932" s="118">
        <v>951000928</v>
      </c>
      <c r="G932" s="117"/>
      <c r="H932" s="117"/>
    </row>
    <row r="933" spans="4:8" ht="15" thickBot="1" x14ac:dyDescent="0.35">
      <c r="D933" s="117" t="s">
        <v>1067</v>
      </c>
      <c r="E933" s="118">
        <v>951000515</v>
      </c>
      <c r="G933" s="117"/>
      <c r="H933" s="117"/>
    </row>
    <row r="934" spans="4:8" ht="27.6" thickBot="1" x14ac:dyDescent="0.35">
      <c r="D934" s="117" t="s">
        <v>1068</v>
      </c>
      <c r="E934" s="118">
        <v>951001341</v>
      </c>
      <c r="G934" s="117"/>
      <c r="H934" s="117"/>
    </row>
    <row r="935" spans="4:8" ht="15" thickBot="1" x14ac:dyDescent="0.35">
      <c r="D935" s="117" t="s">
        <v>1069</v>
      </c>
      <c r="E935" s="118">
        <v>951000565</v>
      </c>
      <c r="G935" s="117"/>
      <c r="H935" s="117"/>
    </row>
    <row r="936" spans="4:8" ht="27.6" thickBot="1" x14ac:dyDescent="0.35">
      <c r="D936" s="117" t="s">
        <v>1070</v>
      </c>
      <c r="E936" s="118">
        <v>951000939</v>
      </c>
      <c r="G936" s="117"/>
      <c r="H936" s="117"/>
    </row>
    <row r="937" spans="4:8" ht="15" thickBot="1" x14ac:dyDescent="0.35">
      <c r="D937" s="117" t="s">
        <v>1071</v>
      </c>
      <c r="E937" s="118">
        <v>951000089</v>
      </c>
      <c r="G937" s="117"/>
      <c r="H937" s="117"/>
    </row>
    <row r="938" spans="4:8" ht="27.6" thickBot="1" x14ac:dyDescent="0.35">
      <c r="D938" s="117" t="s">
        <v>1072</v>
      </c>
      <c r="E938" s="118">
        <v>951000594</v>
      </c>
      <c r="G938" s="117"/>
      <c r="H938" s="117"/>
    </row>
    <row r="939" spans="4:8" ht="27.6" thickBot="1" x14ac:dyDescent="0.35">
      <c r="D939" s="117" t="s">
        <v>1073</v>
      </c>
      <c r="E939" s="118">
        <v>951001069</v>
      </c>
      <c r="G939" s="117"/>
      <c r="H939" s="117"/>
    </row>
    <row r="940" spans="4:8" ht="15" thickBot="1" x14ac:dyDescent="0.35">
      <c r="D940" s="117" t="s">
        <v>1074</v>
      </c>
      <c r="E940" s="118">
        <v>951001209</v>
      </c>
      <c r="G940" s="117"/>
      <c r="H940" s="117"/>
    </row>
    <row r="941" spans="4:8" ht="15" thickBot="1" x14ac:dyDescent="0.35">
      <c r="D941" s="117" t="s">
        <v>1075</v>
      </c>
      <c r="E941" s="118">
        <v>951000637</v>
      </c>
      <c r="G941" s="117"/>
      <c r="H941" s="117"/>
    </row>
    <row r="942" spans="4:8" ht="15" thickBot="1" x14ac:dyDescent="0.35">
      <c r="D942" s="117" t="s">
        <v>1076</v>
      </c>
      <c r="E942" s="118">
        <v>951000240</v>
      </c>
      <c r="G942" s="117"/>
      <c r="H942" s="117"/>
    </row>
    <row r="943" spans="4:8" ht="27.6" thickBot="1" x14ac:dyDescent="0.35">
      <c r="D943" s="117" t="s">
        <v>1077</v>
      </c>
      <c r="E943" s="118">
        <v>951000162</v>
      </c>
      <c r="G943" s="117"/>
      <c r="H943" s="117"/>
    </row>
    <row r="944" spans="4:8" ht="15" thickBot="1" x14ac:dyDescent="0.35">
      <c r="D944" s="117" t="s">
        <v>1078</v>
      </c>
      <c r="E944" s="118">
        <v>951000671</v>
      </c>
      <c r="G944" s="117"/>
      <c r="H944" s="117"/>
    </row>
    <row r="945" spans="4:8" ht="27.6" thickBot="1" x14ac:dyDescent="0.35">
      <c r="D945" s="117" t="s">
        <v>1079</v>
      </c>
      <c r="E945" s="118">
        <v>951001376</v>
      </c>
      <c r="G945" s="117"/>
      <c r="H945" s="117"/>
    </row>
    <row r="946" spans="4:8" ht="15" thickBot="1" x14ac:dyDescent="0.35">
      <c r="D946" s="117" t="s">
        <v>1080</v>
      </c>
      <c r="E946" s="118">
        <v>951000117</v>
      </c>
      <c r="G946" s="117"/>
      <c r="H946" s="117"/>
    </row>
    <row r="947" spans="4:8" ht="27.6" thickBot="1" x14ac:dyDescent="0.35">
      <c r="D947" s="117" t="s">
        <v>1081</v>
      </c>
      <c r="E947" s="118">
        <v>951000892</v>
      </c>
      <c r="G947" s="117"/>
      <c r="H947" s="117"/>
    </row>
    <row r="948" spans="4:8" ht="15" thickBot="1" x14ac:dyDescent="0.35">
      <c r="D948" s="117" t="s">
        <v>1082</v>
      </c>
      <c r="E948" s="118">
        <v>951000333</v>
      </c>
      <c r="G948" s="117"/>
      <c r="H948" s="117"/>
    </row>
    <row r="949" spans="4:8" ht="27.6" thickBot="1" x14ac:dyDescent="0.35">
      <c r="D949" s="117" t="s">
        <v>1083</v>
      </c>
      <c r="E949" s="118">
        <v>951000318</v>
      </c>
      <c r="G949" s="117"/>
      <c r="H949" s="117"/>
    </row>
    <row r="950" spans="4:8" ht="15" thickBot="1" x14ac:dyDescent="0.35">
      <c r="D950" s="117" t="s">
        <v>1084</v>
      </c>
      <c r="E950" s="118">
        <v>951000381</v>
      </c>
      <c r="G950" s="117"/>
      <c r="H950" s="117"/>
    </row>
    <row r="951" spans="4:8" ht="15" thickBot="1" x14ac:dyDescent="0.35">
      <c r="D951" s="117" t="s">
        <v>1085</v>
      </c>
      <c r="E951" s="118">
        <v>951000705</v>
      </c>
      <c r="G951" s="117"/>
      <c r="H951" s="117"/>
    </row>
    <row r="952" spans="4:8" ht="15" thickBot="1" x14ac:dyDescent="0.35">
      <c r="D952" s="117" t="s">
        <v>1086</v>
      </c>
      <c r="E952" s="118">
        <v>951000490</v>
      </c>
      <c r="G952" s="117"/>
      <c r="H952" s="117"/>
    </row>
    <row r="953" spans="4:8" ht="15" thickBot="1" x14ac:dyDescent="0.35">
      <c r="D953" s="117" t="s">
        <v>1087</v>
      </c>
      <c r="E953" s="118">
        <v>951000441</v>
      </c>
      <c r="G953" s="117"/>
      <c r="H953" s="117"/>
    </row>
    <row r="954" spans="4:8" ht="27.6" thickBot="1" x14ac:dyDescent="0.35">
      <c r="D954" s="117" t="s">
        <v>1088</v>
      </c>
      <c r="E954" s="118">
        <v>951000911</v>
      </c>
      <c r="G954" s="117"/>
      <c r="H954" s="117"/>
    </row>
    <row r="955" spans="4:8" ht="15" thickBot="1" x14ac:dyDescent="0.35">
      <c r="D955" s="117" t="s">
        <v>1089</v>
      </c>
      <c r="E955" s="118">
        <v>951000915</v>
      </c>
      <c r="G955" s="117"/>
      <c r="H955" s="117"/>
    </row>
    <row r="956" spans="4:8" ht="15" thickBot="1" x14ac:dyDescent="0.35">
      <c r="D956" s="117" t="s">
        <v>1090</v>
      </c>
      <c r="E956" s="118">
        <v>951000249</v>
      </c>
      <c r="G956" s="117"/>
      <c r="H956" s="117"/>
    </row>
    <row r="957" spans="4:8" ht="27.6" thickBot="1" x14ac:dyDescent="0.35">
      <c r="D957" s="117" t="s">
        <v>1091</v>
      </c>
      <c r="E957" s="118">
        <v>951000906</v>
      </c>
      <c r="G957" s="117"/>
      <c r="H957" s="117"/>
    </row>
    <row r="958" spans="4:8" ht="27.6" thickBot="1" x14ac:dyDescent="0.35">
      <c r="D958" s="117" t="s">
        <v>1092</v>
      </c>
      <c r="E958" s="118">
        <v>951001319</v>
      </c>
      <c r="G958" s="117"/>
      <c r="H958" s="117"/>
    </row>
    <row r="959" spans="4:8" ht="15" thickBot="1" x14ac:dyDescent="0.35">
      <c r="D959" s="117" t="s">
        <v>1093</v>
      </c>
      <c r="E959" s="118">
        <v>951000427</v>
      </c>
      <c r="G959" s="117"/>
      <c r="H959" s="117"/>
    </row>
    <row r="960" spans="4:8" ht="15" thickBot="1" x14ac:dyDescent="0.35">
      <c r="D960" s="117" t="s">
        <v>1094</v>
      </c>
      <c r="E960" s="118">
        <v>951000461</v>
      </c>
      <c r="G960" s="117"/>
      <c r="H960" s="117"/>
    </row>
    <row r="961" spans="4:8" ht="15" thickBot="1" x14ac:dyDescent="0.35">
      <c r="D961" s="117" t="s">
        <v>1095</v>
      </c>
      <c r="E961" s="118">
        <v>951000424</v>
      </c>
      <c r="G961" s="117"/>
      <c r="H961" s="117"/>
    </row>
    <row r="962" spans="4:8" ht="15" thickBot="1" x14ac:dyDescent="0.35">
      <c r="D962" s="117" t="s">
        <v>1096</v>
      </c>
      <c r="E962" s="118">
        <v>951000309</v>
      </c>
      <c r="G962" s="117"/>
      <c r="H962" s="117"/>
    </row>
    <row r="963" spans="4:8" ht="15" thickBot="1" x14ac:dyDescent="0.35">
      <c r="D963" s="117" t="s">
        <v>1097</v>
      </c>
      <c r="E963" s="118">
        <v>951000152</v>
      </c>
      <c r="G963" s="117"/>
      <c r="H963" s="117"/>
    </row>
    <row r="964" spans="4:8" ht="15" thickBot="1" x14ac:dyDescent="0.35">
      <c r="D964" s="117" t="s">
        <v>1098</v>
      </c>
      <c r="E964" s="118">
        <v>951000109</v>
      </c>
      <c r="G964" s="117"/>
      <c r="H964" s="117"/>
    </row>
    <row r="965" spans="4:8" ht="27.6" thickBot="1" x14ac:dyDescent="0.35">
      <c r="D965" s="117" t="s">
        <v>1099</v>
      </c>
      <c r="E965" s="118">
        <v>951001070</v>
      </c>
      <c r="G965" s="117"/>
      <c r="H965" s="117"/>
    </row>
    <row r="966" spans="4:8" ht="27.6" thickBot="1" x14ac:dyDescent="0.35">
      <c r="D966" s="117" t="s">
        <v>1100</v>
      </c>
      <c r="E966" s="118">
        <v>951001117</v>
      </c>
      <c r="G966" s="117"/>
      <c r="H966" s="117"/>
    </row>
    <row r="967" spans="4:8" ht="15" thickBot="1" x14ac:dyDescent="0.35">
      <c r="D967" s="117" t="s">
        <v>1101</v>
      </c>
      <c r="E967" s="118">
        <v>951001346</v>
      </c>
      <c r="G967" s="117"/>
      <c r="H967" s="117"/>
    </row>
    <row r="968" spans="4:8" ht="15" thickBot="1" x14ac:dyDescent="0.35">
      <c r="D968" s="117" t="s">
        <v>1102</v>
      </c>
      <c r="E968" s="118">
        <v>951000533</v>
      </c>
      <c r="G968" s="117"/>
      <c r="H968" s="117"/>
    </row>
    <row r="969" spans="4:8" ht="15" thickBot="1" x14ac:dyDescent="0.35">
      <c r="D969" s="117" t="s">
        <v>1103</v>
      </c>
      <c r="E969" s="118">
        <v>951001431</v>
      </c>
      <c r="G969" s="117"/>
      <c r="H969" s="117"/>
    </row>
    <row r="970" spans="4:8" ht="15" thickBot="1" x14ac:dyDescent="0.35">
      <c r="D970" s="117" t="s">
        <v>1104</v>
      </c>
      <c r="E970" s="118">
        <v>951000557</v>
      </c>
      <c r="G970" s="117"/>
      <c r="H970" s="117"/>
    </row>
    <row r="971" spans="4:8" ht="27.6" thickBot="1" x14ac:dyDescent="0.35">
      <c r="D971" s="117" t="s">
        <v>1105</v>
      </c>
      <c r="E971" s="118">
        <v>951000026</v>
      </c>
      <c r="G971" s="117"/>
      <c r="H971" s="117"/>
    </row>
    <row r="972" spans="4:8" ht="15" thickBot="1" x14ac:dyDescent="0.35">
      <c r="D972" s="117" t="s">
        <v>1106</v>
      </c>
      <c r="E972" s="118">
        <v>951000030</v>
      </c>
      <c r="G972" s="117"/>
      <c r="H972" s="117"/>
    </row>
    <row r="973" spans="4:8" ht="15" thickBot="1" x14ac:dyDescent="0.35">
      <c r="D973" s="117" t="s">
        <v>1107</v>
      </c>
      <c r="E973" s="118">
        <v>951000180</v>
      </c>
      <c r="G973" s="117"/>
      <c r="H973" s="117"/>
    </row>
    <row r="974" spans="4:8" ht="15" thickBot="1" x14ac:dyDescent="0.35">
      <c r="D974" s="117" t="s">
        <v>1108</v>
      </c>
      <c r="E974" s="118">
        <v>951000655</v>
      </c>
      <c r="G974" s="117"/>
      <c r="H974" s="117"/>
    </row>
    <row r="975" spans="4:8" ht="15" thickBot="1" x14ac:dyDescent="0.35">
      <c r="D975" s="117" t="s">
        <v>1109</v>
      </c>
      <c r="E975" s="118">
        <v>951000021</v>
      </c>
      <c r="G975" s="117"/>
      <c r="H975" s="117"/>
    </row>
    <row r="976" spans="4:8" ht="15" thickBot="1" x14ac:dyDescent="0.35">
      <c r="D976" s="117" t="s">
        <v>1110</v>
      </c>
      <c r="E976" s="118">
        <v>951001173</v>
      </c>
      <c r="G976" s="117"/>
      <c r="H976" s="117"/>
    </row>
    <row r="977" spans="4:8" ht="15" thickBot="1" x14ac:dyDescent="0.35">
      <c r="D977" s="117" t="s">
        <v>1111</v>
      </c>
      <c r="E977" s="118">
        <v>951001151</v>
      </c>
      <c r="G977" s="117"/>
      <c r="H977" s="117"/>
    </row>
    <row r="978" spans="4:8" ht="27.6" thickBot="1" x14ac:dyDescent="0.35">
      <c r="D978" s="117" t="s">
        <v>1112</v>
      </c>
      <c r="E978" s="118">
        <v>951000821</v>
      </c>
      <c r="G978" s="117"/>
      <c r="H978" s="117"/>
    </row>
    <row r="979" spans="4:8" ht="15" thickBot="1" x14ac:dyDescent="0.35">
      <c r="D979" s="117" t="s">
        <v>1113</v>
      </c>
      <c r="E979" s="118">
        <v>951000694</v>
      </c>
      <c r="G979" s="117"/>
      <c r="H979" s="117"/>
    </row>
    <row r="980" spans="4:8" ht="15" thickBot="1" x14ac:dyDescent="0.35">
      <c r="D980" s="117" t="s">
        <v>1114</v>
      </c>
      <c r="E980" s="118">
        <v>951000290</v>
      </c>
      <c r="G980" s="117"/>
      <c r="H980" s="117"/>
    </row>
    <row r="981" spans="4:8" ht="15" thickBot="1" x14ac:dyDescent="0.35">
      <c r="D981" s="117" t="s">
        <v>1115</v>
      </c>
      <c r="E981" s="118">
        <v>951000423</v>
      </c>
      <c r="G981" s="117"/>
      <c r="H981" s="117"/>
    </row>
    <row r="982" spans="4:8" ht="27.6" thickBot="1" x14ac:dyDescent="0.35">
      <c r="D982" s="117" t="s">
        <v>1116</v>
      </c>
      <c r="E982" s="118">
        <v>951000737</v>
      </c>
      <c r="G982" s="117"/>
      <c r="H982" s="117"/>
    </row>
    <row r="983" spans="4:8" ht="27.6" thickBot="1" x14ac:dyDescent="0.35">
      <c r="D983" s="117" t="s">
        <v>1117</v>
      </c>
      <c r="E983" s="118">
        <v>951001084</v>
      </c>
      <c r="G983" s="117"/>
      <c r="H983" s="117"/>
    </row>
    <row r="984" spans="4:8" ht="15" thickBot="1" x14ac:dyDescent="0.35">
      <c r="D984" s="117" t="s">
        <v>1118</v>
      </c>
      <c r="E984" s="118">
        <v>951000797</v>
      </c>
      <c r="G984" s="117"/>
      <c r="H984" s="117"/>
    </row>
    <row r="985" spans="4:8" ht="15" thickBot="1" x14ac:dyDescent="0.35">
      <c r="D985" s="117" t="s">
        <v>1119</v>
      </c>
      <c r="E985" s="118">
        <v>951000786</v>
      </c>
      <c r="G985" s="117"/>
      <c r="H985" s="117"/>
    </row>
    <row r="986" spans="4:8" ht="15" thickBot="1" x14ac:dyDescent="0.35">
      <c r="D986" s="117" t="s">
        <v>1120</v>
      </c>
      <c r="E986" s="118">
        <v>959900000</v>
      </c>
      <c r="G986" s="117"/>
      <c r="H986" s="117"/>
    </row>
    <row r="987" spans="4:8" ht="15" thickBot="1" x14ac:dyDescent="0.35">
      <c r="D987" s="117" t="s">
        <v>1121</v>
      </c>
      <c r="E987" s="118">
        <v>951000528</v>
      </c>
      <c r="G987" s="117"/>
      <c r="H987" s="117"/>
    </row>
    <row r="988" spans="4:8" ht="15" thickBot="1" x14ac:dyDescent="0.35">
      <c r="D988" s="117" t="s">
        <v>1122</v>
      </c>
      <c r="E988" s="118">
        <v>1951001387</v>
      </c>
      <c r="G988" s="117"/>
      <c r="H988" s="117"/>
    </row>
    <row r="989" spans="4:8" ht="15" thickBot="1" x14ac:dyDescent="0.35">
      <c r="D989" s="117" t="s">
        <v>1123</v>
      </c>
      <c r="E989" s="118">
        <v>1951001377</v>
      </c>
      <c r="G989" s="117"/>
      <c r="H989" s="117"/>
    </row>
    <row r="990" spans="4:8" ht="15" thickBot="1" x14ac:dyDescent="0.35">
      <c r="D990" s="117" t="s">
        <v>1124</v>
      </c>
      <c r="E990" s="118">
        <v>1951001368</v>
      </c>
      <c r="G990" s="117"/>
      <c r="H990" s="117"/>
    </row>
    <row r="991" spans="4:8" ht="15" thickBot="1" x14ac:dyDescent="0.35">
      <c r="D991" s="117" t="s">
        <v>1125</v>
      </c>
      <c r="E991" s="118">
        <v>951000355</v>
      </c>
      <c r="G991" s="117"/>
      <c r="H991" s="117"/>
    </row>
    <row r="992" spans="4:8" ht="15" thickBot="1" x14ac:dyDescent="0.35">
      <c r="D992" s="117" t="s">
        <v>1126</v>
      </c>
      <c r="E992" s="118">
        <v>951000486</v>
      </c>
      <c r="G992" s="117"/>
      <c r="H992" s="117"/>
    </row>
    <row r="993" spans="4:8" ht="15" thickBot="1" x14ac:dyDescent="0.35">
      <c r="D993" s="117" t="s">
        <v>1127</v>
      </c>
      <c r="E993" s="118">
        <v>951000680</v>
      </c>
      <c r="G993" s="117"/>
      <c r="H993" s="117"/>
    </row>
    <row r="994" spans="4:8" ht="15" thickBot="1" x14ac:dyDescent="0.35">
      <c r="D994" s="117" t="s">
        <v>1128</v>
      </c>
      <c r="E994" s="118">
        <v>951000276</v>
      </c>
      <c r="G994" s="117"/>
      <c r="H994" s="117"/>
    </row>
    <row r="995" spans="4:8" ht="15" thickBot="1" x14ac:dyDescent="0.35">
      <c r="D995" s="117" t="s">
        <v>1129</v>
      </c>
      <c r="E995" s="118">
        <v>951000147</v>
      </c>
      <c r="G995" s="117"/>
      <c r="H995" s="117"/>
    </row>
    <row r="996" spans="4:8" ht="15" thickBot="1" x14ac:dyDescent="0.35">
      <c r="D996" s="117" t="s">
        <v>1130</v>
      </c>
      <c r="E996" s="118">
        <v>951000514</v>
      </c>
      <c r="G996" s="117"/>
      <c r="H996" s="117"/>
    </row>
    <row r="997" spans="4:8" ht="15" thickBot="1" x14ac:dyDescent="0.35">
      <c r="D997" s="117" t="s">
        <v>1131</v>
      </c>
      <c r="E997" s="118">
        <v>951000216</v>
      </c>
      <c r="G997" s="117"/>
      <c r="H997" s="117"/>
    </row>
    <row r="998" spans="4:8" ht="15" thickBot="1" x14ac:dyDescent="0.35">
      <c r="D998" s="117" t="s">
        <v>592</v>
      </c>
      <c r="E998" s="118">
        <v>951000805</v>
      </c>
      <c r="G998" s="117"/>
      <c r="H998" s="117"/>
    </row>
    <row r="999" spans="4:8" ht="15" thickBot="1" x14ac:dyDescent="0.35">
      <c r="D999" s="117" t="s">
        <v>1132</v>
      </c>
      <c r="E999" s="118">
        <v>951000132</v>
      </c>
      <c r="G999" s="117"/>
      <c r="H999" s="117"/>
    </row>
    <row r="1000" spans="4:8" ht="27.6" thickBot="1" x14ac:dyDescent="0.35">
      <c r="D1000" s="117" t="s">
        <v>1133</v>
      </c>
      <c r="E1000" s="118">
        <v>951000667</v>
      </c>
      <c r="G1000" s="117"/>
      <c r="H1000" s="117"/>
    </row>
    <row r="1001" spans="4:8" ht="15" thickBot="1" x14ac:dyDescent="0.35">
      <c r="D1001" s="117" t="s">
        <v>763</v>
      </c>
      <c r="E1001" s="118">
        <v>957000020</v>
      </c>
      <c r="G1001" s="117"/>
      <c r="H1001" s="117"/>
    </row>
    <row r="1002" spans="4:8" ht="15" thickBot="1" x14ac:dyDescent="0.35">
      <c r="D1002" s="117" t="s">
        <v>1134</v>
      </c>
      <c r="E1002" s="118">
        <v>951000283</v>
      </c>
      <c r="G1002" s="117"/>
      <c r="H1002" s="117"/>
    </row>
    <row r="1003" spans="4:8" ht="15" thickBot="1" x14ac:dyDescent="0.35">
      <c r="D1003" s="117" t="s">
        <v>1135</v>
      </c>
      <c r="E1003" s="118">
        <v>951000550</v>
      </c>
      <c r="G1003" s="117"/>
      <c r="H1003" s="117"/>
    </row>
    <row r="1004" spans="4:8" ht="27.6" thickBot="1" x14ac:dyDescent="0.35">
      <c r="D1004" s="117" t="s">
        <v>412</v>
      </c>
      <c r="E1004" s="118">
        <v>951001098</v>
      </c>
      <c r="G1004" s="117"/>
      <c r="H1004" s="117"/>
    </row>
    <row r="1005" spans="4:8" ht="27.6" thickBot="1" x14ac:dyDescent="0.35">
      <c r="D1005" s="117" t="s">
        <v>1136</v>
      </c>
      <c r="E1005" s="118">
        <v>951000261</v>
      </c>
      <c r="G1005" s="117"/>
      <c r="H1005" s="117"/>
    </row>
    <row r="1006" spans="4:8" ht="15" thickBot="1" x14ac:dyDescent="0.35">
      <c r="D1006" s="117" t="s">
        <v>1137</v>
      </c>
      <c r="E1006" s="118">
        <v>951000943</v>
      </c>
      <c r="G1006" s="117"/>
      <c r="H1006" s="117"/>
    </row>
    <row r="1007" spans="4:8" ht="15" thickBot="1" x14ac:dyDescent="0.35">
      <c r="D1007" s="117" t="s">
        <v>1138</v>
      </c>
      <c r="E1007" s="118">
        <v>951000231</v>
      </c>
      <c r="G1007" s="117"/>
      <c r="H1007" s="117"/>
    </row>
    <row r="1008" spans="4:8" ht="15" thickBot="1" x14ac:dyDescent="0.35">
      <c r="D1008" s="117" t="s">
        <v>1138</v>
      </c>
      <c r="E1008" s="118">
        <v>951000234</v>
      </c>
      <c r="G1008" s="117"/>
      <c r="H1008" s="117"/>
    </row>
    <row r="1009" spans="4:8" ht="27.6" thickBot="1" x14ac:dyDescent="0.35">
      <c r="D1009" s="117" t="s">
        <v>1139</v>
      </c>
      <c r="E1009" s="118">
        <v>951001152</v>
      </c>
      <c r="G1009" s="117"/>
      <c r="H1009" s="117"/>
    </row>
    <row r="1010" spans="4:8" ht="15" thickBot="1" x14ac:dyDescent="0.35">
      <c r="D1010" s="117" t="s">
        <v>1140</v>
      </c>
      <c r="E1010" s="118">
        <v>951001303</v>
      </c>
      <c r="G1010" s="117"/>
      <c r="H1010" s="117"/>
    </row>
    <row r="1011" spans="4:8" ht="27.6" thickBot="1" x14ac:dyDescent="0.35">
      <c r="D1011" s="117" t="s">
        <v>1141</v>
      </c>
      <c r="E1011" s="118">
        <v>951000097</v>
      </c>
      <c r="G1011" s="117"/>
      <c r="H1011" s="117"/>
    </row>
    <row r="1012" spans="4:8" ht="15" thickBot="1" x14ac:dyDescent="0.35">
      <c r="D1012" s="117" t="s">
        <v>1142</v>
      </c>
      <c r="E1012" s="118">
        <v>951000963</v>
      </c>
      <c r="G1012" s="117"/>
      <c r="H1012" s="117"/>
    </row>
    <row r="1013" spans="4:8" ht="15" thickBot="1" x14ac:dyDescent="0.35">
      <c r="D1013" s="117" t="s">
        <v>1143</v>
      </c>
      <c r="E1013" s="118">
        <v>951000446</v>
      </c>
      <c r="G1013" s="117"/>
      <c r="H1013" s="117"/>
    </row>
    <row r="1014" spans="4:8" ht="15" thickBot="1" x14ac:dyDescent="0.35">
      <c r="D1014" s="117" t="s">
        <v>1144</v>
      </c>
      <c r="E1014" s="118">
        <v>951000116</v>
      </c>
      <c r="G1014" s="117"/>
      <c r="H1014" s="117"/>
    </row>
    <row r="1015" spans="4:8" ht="15" thickBot="1" x14ac:dyDescent="0.35">
      <c r="D1015" s="117" t="s">
        <v>1145</v>
      </c>
      <c r="E1015" s="118">
        <v>951000196</v>
      </c>
      <c r="G1015" s="117"/>
      <c r="H1015" s="117"/>
    </row>
    <row r="1016" spans="4:8" ht="27.6" thickBot="1" x14ac:dyDescent="0.35">
      <c r="D1016" s="117" t="s">
        <v>1146</v>
      </c>
      <c r="E1016" s="118">
        <v>951001179</v>
      </c>
      <c r="G1016" s="117"/>
      <c r="H1016" s="117"/>
    </row>
    <row r="1017" spans="4:8" ht="15" thickBot="1" x14ac:dyDescent="0.35">
      <c r="D1017" s="117" t="s">
        <v>1147</v>
      </c>
      <c r="E1017" s="118">
        <v>951001246</v>
      </c>
      <c r="G1017" s="117"/>
      <c r="H1017" s="117"/>
    </row>
    <row r="1018" spans="4:8" ht="15" thickBot="1" x14ac:dyDescent="0.35">
      <c r="D1018" s="117" t="s">
        <v>1148</v>
      </c>
      <c r="E1018" s="118">
        <v>951000593</v>
      </c>
      <c r="G1018" s="117"/>
      <c r="H1018" s="117"/>
    </row>
    <row r="1019" spans="4:8" ht="15" thickBot="1" x14ac:dyDescent="0.35">
      <c r="D1019" s="117" t="s">
        <v>1149</v>
      </c>
      <c r="E1019" s="118">
        <v>951000727</v>
      </c>
      <c r="G1019" s="117"/>
      <c r="H1019" s="117"/>
    </row>
    <row r="1020" spans="4:8" ht="15" thickBot="1" x14ac:dyDescent="0.35">
      <c r="D1020" s="117" t="s">
        <v>409</v>
      </c>
      <c r="E1020" s="118">
        <v>956000022</v>
      </c>
      <c r="G1020" s="117"/>
      <c r="H1020" s="117"/>
    </row>
    <row r="1021" spans="4:8" ht="15" thickBot="1" x14ac:dyDescent="0.35">
      <c r="D1021" s="117" t="s">
        <v>1150</v>
      </c>
      <c r="E1021" s="118">
        <v>951001031</v>
      </c>
      <c r="G1021" s="117"/>
      <c r="H1021" s="117"/>
    </row>
    <row r="1022" spans="4:8" ht="15" thickBot="1" x14ac:dyDescent="0.35">
      <c r="D1022" s="117" t="s">
        <v>1151</v>
      </c>
      <c r="E1022" s="118">
        <v>951000336</v>
      </c>
      <c r="G1022" s="117"/>
      <c r="H1022" s="117"/>
    </row>
    <row r="1023" spans="4:8" ht="15" thickBot="1" x14ac:dyDescent="0.35">
      <c r="D1023" s="117" t="s">
        <v>1152</v>
      </c>
      <c r="E1023" s="118">
        <v>951000989</v>
      </c>
      <c r="G1023" s="117"/>
      <c r="H1023" s="117"/>
    </row>
    <row r="1024" spans="4:8" ht="27.6" thickBot="1" x14ac:dyDescent="0.35">
      <c r="D1024" s="117" t="s">
        <v>1153</v>
      </c>
      <c r="E1024" s="118">
        <v>951000642</v>
      </c>
      <c r="G1024" s="117"/>
      <c r="H1024" s="117"/>
    </row>
    <row r="1025" spans="4:8" ht="15" thickBot="1" x14ac:dyDescent="0.35">
      <c r="D1025" s="117" t="s">
        <v>1154</v>
      </c>
      <c r="E1025" s="118">
        <v>951000275</v>
      </c>
      <c r="G1025" s="117"/>
      <c r="H1025" s="117"/>
    </row>
    <row r="1026" spans="4:8" ht="15" thickBot="1" x14ac:dyDescent="0.35">
      <c r="D1026" s="117" t="s">
        <v>1155</v>
      </c>
      <c r="E1026" s="118">
        <v>951001164</v>
      </c>
      <c r="G1026" s="117"/>
      <c r="H1026" s="117"/>
    </row>
    <row r="1027" spans="4:8" ht="15" thickBot="1" x14ac:dyDescent="0.35">
      <c r="D1027" s="117" t="s">
        <v>593</v>
      </c>
      <c r="E1027" s="118">
        <v>951000371</v>
      </c>
      <c r="G1027" s="117"/>
      <c r="H1027" s="117"/>
    </row>
    <row r="1028" spans="4:8" ht="15" thickBot="1" x14ac:dyDescent="0.35">
      <c r="D1028" s="117" t="s">
        <v>1156</v>
      </c>
      <c r="E1028" s="118">
        <v>951000885</v>
      </c>
      <c r="G1028" s="117"/>
      <c r="H1028" s="117"/>
    </row>
    <row r="1029" spans="4:8" ht="15" thickBot="1" x14ac:dyDescent="0.35">
      <c r="D1029" s="117" t="s">
        <v>1157</v>
      </c>
      <c r="E1029" s="118">
        <v>951000255</v>
      </c>
      <c r="G1029" s="117"/>
      <c r="H1029" s="117"/>
    </row>
    <row r="1030" spans="4:8" ht="15" thickBot="1" x14ac:dyDescent="0.35">
      <c r="D1030" s="117" t="s">
        <v>1158</v>
      </c>
      <c r="E1030" s="118">
        <v>951000346</v>
      </c>
      <c r="G1030" s="117"/>
      <c r="H1030" s="117"/>
    </row>
    <row r="1031" spans="4:8" ht="15" thickBot="1" x14ac:dyDescent="0.35">
      <c r="D1031" s="117" t="s">
        <v>1159</v>
      </c>
      <c r="E1031" s="118">
        <v>951000501</v>
      </c>
      <c r="G1031" s="117"/>
      <c r="H1031" s="117"/>
    </row>
    <row r="1032" spans="4:8" ht="15" thickBot="1" x14ac:dyDescent="0.35">
      <c r="D1032" s="117" t="s">
        <v>1160</v>
      </c>
      <c r="E1032" s="118">
        <v>951000949</v>
      </c>
      <c r="G1032" s="117"/>
      <c r="H1032" s="117"/>
    </row>
    <row r="1033" spans="4:8" ht="15" thickBot="1" x14ac:dyDescent="0.35">
      <c r="D1033" s="117" t="s">
        <v>1161</v>
      </c>
      <c r="E1033" s="118">
        <v>951000887</v>
      </c>
      <c r="G1033" s="117"/>
      <c r="H1033" s="117"/>
    </row>
    <row r="1034" spans="4:8" ht="15" thickBot="1" x14ac:dyDescent="0.35">
      <c r="D1034" s="117" t="s">
        <v>1162</v>
      </c>
      <c r="E1034" s="118">
        <v>951000171</v>
      </c>
      <c r="G1034" s="117"/>
      <c r="H1034" s="117"/>
    </row>
    <row r="1035" spans="4:8" ht="15" thickBot="1" x14ac:dyDescent="0.35">
      <c r="D1035" s="117" t="s">
        <v>1163</v>
      </c>
      <c r="E1035" s="118">
        <v>951000399</v>
      </c>
      <c r="G1035" s="117"/>
      <c r="H1035" s="117"/>
    </row>
    <row r="1036" spans="4:8" ht="27.6" thickBot="1" x14ac:dyDescent="0.35">
      <c r="D1036" s="117" t="s">
        <v>1164</v>
      </c>
      <c r="E1036" s="118">
        <v>951000672</v>
      </c>
      <c r="G1036" s="117"/>
      <c r="H1036" s="117"/>
    </row>
    <row r="1037" spans="4:8" ht="15" thickBot="1" x14ac:dyDescent="0.35">
      <c r="D1037" s="117" t="s">
        <v>1165</v>
      </c>
      <c r="E1037" s="118">
        <v>959000020</v>
      </c>
      <c r="G1037" s="117"/>
      <c r="H1037" s="117"/>
    </row>
    <row r="1038" spans="4:8" ht="27.6" thickBot="1" x14ac:dyDescent="0.35">
      <c r="D1038" s="117" t="s">
        <v>1166</v>
      </c>
      <c r="E1038" s="118">
        <v>951001012</v>
      </c>
      <c r="G1038" s="117"/>
      <c r="H1038" s="117"/>
    </row>
    <row r="1039" spans="4:8" ht="15" thickBot="1" x14ac:dyDescent="0.35">
      <c r="D1039" s="117" t="s">
        <v>1167</v>
      </c>
      <c r="E1039" s="118">
        <v>951000458</v>
      </c>
      <c r="G1039" s="117"/>
      <c r="H1039" s="117"/>
    </row>
    <row r="1040" spans="4:8" ht="15" thickBot="1" x14ac:dyDescent="0.35">
      <c r="D1040" s="117" t="s">
        <v>1168</v>
      </c>
      <c r="E1040" s="118">
        <v>951000215</v>
      </c>
      <c r="G1040" s="117"/>
      <c r="H1040" s="117"/>
    </row>
    <row r="1041" spans="4:8" ht="27.6" thickBot="1" x14ac:dyDescent="0.35">
      <c r="D1041" s="117" t="s">
        <v>1169</v>
      </c>
      <c r="E1041" s="118">
        <v>952000010</v>
      </c>
      <c r="G1041" s="117"/>
      <c r="H1041" s="117"/>
    </row>
    <row r="1042" spans="4:8" ht="27.6" thickBot="1" x14ac:dyDescent="0.35">
      <c r="D1042" s="117" t="s">
        <v>1170</v>
      </c>
      <c r="E1042" s="118">
        <v>951001395</v>
      </c>
      <c r="G1042" s="117"/>
      <c r="H1042" s="117"/>
    </row>
    <row r="1043" spans="4:8" ht="27.6" thickBot="1" x14ac:dyDescent="0.35">
      <c r="D1043" s="117" t="s">
        <v>1171</v>
      </c>
      <c r="E1043" s="118">
        <v>951000444</v>
      </c>
      <c r="G1043" s="117"/>
      <c r="H1043" s="117"/>
    </row>
    <row r="1044" spans="4:8" ht="15" thickBot="1" x14ac:dyDescent="0.35">
      <c r="D1044" s="117" t="s">
        <v>1172</v>
      </c>
      <c r="E1044" s="118">
        <v>951000764</v>
      </c>
      <c r="G1044" s="117"/>
      <c r="H1044" s="117"/>
    </row>
    <row r="1045" spans="4:8" ht="15" thickBot="1" x14ac:dyDescent="0.35">
      <c r="D1045" s="117" t="s">
        <v>1173</v>
      </c>
      <c r="E1045" s="118">
        <v>953000003</v>
      </c>
      <c r="G1045" s="117"/>
      <c r="H1045" s="117"/>
    </row>
    <row r="1046" spans="4:8" ht="15" thickBot="1" x14ac:dyDescent="0.35">
      <c r="D1046" s="117" t="s">
        <v>1174</v>
      </c>
      <c r="E1046" s="118">
        <v>951000679</v>
      </c>
      <c r="G1046" s="117"/>
      <c r="H1046" s="117"/>
    </row>
    <row r="1047" spans="4:8" ht="15" thickBot="1" x14ac:dyDescent="0.35">
      <c r="D1047" s="117" t="s">
        <v>1175</v>
      </c>
      <c r="E1047" s="118">
        <v>951000297</v>
      </c>
      <c r="G1047" s="117"/>
      <c r="H1047" s="117"/>
    </row>
    <row r="1048" spans="4:8" ht="27.6" thickBot="1" x14ac:dyDescent="0.35">
      <c r="D1048" s="117" t="s">
        <v>1176</v>
      </c>
      <c r="E1048" s="118">
        <v>951000755</v>
      </c>
      <c r="G1048" s="117"/>
      <c r="H1048" s="117"/>
    </row>
    <row r="1049" spans="4:8" ht="15" thickBot="1" x14ac:dyDescent="0.35">
      <c r="D1049" s="117" t="s">
        <v>1177</v>
      </c>
      <c r="E1049" s="118">
        <v>951000382</v>
      </c>
      <c r="G1049" s="117"/>
      <c r="H1049" s="117"/>
    </row>
    <row r="1050" spans="4:8" ht="15" thickBot="1" x14ac:dyDescent="0.35">
      <c r="D1050" s="117" t="s">
        <v>1178</v>
      </c>
      <c r="E1050" s="118">
        <v>951000891</v>
      </c>
      <c r="G1050" s="117"/>
      <c r="H1050" s="117"/>
    </row>
    <row r="1051" spans="4:8" ht="15" thickBot="1" x14ac:dyDescent="0.35">
      <c r="D1051" s="117" t="s">
        <v>1179</v>
      </c>
      <c r="E1051" s="118">
        <v>951000185</v>
      </c>
      <c r="G1051" s="117"/>
      <c r="H1051" s="117"/>
    </row>
    <row r="1052" spans="4:8" ht="15" thickBot="1" x14ac:dyDescent="0.35">
      <c r="D1052" s="117" t="s">
        <v>1180</v>
      </c>
      <c r="E1052" s="118">
        <v>951001010</v>
      </c>
      <c r="G1052" s="117"/>
      <c r="H1052" s="117"/>
    </row>
    <row r="1053" spans="4:8" ht="15" thickBot="1" x14ac:dyDescent="0.35">
      <c r="D1053" s="117" t="s">
        <v>1181</v>
      </c>
      <c r="E1053" s="118">
        <v>951000816</v>
      </c>
      <c r="G1053" s="117"/>
      <c r="H1053" s="117"/>
    </row>
    <row r="1054" spans="4:8" ht="15" thickBot="1" x14ac:dyDescent="0.35">
      <c r="D1054" s="117" t="s">
        <v>1182</v>
      </c>
      <c r="E1054" s="118">
        <v>951000308</v>
      </c>
      <c r="G1054" s="117"/>
      <c r="H1054" s="117"/>
    </row>
    <row r="1055" spans="4:8" ht="27.6" thickBot="1" x14ac:dyDescent="0.35">
      <c r="D1055" s="117" t="s">
        <v>1183</v>
      </c>
      <c r="E1055" s="118">
        <v>951000203</v>
      </c>
      <c r="G1055" s="117"/>
      <c r="H1055" s="117"/>
    </row>
    <row r="1056" spans="4:8" ht="27.6" thickBot="1" x14ac:dyDescent="0.35">
      <c r="D1056" s="117" t="s">
        <v>1184</v>
      </c>
      <c r="E1056" s="118">
        <v>951000264</v>
      </c>
      <c r="G1056" s="117"/>
      <c r="H1056" s="117"/>
    </row>
    <row r="1057" spans="4:8" ht="15" thickBot="1" x14ac:dyDescent="0.35">
      <c r="D1057" s="117" t="s">
        <v>1185</v>
      </c>
      <c r="E1057" s="118">
        <v>951000337</v>
      </c>
      <c r="G1057" s="117"/>
      <c r="H1057" s="117"/>
    </row>
    <row r="1058" spans="4:8" ht="15" thickBot="1" x14ac:dyDescent="0.35">
      <c r="D1058" s="117" t="s">
        <v>1186</v>
      </c>
      <c r="E1058" s="118">
        <v>951000267</v>
      </c>
      <c r="G1058" s="117"/>
      <c r="H1058" s="117"/>
    </row>
    <row r="1059" spans="4:8" ht="15" thickBot="1" x14ac:dyDescent="0.35">
      <c r="D1059" s="117" t="s">
        <v>1187</v>
      </c>
      <c r="E1059" s="118">
        <v>951000330</v>
      </c>
      <c r="G1059" s="117"/>
      <c r="H1059" s="117"/>
    </row>
    <row r="1060" spans="4:8" ht="15" thickBot="1" x14ac:dyDescent="0.35">
      <c r="D1060" s="117" t="s">
        <v>1188</v>
      </c>
      <c r="E1060" s="118">
        <v>951000609</v>
      </c>
      <c r="G1060" s="117"/>
      <c r="H1060" s="117"/>
    </row>
    <row r="1061" spans="4:8" ht="15" thickBot="1" x14ac:dyDescent="0.35">
      <c r="D1061" s="117" t="s">
        <v>1189</v>
      </c>
      <c r="E1061" s="118">
        <v>951000675</v>
      </c>
      <c r="G1061" s="117"/>
      <c r="H1061" s="117"/>
    </row>
    <row r="1062" spans="4:8" ht="15" thickBot="1" x14ac:dyDescent="0.35">
      <c r="D1062" s="117" t="s">
        <v>1190</v>
      </c>
      <c r="E1062" s="118">
        <v>951000465</v>
      </c>
      <c r="G1062" s="117"/>
      <c r="H1062" s="117"/>
    </row>
    <row r="1063" spans="4:8" ht="27.6" thickBot="1" x14ac:dyDescent="0.35">
      <c r="D1063" s="117" t="s">
        <v>1191</v>
      </c>
      <c r="E1063" s="118">
        <v>951001079</v>
      </c>
      <c r="G1063" s="117"/>
      <c r="H1063" s="117"/>
    </row>
    <row r="1064" spans="4:8" ht="27.6" thickBot="1" x14ac:dyDescent="0.35">
      <c r="D1064" s="117" t="s">
        <v>1192</v>
      </c>
      <c r="E1064" s="118">
        <v>951000970</v>
      </c>
      <c r="G1064" s="117"/>
      <c r="H1064" s="117"/>
    </row>
    <row r="1065" spans="4:8" ht="15" thickBot="1" x14ac:dyDescent="0.35">
      <c r="D1065" s="117" t="s">
        <v>1193</v>
      </c>
      <c r="E1065" s="118">
        <v>951000433</v>
      </c>
      <c r="G1065" s="117"/>
      <c r="H1065" s="117"/>
    </row>
    <row r="1066" spans="4:8" ht="27.6" thickBot="1" x14ac:dyDescent="0.35">
      <c r="D1066" s="117" t="s">
        <v>1194</v>
      </c>
      <c r="E1066" s="118">
        <v>951001205</v>
      </c>
      <c r="G1066" s="117"/>
      <c r="H1066" s="117"/>
    </row>
    <row r="1067" spans="4:8" ht="15" thickBot="1" x14ac:dyDescent="0.35">
      <c r="D1067" s="117" t="s">
        <v>1195</v>
      </c>
      <c r="E1067" s="118">
        <v>950100030</v>
      </c>
      <c r="G1067" s="117"/>
      <c r="H1067" s="117"/>
    </row>
    <row r="1068" spans="4:8" ht="15" thickBot="1" x14ac:dyDescent="0.35">
      <c r="D1068" s="117" t="s">
        <v>1196</v>
      </c>
      <c r="E1068" s="118">
        <v>951000982</v>
      </c>
      <c r="G1068" s="117"/>
      <c r="H1068" s="117"/>
    </row>
    <row r="1069" spans="4:8" ht="27.6" thickBot="1" x14ac:dyDescent="0.35">
      <c r="D1069" s="117" t="s">
        <v>1197</v>
      </c>
      <c r="E1069" s="118">
        <v>951000981</v>
      </c>
      <c r="G1069" s="117"/>
      <c r="H1069" s="117"/>
    </row>
    <row r="1070" spans="4:8" ht="15" thickBot="1" x14ac:dyDescent="0.35">
      <c r="D1070" s="117" t="s">
        <v>1198</v>
      </c>
      <c r="E1070" s="118">
        <v>951001198</v>
      </c>
      <c r="G1070" s="117"/>
      <c r="H1070" s="117"/>
    </row>
    <row r="1071" spans="4:8" ht="15" thickBot="1" x14ac:dyDescent="0.35">
      <c r="D1071" s="117" t="s">
        <v>1199</v>
      </c>
      <c r="E1071" s="118">
        <v>959000005</v>
      </c>
      <c r="G1071" s="117"/>
      <c r="H1071" s="117"/>
    </row>
    <row r="1072" spans="4:8" ht="27.6" thickBot="1" x14ac:dyDescent="0.35">
      <c r="D1072" s="117" t="s">
        <v>1200</v>
      </c>
      <c r="E1072" s="118">
        <v>951001065</v>
      </c>
      <c r="G1072" s="117"/>
      <c r="H1072" s="117"/>
    </row>
    <row r="1073" spans="4:8" ht="27.6" thickBot="1" x14ac:dyDescent="0.35">
      <c r="D1073" s="117" t="s">
        <v>1201</v>
      </c>
      <c r="E1073" s="118">
        <v>951000930</v>
      </c>
      <c r="G1073" s="117"/>
      <c r="H1073" s="117"/>
    </row>
    <row r="1074" spans="4:8" ht="27.6" thickBot="1" x14ac:dyDescent="0.35">
      <c r="D1074" s="117" t="s">
        <v>1202</v>
      </c>
      <c r="E1074" s="118">
        <v>951000747</v>
      </c>
      <c r="G1074" s="117"/>
      <c r="H1074" s="117"/>
    </row>
    <row r="1075" spans="4:8" ht="15" thickBot="1" x14ac:dyDescent="0.35">
      <c r="D1075" s="117" t="s">
        <v>202</v>
      </c>
      <c r="E1075" s="118">
        <v>956000001</v>
      </c>
      <c r="G1075" s="117"/>
      <c r="H1075" s="117"/>
    </row>
    <row r="1076" spans="4:8" ht="15" thickBot="1" x14ac:dyDescent="0.35">
      <c r="D1076" s="117" t="s">
        <v>1203</v>
      </c>
      <c r="E1076" s="118">
        <v>956000005</v>
      </c>
      <c r="G1076" s="117"/>
      <c r="H1076" s="117"/>
    </row>
    <row r="1077" spans="4:8" ht="27.6" thickBot="1" x14ac:dyDescent="0.35">
      <c r="D1077" s="117" t="s">
        <v>1204</v>
      </c>
      <c r="E1077" s="118">
        <v>951000654</v>
      </c>
      <c r="G1077" s="117"/>
      <c r="H1077" s="117"/>
    </row>
    <row r="1078" spans="4:8" ht="27.6" thickBot="1" x14ac:dyDescent="0.35">
      <c r="D1078" s="117" t="s">
        <v>1205</v>
      </c>
      <c r="E1078" s="118">
        <v>951001416</v>
      </c>
      <c r="G1078" s="117"/>
      <c r="H1078" s="117"/>
    </row>
    <row r="1079" spans="4:8" ht="27.6" thickBot="1" x14ac:dyDescent="0.35">
      <c r="D1079" s="117" t="s">
        <v>1206</v>
      </c>
      <c r="E1079" s="118">
        <v>951001073</v>
      </c>
      <c r="G1079" s="117"/>
      <c r="H1079" s="117"/>
    </row>
    <row r="1080" spans="4:8" ht="27.6" thickBot="1" x14ac:dyDescent="0.35">
      <c r="D1080" s="117" t="s">
        <v>1207</v>
      </c>
      <c r="E1080" s="118">
        <v>951000192</v>
      </c>
      <c r="G1080" s="117"/>
      <c r="H1080" s="117"/>
    </row>
    <row r="1081" spans="4:8" ht="27.6" thickBot="1" x14ac:dyDescent="0.35">
      <c r="D1081" s="117" t="s">
        <v>1208</v>
      </c>
      <c r="E1081" s="118">
        <v>951000781</v>
      </c>
      <c r="G1081" s="117"/>
      <c r="H1081" s="117"/>
    </row>
    <row r="1082" spans="4:8" ht="15" thickBot="1" x14ac:dyDescent="0.35">
      <c r="D1082" s="117" t="s">
        <v>1209</v>
      </c>
      <c r="E1082" s="118">
        <v>951000007</v>
      </c>
      <c r="G1082" s="117"/>
      <c r="H1082" s="117"/>
    </row>
    <row r="1083" spans="4:8" ht="27.6" thickBot="1" x14ac:dyDescent="0.35">
      <c r="D1083" s="117" t="s">
        <v>1210</v>
      </c>
      <c r="E1083" s="118">
        <v>951001291</v>
      </c>
      <c r="G1083" s="117"/>
      <c r="H1083" s="117"/>
    </row>
    <row r="1084" spans="4:8" ht="15" thickBot="1" x14ac:dyDescent="0.35">
      <c r="D1084" s="117" t="s">
        <v>1211</v>
      </c>
      <c r="E1084" s="118">
        <v>951000436</v>
      </c>
      <c r="G1084" s="117"/>
      <c r="H1084" s="117"/>
    </row>
    <row r="1085" spans="4:8" ht="27.6" thickBot="1" x14ac:dyDescent="0.35">
      <c r="D1085" s="117" t="s">
        <v>1212</v>
      </c>
      <c r="E1085" s="118">
        <v>951000961</v>
      </c>
      <c r="G1085" s="117"/>
      <c r="H1085" s="117"/>
    </row>
    <row r="1086" spans="4:8" ht="15" thickBot="1" x14ac:dyDescent="0.35">
      <c r="D1086" s="117" t="s">
        <v>1213</v>
      </c>
      <c r="E1086" s="118">
        <v>951000659</v>
      </c>
      <c r="G1086" s="117"/>
      <c r="H1086" s="117"/>
    </row>
    <row r="1087" spans="4:8" ht="27.6" thickBot="1" x14ac:dyDescent="0.35">
      <c r="D1087" s="117" t="s">
        <v>1214</v>
      </c>
      <c r="E1087" s="118">
        <v>951001033</v>
      </c>
      <c r="G1087" s="117"/>
      <c r="H1087" s="117"/>
    </row>
    <row r="1088" spans="4:8" ht="15" thickBot="1" x14ac:dyDescent="0.35">
      <c r="D1088" s="117" t="s">
        <v>1215</v>
      </c>
      <c r="E1088" s="118">
        <v>951000700</v>
      </c>
      <c r="G1088" s="117"/>
      <c r="H1088" s="117"/>
    </row>
    <row r="1089" spans="4:8" ht="27.6" thickBot="1" x14ac:dyDescent="0.35">
      <c r="D1089" s="117" t="s">
        <v>1216</v>
      </c>
      <c r="E1089" s="118">
        <v>951001193</v>
      </c>
      <c r="G1089" s="117"/>
      <c r="H1089" s="117"/>
    </row>
    <row r="1090" spans="4:8" ht="15" thickBot="1" x14ac:dyDescent="0.35">
      <c r="D1090" s="117" t="s">
        <v>1217</v>
      </c>
      <c r="E1090" s="118">
        <v>951000472</v>
      </c>
      <c r="G1090" s="117"/>
      <c r="H1090" s="117"/>
    </row>
    <row r="1091" spans="4:8" ht="27.6" thickBot="1" x14ac:dyDescent="0.35">
      <c r="D1091" s="117" t="s">
        <v>1218</v>
      </c>
      <c r="E1091" s="118">
        <v>951000922</v>
      </c>
      <c r="G1091" s="117"/>
      <c r="H1091" s="117"/>
    </row>
    <row r="1092" spans="4:8" ht="15" thickBot="1" x14ac:dyDescent="0.35">
      <c r="D1092" s="117" t="s">
        <v>1219</v>
      </c>
      <c r="E1092" s="118">
        <v>951000224</v>
      </c>
      <c r="G1092" s="117"/>
      <c r="H1092" s="117"/>
    </row>
    <row r="1093" spans="4:8" ht="15" thickBot="1" x14ac:dyDescent="0.35">
      <c r="D1093" s="117" t="s">
        <v>1220</v>
      </c>
      <c r="E1093" s="118">
        <v>951000358</v>
      </c>
      <c r="G1093" s="117"/>
      <c r="H1093" s="117"/>
    </row>
    <row r="1094" spans="4:8" ht="15" thickBot="1" x14ac:dyDescent="0.35">
      <c r="D1094" s="117" t="s">
        <v>1221</v>
      </c>
      <c r="E1094" s="118">
        <v>951001175</v>
      </c>
      <c r="G1094" s="117"/>
      <c r="H1094" s="117"/>
    </row>
    <row r="1095" spans="4:8" ht="15" thickBot="1" x14ac:dyDescent="0.35">
      <c r="D1095" s="117" t="s">
        <v>1222</v>
      </c>
      <c r="E1095" s="118">
        <v>951000036</v>
      </c>
      <c r="G1095" s="117"/>
      <c r="H1095" s="117"/>
    </row>
    <row r="1096" spans="4:8" ht="15" thickBot="1" x14ac:dyDescent="0.35">
      <c r="D1096" s="117" t="s">
        <v>1223</v>
      </c>
      <c r="E1096" s="118">
        <v>951000347</v>
      </c>
      <c r="G1096" s="117"/>
      <c r="H1096" s="117"/>
    </row>
    <row r="1097" spans="4:8" ht="15" thickBot="1" x14ac:dyDescent="0.35">
      <c r="D1097" s="117" t="s">
        <v>1224</v>
      </c>
      <c r="E1097" s="118">
        <v>1951001398</v>
      </c>
      <c r="G1097" s="117"/>
      <c r="H1097" s="117"/>
    </row>
    <row r="1098" spans="4:8" ht="15" thickBot="1" x14ac:dyDescent="0.35">
      <c r="D1098" s="117" t="s">
        <v>1225</v>
      </c>
      <c r="E1098" s="118">
        <v>951000712</v>
      </c>
      <c r="G1098" s="117"/>
      <c r="H1098" s="117"/>
    </row>
    <row r="1099" spans="4:8" ht="15" thickBot="1" x14ac:dyDescent="0.35">
      <c r="D1099" s="117" t="s">
        <v>426</v>
      </c>
      <c r="E1099" s="118">
        <v>951001428</v>
      </c>
      <c r="G1099" s="117"/>
      <c r="H1099" s="117"/>
    </row>
    <row r="1100" spans="4:8" ht="15" thickBot="1" x14ac:dyDescent="0.35">
      <c r="D1100" s="117" t="s">
        <v>1226</v>
      </c>
      <c r="E1100" s="118">
        <v>951001356</v>
      </c>
      <c r="G1100" s="117"/>
      <c r="H1100" s="117"/>
    </row>
    <row r="1101" spans="4:8" ht="15" thickBot="1" x14ac:dyDescent="0.35">
      <c r="D1101" s="117" t="s">
        <v>1227</v>
      </c>
      <c r="E1101" s="118">
        <v>951000657</v>
      </c>
      <c r="G1101" s="117"/>
      <c r="H1101" s="117"/>
    </row>
    <row r="1102" spans="4:8" ht="27.6" thickBot="1" x14ac:dyDescent="0.35">
      <c r="D1102" s="117" t="s">
        <v>1228</v>
      </c>
      <c r="E1102" s="118">
        <v>951000041</v>
      </c>
      <c r="G1102" s="117"/>
      <c r="H1102" s="117"/>
    </row>
    <row r="1103" spans="4:8" ht="15" thickBot="1" x14ac:dyDescent="0.35">
      <c r="D1103" s="117" t="s">
        <v>1229</v>
      </c>
      <c r="E1103" s="118">
        <v>951000118</v>
      </c>
      <c r="G1103" s="117"/>
      <c r="H1103" s="117"/>
    </row>
    <row r="1104" spans="4:8" ht="15" thickBot="1" x14ac:dyDescent="0.35">
      <c r="D1104" s="117" t="s">
        <v>1230</v>
      </c>
      <c r="E1104" s="118">
        <v>951000048</v>
      </c>
      <c r="G1104" s="117"/>
      <c r="H1104" s="117"/>
    </row>
    <row r="1105" spans="4:8" ht="27.6" thickBot="1" x14ac:dyDescent="0.35">
      <c r="D1105" s="117" t="s">
        <v>1231</v>
      </c>
      <c r="E1105" s="118">
        <v>951000235</v>
      </c>
      <c r="G1105" s="117"/>
      <c r="H1105" s="117"/>
    </row>
    <row r="1106" spans="4:8" ht="15" thickBot="1" x14ac:dyDescent="0.35">
      <c r="D1106" s="117" t="s">
        <v>1232</v>
      </c>
      <c r="E1106" s="118">
        <v>951000460</v>
      </c>
      <c r="G1106" s="117"/>
      <c r="H1106" s="117"/>
    </row>
    <row r="1107" spans="4:8" ht="15" thickBot="1" x14ac:dyDescent="0.35">
      <c r="D1107" s="117" t="s">
        <v>1233</v>
      </c>
      <c r="E1107" s="118">
        <v>951000546</v>
      </c>
      <c r="G1107" s="117"/>
      <c r="H1107" s="117"/>
    </row>
    <row r="1108" spans="4:8" ht="15" thickBot="1" x14ac:dyDescent="0.35">
      <c r="D1108" s="117" t="s">
        <v>1234</v>
      </c>
      <c r="E1108" s="118">
        <v>951000270</v>
      </c>
      <c r="G1108" s="117"/>
      <c r="H1108" s="117"/>
    </row>
    <row r="1109" spans="4:8" ht="15" thickBot="1" x14ac:dyDescent="0.35">
      <c r="D1109" s="117" t="s">
        <v>1235</v>
      </c>
      <c r="E1109" s="118">
        <v>951000131</v>
      </c>
      <c r="G1109" s="117"/>
      <c r="H1109" s="117"/>
    </row>
    <row r="1110" spans="4:8" ht="15" thickBot="1" x14ac:dyDescent="0.35">
      <c r="D1110" s="117" t="s">
        <v>1236</v>
      </c>
      <c r="E1110" s="118">
        <v>951000624</v>
      </c>
      <c r="G1110" s="117"/>
      <c r="H1110" s="117"/>
    </row>
    <row r="1111" spans="4:8" ht="15" thickBot="1" x14ac:dyDescent="0.35">
      <c r="D1111" s="117" t="s">
        <v>1237</v>
      </c>
      <c r="E1111" s="118">
        <v>951000136</v>
      </c>
      <c r="G1111" s="117"/>
      <c r="H1111" s="117"/>
    </row>
    <row r="1112" spans="4:8" ht="27.6" thickBot="1" x14ac:dyDescent="0.35">
      <c r="D1112" s="117" t="s">
        <v>1238</v>
      </c>
      <c r="E1112" s="118">
        <v>951001194</v>
      </c>
      <c r="G1112" s="117"/>
      <c r="H1112" s="117"/>
    </row>
    <row r="1113" spans="4:8" ht="15" thickBot="1" x14ac:dyDescent="0.35">
      <c r="D1113" s="117" t="s">
        <v>1239</v>
      </c>
      <c r="E1113" s="118">
        <v>951000344</v>
      </c>
      <c r="G1113" s="117"/>
      <c r="H1113" s="117"/>
    </row>
    <row r="1114" spans="4:8" ht="15" thickBot="1" x14ac:dyDescent="0.35">
      <c r="D1114" s="117" t="s">
        <v>1240</v>
      </c>
      <c r="E1114" s="118">
        <v>951000211</v>
      </c>
      <c r="G1114" s="117"/>
      <c r="H1114" s="117"/>
    </row>
    <row r="1115" spans="4:8" ht="27.6" thickBot="1" x14ac:dyDescent="0.35">
      <c r="D1115" s="117" t="s">
        <v>1241</v>
      </c>
      <c r="E1115" s="118">
        <v>951000759</v>
      </c>
      <c r="G1115" s="117"/>
      <c r="H1115" s="117"/>
    </row>
    <row r="1116" spans="4:8" ht="27.6" thickBot="1" x14ac:dyDescent="0.35">
      <c r="D1116" s="117" t="s">
        <v>1242</v>
      </c>
      <c r="E1116" s="118">
        <v>951001125</v>
      </c>
      <c r="G1116" s="117"/>
      <c r="H1116" s="117"/>
    </row>
    <row r="1117" spans="4:8" ht="15" thickBot="1" x14ac:dyDescent="0.35">
      <c r="D1117" s="117" t="s">
        <v>1243</v>
      </c>
      <c r="E1117" s="118">
        <v>951000925</v>
      </c>
      <c r="G1117" s="117"/>
      <c r="H1117" s="117"/>
    </row>
    <row r="1118" spans="4:8" ht="27.6" thickBot="1" x14ac:dyDescent="0.35">
      <c r="D1118" s="117" t="s">
        <v>1244</v>
      </c>
      <c r="E1118" s="118">
        <v>951001038</v>
      </c>
      <c r="G1118" s="117"/>
      <c r="H1118" s="117"/>
    </row>
    <row r="1119" spans="4:8" ht="15" thickBot="1" x14ac:dyDescent="0.35">
      <c r="D1119" s="117" t="s">
        <v>1245</v>
      </c>
      <c r="E1119" s="118">
        <v>951000503</v>
      </c>
      <c r="G1119" s="117"/>
      <c r="H1119" s="117"/>
    </row>
    <row r="1120" spans="4:8" ht="15" thickBot="1" x14ac:dyDescent="0.35">
      <c r="D1120" s="117" t="s">
        <v>1246</v>
      </c>
      <c r="E1120" s="118">
        <v>951000832</v>
      </c>
      <c r="G1120" s="117"/>
      <c r="H1120" s="117"/>
    </row>
    <row r="1121" spans="4:8" ht="15" thickBot="1" x14ac:dyDescent="0.35">
      <c r="D1121" s="117" t="s">
        <v>1247</v>
      </c>
      <c r="E1121" s="118">
        <v>951000955</v>
      </c>
      <c r="G1121" s="117"/>
      <c r="H1121" s="117"/>
    </row>
    <row r="1122" spans="4:8" ht="27.6" thickBot="1" x14ac:dyDescent="0.35">
      <c r="D1122" s="117" t="s">
        <v>1248</v>
      </c>
      <c r="E1122" s="118">
        <v>951000506</v>
      </c>
      <c r="G1122" s="117"/>
      <c r="H1122" s="117"/>
    </row>
    <row r="1123" spans="4:8" ht="15" thickBot="1" x14ac:dyDescent="0.35">
      <c r="D1123" s="117" t="s">
        <v>1249</v>
      </c>
      <c r="E1123" s="118">
        <v>951000016</v>
      </c>
      <c r="G1123" s="117"/>
      <c r="H1123" s="117"/>
    </row>
    <row r="1124" spans="4:8" ht="15" thickBot="1" x14ac:dyDescent="0.35">
      <c r="D1124" s="117" t="s">
        <v>1250</v>
      </c>
      <c r="E1124" s="118">
        <v>951000128</v>
      </c>
      <c r="G1124" s="117"/>
      <c r="H1124" s="117"/>
    </row>
    <row r="1125" spans="4:8" ht="15" thickBot="1" x14ac:dyDescent="0.35">
      <c r="D1125" s="117" t="s">
        <v>1251</v>
      </c>
      <c r="E1125" s="118">
        <v>951000647</v>
      </c>
      <c r="G1125" s="117"/>
      <c r="H1125" s="117"/>
    </row>
    <row r="1126" spans="4:8" ht="15" thickBot="1" x14ac:dyDescent="0.35">
      <c r="D1126" s="117" t="s">
        <v>1252</v>
      </c>
      <c r="E1126" s="118">
        <v>951000175</v>
      </c>
      <c r="G1126" s="117"/>
      <c r="H1126" s="117"/>
    </row>
    <row r="1127" spans="4:8" ht="15" thickBot="1" x14ac:dyDescent="0.35">
      <c r="D1127" s="117" t="s">
        <v>1253</v>
      </c>
      <c r="E1127" s="118">
        <v>951000818</v>
      </c>
      <c r="G1127" s="117"/>
      <c r="H1127" s="117"/>
    </row>
    <row r="1128" spans="4:8" ht="15" thickBot="1" x14ac:dyDescent="0.35">
      <c r="D1128" s="117" t="s">
        <v>1254</v>
      </c>
      <c r="E1128" s="118">
        <v>951000541</v>
      </c>
      <c r="G1128" s="117"/>
      <c r="H1128" s="117"/>
    </row>
    <row r="1129" spans="4:8" ht="15" thickBot="1" x14ac:dyDescent="0.35">
      <c r="D1129" s="117" t="s">
        <v>1255</v>
      </c>
      <c r="E1129" s="118">
        <v>951000544</v>
      </c>
      <c r="G1129" s="117"/>
      <c r="H1129" s="117"/>
    </row>
    <row r="1130" spans="4:8" ht="15" thickBot="1" x14ac:dyDescent="0.35">
      <c r="D1130" s="117" t="s">
        <v>1256</v>
      </c>
      <c r="E1130" s="118">
        <v>951000022</v>
      </c>
      <c r="G1130" s="117"/>
      <c r="H1130" s="117"/>
    </row>
    <row r="1131" spans="4:8" ht="15" thickBot="1" x14ac:dyDescent="0.35">
      <c r="D1131" s="117" t="s">
        <v>1257</v>
      </c>
      <c r="E1131" s="118">
        <v>951000279</v>
      </c>
      <c r="G1131" s="117"/>
      <c r="H1131" s="117"/>
    </row>
    <row r="1132" spans="4:8" ht="15" thickBot="1" x14ac:dyDescent="0.35">
      <c r="D1132" s="117" t="s">
        <v>1258</v>
      </c>
      <c r="E1132" s="118">
        <v>951000017</v>
      </c>
      <c r="G1132" s="117"/>
      <c r="H1132" s="117"/>
    </row>
    <row r="1133" spans="4:8" ht="27.6" thickBot="1" x14ac:dyDescent="0.35">
      <c r="D1133" s="117" t="s">
        <v>1259</v>
      </c>
      <c r="E1133" s="118">
        <v>951000988</v>
      </c>
      <c r="G1133" s="117"/>
      <c r="H1133" s="117"/>
    </row>
    <row r="1134" spans="4:8" ht="15" thickBot="1" x14ac:dyDescent="0.35">
      <c r="D1134" s="117" t="s">
        <v>1260</v>
      </c>
      <c r="E1134" s="118">
        <v>951000206</v>
      </c>
      <c r="G1134" s="117"/>
      <c r="H1134" s="117"/>
    </row>
    <row r="1135" spans="4:8" ht="15" thickBot="1" x14ac:dyDescent="0.35">
      <c r="D1135" s="117" t="s">
        <v>1261</v>
      </c>
      <c r="E1135" s="118">
        <v>951000338</v>
      </c>
      <c r="G1135" s="117"/>
      <c r="H1135" s="117"/>
    </row>
    <row r="1136" spans="4:8" ht="15" thickBot="1" x14ac:dyDescent="0.35">
      <c r="D1136" s="117" t="s">
        <v>1262</v>
      </c>
      <c r="E1136" s="118">
        <v>951000650</v>
      </c>
      <c r="G1136" s="117"/>
      <c r="H1136" s="117"/>
    </row>
    <row r="1137" spans="4:8" ht="15" thickBot="1" x14ac:dyDescent="0.35">
      <c r="D1137" s="117" t="s">
        <v>1263</v>
      </c>
      <c r="E1137" s="118">
        <v>957000030</v>
      </c>
      <c r="G1137" s="117"/>
      <c r="H1137" s="117"/>
    </row>
    <row r="1138" spans="4:8" ht="15" thickBot="1" x14ac:dyDescent="0.35">
      <c r="D1138" s="117" t="s">
        <v>1264</v>
      </c>
      <c r="E1138" s="118">
        <v>951000145</v>
      </c>
      <c r="G1138" s="117"/>
      <c r="H1138" s="117"/>
    </row>
    <row r="1139" spans="4:8" ht="15" thickBot="1" x14ac:dyDescent="0.35">
      <c r="D1139" s="117" t="s">
        <v>1265</v>
      </c>
      <c r="E1139" s="118">
        <v>951000622</v>
      </c>
      <c r="G1139" s="117"/>
      <c r="H1139" s="117"/>
    </row>
    <row r="1140" spans="4:8" ht="15" thickBot="1" x14ac:dyDescent="0.35">
      <c r="D1140" s="117" t="s">
        <v>786</v>
      </c>
      <c r="E1140" s="118">
        <v>956000021</v>
      </c>
      <c r="G1140" s="117"/>
      <c r="H1140" s="117"/>
    </row>
    <row r="1141" spans="4:8" ht="15" thickBot="1" x14ac:dyDescent="0.35">
      <c r="D1141" s="117" t="s">
        <v>1266</v>
      </c>
      <c r="E1141" s="118">
        <v>951000176</v>
      </c>
      <c r="G1141" s="117"/>
      <c r="H1141" s="117"/>
    </row>
    <row r="1142" spans="4:8" ht="15" thickBot="1" x14ac:dyDescent="0.35">
      <c r="D1142" s="117" t="s">
        <v>1267</v>
      </c>
      <c r="E1142" s="118">
        <v>951000740</v>
      </c>
      <c r="G1142" s="117"/>
      <c r="H1142" s="117"/>
    </row>
    <row r="1143" spans="4:8" ht="15" thickBot="1" x14ac:dyDescent="0.35">
      <c r="D1143" s="117" t="s">
        <v>1268</v>
      </c>
      <c r="E1143" s="118">
        <v>951000499</v>
      </c>
      <c r="G1143" s="117"/>
      <c r="H1143" s="117"/>
    </row>
    <row r="1144" spans="4:8" ht="15" thickBot="1" x14ac:dyDescent="0.35">
      <c r="D1144" s="117" t="s">
        <v>1269</v>
      </c>
      <c r="E1144" s="118">
        <v>951000643</v>
      </c>
      <c r="G1144" s="117"/>
      <c r="H1144" s="117"/>
    </row>
    <row r="1145" spans="4:8" ht="27.6" thickBot="1" x14ac:dyDescent="0.35">
      <c r="D1145" s="117" t="s">
        <v>1270</v>
      </c>
      <c r="E1145" s="118">
        <v>951000580</v>
      </c>
      <c r="G1145" s="117"/>
      <c r="H1145" s="117"/>
    </row>
    <row r="1146" spans="4:8" ht="15" thickBot="1" x14ac:dyDescent="0.35">
      <c r="D1146" s="117" t="s">
        <v>1271</v>
      </c>
      <c r="E1146" s="118">
        <v>951000537</v>
      </c>
      <c r="G1146" s="117"/>
      <c r="H1146" s="117"/>
    </row>
    <row r="1147" spans="4:8" ht="15" thickBot="1" x14ac:dyDescent="0.35">
      <c r="D1147" s="117" t="s">
        <v>1272</v>
      </c>
      <c r="E1147" s="118">
        <v>957000045</v>
      </c>
      <c r="G1147" s="117"/>
      <c r="H1147" s="117"/>
    </row>
    <row r="1148" spans="4:8" ht="27.6" thickBot="1" x14ac:dyDescent="0.35">
      <c r="D1148" s="117" t="s">
        <v>1273</v>
      </c>
      <c r="E1148" s="118">
        <v>951000935</v>
      </c>
      <c r="G1148" s="117"/>
      <c r="H1148" s="117"/>
    </row>
    <row r="1149" spans="4:8" ht="15" thickBot="1" x14ac:dyDescent="0.35">
      <c r="D1149" s="117" t="s">
        <v>1274</v>
      </c>
      <c r="E1149" s="118">
        <v>951000623</v>
      </c>
      <c r="G1149" s="117"/>
      <c r="H1149" s="117"/>
    </row>
    <row r="1150" spans="4:8" ht="27.6" thickBot="1" x14ac:dyDescent="0.35">
      <c r="D1150" s="117" t="s">
        <v>1275</v>
      </c>
      <c r="E1150" s="118">
        <v>951001314</v>
      </c>
      <c r="G1150" s="117"/>
      <c r="H1150" s="117"/>
    </row>
    <row r="1151" spans="4:8" ht="27.6" thickBot="1" x14ac:dyDescent="0.35">
      <c r="D1151" s="117" t="s">
        <v>1276</v>
      </c>
      <c r="E1151" s="118">
        <v>951001176</v>
      </c>
      <c r="G1151" s="117"/>
      <c r="H1151" s="117"/>
    </row>
    <row r="1152" spans="4:8" ht="15" thickBot="1" x14ac:dyDescent="0.35">
      <c r="D1152" s="117" t="s">
        <v>1277</v>
      </c>
      <c r="E1152" s="118">
        <v>951001257</v>
      </c>
      <c r="G1152" s="117"/>
      <c r="H1152" s="117"/>
    </row>
    <row r="1153" spans="4:8" ht="15" thickBot="1" x14ac:dyDescent="0.35">
      <c r="D1153" s="117" t="s">
        <v>399</v>
      </c>
      <c r="E1153" s="118">
        <v>951000044</v>
      </c>
      <c r="G1153" s="117"/>
      <c r="H1153" s="117"/>
    </row>
    <row r="1154" spans="4:8" ht="27.6" thickBot="1" x14ac:dyDescent="0.35">
      <c r="D1154" s="117" t="s">
        <v>1278</v>
      </c>
      <c r="E1154" s="118">
        <v>951000975</v>
      </c>
      <c r="G1154" s="117"/>
      <c r="H1154" s="117"/>
    </row>
    <row r="1155" spans="4:8" ht="15" thickBot="1" x14ac:dyDescent="0.35">
      <c r="D1155" s="117" t="s">
        <v>1279</v>
      </c>
      <c r="E1155" s="118">
        <v>951000527</v>
      </c>
      <c r="G1155" s="117"/>
      <c r="H1155" s="117"/>
    </row>
    <row r="1156" spans="4:8" ht="15" thickBot="1" x14ac:dyDescent="0.35">
      <c r="D1156" s="117" t="s">
        <v>1280</v>
      </c>
      <c r="E1156" s="118">
        <v>951000870</v>
      </c>
      <c r="G1156" s="117"/>
      <c r="H1156" s="117"/>
    </row>
    <row r="1157" spans="4:8" ht="15" thickBot="1" x14ac:dyDescent="0.35">
      <c r="D1157" s="117" t="s">
        <v>419</v>
      </c>
      <c r="E1157" s="118">
        <v>951001133</v>
      </c>
      <c r="G1157" s="117"/>
      <c r="H1157" s="117"/>
    </row>
    <row r="1158" spans="4:8" ht="15" thickBot="1" x14ac:dyDescent="0.35">
      <c r="D1158" s="117" t="s">
        <v>1281</v>
      </c>
      <c r="E1158" s="118">
        <v>951000806</v>
      </c>
      <c r="G1158" s="117"/>
      <c r="H1158" s="117"/>
    </row>
    <row r="1159" spans="4:8" ht="15" thickBot="1" x14ac:dyDescent="0.35">
      <c r="D1159" s="117" t="s">
        <v>1282</v>
      </c>
      <c r="E1159" s="118">
        <v>951000474</v>
      </c>
      <c r="G1159" s="117"/>
      <c r="H1159" s="117"/>
    </row>
    <row r="1160" spans="4:8" ht="15" thickBot="1" x14ac:dyDescent="0.35">
      <c r="D1160" s="117" t="s">
        <v>1283</v>
      </c>
      <c r="E1160" s="118">
        <v>951000266</v>
      </c>
      <c r="G1160" s="117"/>
      <c r="H1160" s="117"/>
    </row>
    <row r="1161" spans="4:8" ht="15" thickBot="1" x14ac:dyDescent="0.35">
      <c r="D1161" s="117" t="s">
        <v>1284</v>
      </c>
      <c r="E1161" s="118">
        <v>951000181</v>
      </c>
      <c r="G1161" s="117"/>
      <c r="H1161" s="117"/>
    </row>
    <row r="1162" spans="4:8" ht="15" thickBot="1" x14ac:dyDescent="0.35">
      <c r="D1162" s="117" t="s">
        <v>1285</v>
      </c>
      <c r="E1162" s="118">
        <v>951000391</v>
      </c>
      <c r="G1162" s="117"/>
      <c r="H1162" s="117"/>
    </row>
    <row r="1163" spans="4:8" ht="15" thickBot="1" x14ac:dyDescent="0.35">
      <c r="D1163" s="117" t="s">
        <v>1286</v>
      </c>
      <c r="E1163" s="118">
        <v>951000691</v>
      </c>
      <c r="G1163" s="117"/>
      <c r="H1163" s="117"/>
    </row>
    <row r="1164" spans="4:8" x14ac:dyDescent="0.3">
      <c r="D1164" s="117" t="s">
        <v>1287</v>
      </c>
      <c r="E1164" s="118">
        <v>951000616</v>
      </c>
      <c r="G1164" s="117"/>
      <c r="H1164" s="117"/>
    </row>
    <row r="1165" spans="4:8" ht="15" thickBot="1" x14ac:dyDescent="0.35">
      <c r="D1165" s="121"/>
      <c r="E1165" s="122"/>
      <c r="G1165" s="121"/>
      <c r="H1165" s="121"/>
    </row>
    <row r="1166" spans="4:8" ht="15" thickBot="1" x14ac:dyDescent="0.35">
      <c r="D1166" s="109"/>
      <c r="E1166" s="110"/>
      <c r="G1166" s="109"/>
      <c r="H1166" s="109"/>
    </row>
    <row r="1167" spans="4:8" ht="15" thickBot="1" x14ac:dyDescent="0.35">
      <c r="D1167" s="109"/>
      <c r="E1167" s="110"/>
      <c r="G1167" s="109"/>
      <c r="H1167" s="109"/>
    </row>
    <row r="1168" spans="4:8" ht="15" thickBot="1" x14ac:dyDescent="0.35">
      <c r="D1168" s="109"/>
      <c r="E1168" s="110"/>
      <c r="G1168" s="109"/>
      <c r="H1168" s="109"/>
    </row>
    <row r="1169" spans="4:8" ht="15" thickBot="1" x14ac:dyDescent="0.35">
      <c r="D1169" s="109"/>
      <c r="E1169" s="110"/>
      <c r="G1169" s="109"/>
      <c r="H1169" s="109"/>
    </row>
    <row r="1170" spans="4:8" ht="15" thickBot="1" x14ac:dyDescent="0.35">
      <c r="D1170" s="109"/>
      <c r="E1170" s="110"/>
      <c r="G1170" s="109"/>
      <c r="H1170" s="109"/>
    </row>
    <row r="1171" spans="4:8" ht="15" thickBot="1" x14ac:dyDescent="0.35">
      <c r="D1171" s="109"/>
      <c r="E1171" s="110"/>
      <c r="G1171" s="109"/>
      <c r="H1171" s="109"/>
    </row>
    <row r="1172" spans="4:8" ht="15" thickBot="1" x14ac:dyDescent="0.35">
      <c r="D1172" s="109"/>
      <c r="E1172" s="110"/>
      <c r="G1172" s="109"/>
      <c r="H1172" s="109"/>
    </row>
    <row r="1173" spans="4:8" ht="15" thickBot="1" x14ac:dyDescent="0.35">
      <c r="D1173" s="109"/>
      <c r="E1173" s="110"/>
      <c r="G1173" s="109"/>
      <c r="H1173" s="109"/>
    </row>
    <row r="1174" spans="4:8" ht="15" thickBot="1" x14ac:dyDescent="0.35">
      <c r="D1174" s="109"/>
      <c r="E1174" s="110"/>
      <c r="G1174" s="109"/>
      <c r="H1174" s="109"/>
    </row>
    <row r="1175" spans="4:8" ht="15" thickBot="1" x14ac:dyDescent="0.35">
      <c r="D1175" s="109"/>
      <c r="E1175" s="110"/>
      <c r="G1175" s="109"/>
      <c r="H1175" s="109"/>
    </row>
    <row r="1176" spans="4:8" ht="15" thickBot="1" x14ac:dyDescent="0.35">
      <c r="D1176" s="109"/>
      <c r="E1176" s="110"/>
      <c r="G1176" s="109"/>
      <c r="H1176" s="109"/>
    </row>
    <row r="1177" spans="4:8" ht="15" thickBot="1" x14ac:dyDescent="0.35">
      <c r="D1177" s="109"/>
      <c r="E1177" s="110"/>
      <c r="G1177" s="109"/>
      <c r="H1177" s="109"/>
    </row>
    <row r="1178" spans="4:8" ht="15" thickBot="1" x14ac:dyDescent="0.35">
      <c r="D1178" s="109"/>
      <c r="E1178" s="110"/>
      <c r="G1178" s="109"/>
      <c r="H1178" s="109"/>
    </row>
    <row r="1179" spans="4:8" ht="15" thickBot="1" x14ac:dyDescent="0.35">
      <c r="D1179" s="109"/>
      <c r="E1179" s="110"/>
      <c r="G1179" s="109"/>
      <c r="H1179" s="109"/>
    </row>
    <row r="1180" spans="4:8" ht="15" thickBot="1" x14ac:dyDescent="0.35">
      <c r="D1180" s="109"/>
      <c r="E1180" s="110"/>
      <c r="G1180" s="109"/>
      <c r="H1180" s="109"/>
    </row>
    <row r="1181" spans="4:8" ht="15" thickBot="1" x14ac:dyDescent="0.35">
      <c r="D1181" s="109"/>
      <c r="E1181" s="110"/>
      <c r="G1181" s="109"/>
      <c r="H1181" s="109"/>
    </row>
    <row r="1182" spans="4:8" ht="15" thickBot="1" x14ac:dyDescent="0.35">
      <c r="D1182" s="109"/>
      <c r="E1182" s="110"/>
      <c r="G1182" s="109"/>
      <c r="H1182" s="109"/>
    </row>
    <row r="1183" spans="4:8" ht="15" thickBot="1" x14ac:dyDescent="0.35">
      <c r="D1183" s="109"/>
      <c r="E1183" s="110"/>
      <c r="G1183" s="109"/>
      <c r="H1183" s="109"/>
    </row>
    <row r="1184" spans="4:8" ht="15" thickBot="1" x14ac:dyDescent="0.35">
      <c r="D1184" s="109"/>
      <c r="E1184" s="110"/>
      <c r="G1184" s="109"/>
      <c r="H1184" s="109"/>
    </row>
    <row r="1185" spans="4:8" ht="15" thickBot="1" x14ac:dyDescent="0.35">
      <c r="D1185" s="109"/>
      <c r="E1185" s="110"/>
      <c r="G1185" s="109"/>
      <c r="H1185" s="109"/>
    </row>
    <row r="1186" spans="4:8" ht="15" thickBot="1" x14ac:dyDescent="0.35">
      <c r="D1186" s="109"/>
      <c r="E1186" s="110"/>
      <c r="G1186" s="109"/>
      <c r="H1186" s="109"/>
    </row>
    <row r="1187" spans="4:8" ht="15" thickBot="1" x14ac:dyDescent="0.35">
      <c r="D1187" s="109"/>
      <c r="E1187" s="110"/>
      <c r="G1187" s="109"/>
      <c r="H1187" s="109"/>
    </row>
    <row r="1188" spans="4:8" ht="15" thickBot="1" x14ac:dyDescent="0.35">
      <c r="D1188" s="109"/>
      <c r="E1188" s="110"/>
      <c r="G1188" s="109"/>
      <c r="H1188" s="109"/>
    </row>
    <row r="1189" spans="4:8" ht="15" thickBot="1" x14ac:dyDescent="0.35">
      <c r="D1189" s="109"/>
      <c r="E1189" s="110"/>
      <c r="G1189" s="109"/>
      <c r="H1189" s="109"/>
    </row>
    <row r="1190" spans="4:8" ht="15" thickBot="1" x14ac:dyDescent="0.35">
      <c r="D1190" s="109"/>
      <c r="E1190" s="110"/>
      <c r="G1190" s="109"/>
      <c r="H1190" s="109"/>
    </row>
    <row r="1191" spans="4:8" ht="15" thickBot="1" x14ac:dyDescent="0.35">
      <c r="D1191" s="109"/>
      <c r="E1191" s="110"/>
      <c r="G1191" s="109"/>
      <c r="H1191" s="109"/>
    </row>
    <row r="1192" spans="4:8" ht="15" thickBot="1" x14ac:dyDescent="0.35">
      <c r="D1192" s="109"/>
      <c r="E1192" s="110"/>
      <c r="G1192" s="109"/>
      <c r="H1192" s="109"/>
    </row>
    <row r="1193" spans="4:8" ht="15" thickBot="1" x14ac:dyDescent="0.35">
      <c r="D1193" s="109"/>
      <c r="E1193" s="110"/>
      <c r="G1193" s="109"/>
      <c r="H1193" s="109"/>
    </row>
    <row r="1194" spans="4:8" ht="15" thickBot="1" x14ac:dyDescent="0.35">
      <c r="D1194" s="109"/>
      <c r="E1194" s="110"/>
      <c r="G1194" s="109"/>
      <c r="H1194" s="109"/>
    </row>
    <row r="1195" spans="4:8" ht="15" thickBot="1" x14ac:dyDescent="0.35">
      <c r="D1195" s="109"/>
      <c r="E1195" s="110"/>
      <c r="G1195" s="109"/>
      <c r="H1195" s="109"/>
    </row>
    <row r="1196" spans="4:8" ht="15" thickBot="1" x14ac:dyDescent="0.35">
      <c r="D1196" s="109"/>
      <c r="E1196" s="110"/>
      <c r="G1196" s="109"/>
      <c r="H1196" s="109"/>
    </row>
    <row r="1197" spans="4:8" ht="15" thickBot="1" x14ac:dyDescent="0.35">
      <c r="D1197" s="109"/>
      <c r="E1197" s="110"/>
      <c r="G1197" s="109"/>
      <c r="H1197" s="109"/>
    </row>
    <row r="1198" spans="4:8" ht="15" thickBot="1" x14ac:dyDescent="0.35">
      <c r="D1198" s="109"/>
      <c r="E1198" s="110"/>
      <c r="G1198" s="109"/>
      <c r="H1198" s="109"/>
    </row>
    <row r="1199" spans="4:8" ht="15" thickBot="1" x14ac:dyDescent="0.35">
      <c r="D1199" s="109"/>
      <c r="E1199" s="110"/>
      <c r="G1199" s="109"/>
      <c r="H1199" s="109"/>
    </row>
    <row r="1200" spans="4:8" ht="15" thickBot="1" x14ac:dyDescent="0.35">
      <c r="D1200" s="109"/>
      <c r="E1200" s="110"/>
      <c r="G1200" s="109"/>
      <c r="H1200" s="109"/>
    </row>
    <row r="1201" spans="4:8" ht="15" thickBot="1" x14ac:dyDescent="0.35">
      <c r="D1201" s="109"/>
      <c r="E1201" s="110"/>
      <c r="G1201" s="109"/>
      <c r="H1201" s="109"/>
    </row>
    <row r="1202" spans="4:8" ht="15" thickBot="1" x14ac:dyDescent="0.35">
      <c r="D1202" s="109"/>
      <c r="E1202" s="110"/>
      <c r="G1202" s="109"/>
      <c r="H1202" s="109"/>
    </row>
    <row r="1203" spans="4:8" ht="15" thickBot="1" x14ac:dyDescent="0.35">
      <c r="D1203" s="109"/>
      <c r="E1203" s="110"/>
      <c r="G1203" s="109"/>
      <c r="H1203" s="109"/>
    </row>
    <row r="1204" spans="4:8" ht="15" thickBot="1" x14ac:dyDescent="0.35">
      <c r="D1204" s="109"/>
      <c r="E1204" s="110"/>
      <c r="G1204" s="109"/>
      <c r="H1204" s="109"/>
    </row>
    <row r="1205" spans="4:8" ht="15" thickBot="1" x14ac:dyDescent="0.35">
      <c r="D1205" s="109"/>
      <c r="E1205" s="110"/>
      <c r="G1205" s="109"/>
      <c r="H1205" s="109"/>
    </row>
    <row r="1206" spans="4:8" ht="15" thickBot="1" x14ac:dyDescent="0.35">
      <c r="D1206" s="109"/>
      <c r="E1206" s="110"/>
      <c r="G1206" s="109"/>
      <c r="H1206" s="109"/>
    </row>
    <row r="1207" spans="4:8" ht="15" thickBot="1" x14ac:dyDescent="0.35">
      <c r="D1207" s="109"/>
      <c r="E1207" s="110"/>
      <c r="G1207" s="109"/>
      <c r="H1207" s="109"/>
    </row>
    <row r="1208" spans="4:8" ht="15" thickBot="1" x14ac:dyDescent="0.35">
      <c r="D1208" s="109"/>
      <c r="E1208" s="110"/>
      <c r="G1208" s="109"/>
      <c r="H1208" s="109"/>
    </row>
    <row r="1209" spans="4:8" ht="15" thickBot="1" x14ac:dyDescent="0.35">
      <c r="D1209" s="109"/>
      <c r="E1209" s="110"/>
      <c r="G1209" s="109"/>
      <c r="H1209" s="109"/>
    </row>
    <row r="1210" spans="4:8" ht="15" thickBot="1" x14ac:dyDescent="0.35">
      <c r="D1210" s="109"/>
      <c r="E1210" s="110"/>
      <c r="G1210" s="109"/>
      <c r="H1210" s="109"/>
    </row>
    <row r="1211" spans="4:8" ht="15" thickBot="1" x14ac:dyDescent="0.35">
      <c r="D1211" s="109"/>
      <c r="E1211" s="110"/>
      <c r="G1211" s="109"/>
      <c r="H1211" s="109"/>
    </row>
    <row r="1212" spans="4:8" ht="15" thickBot="1" x14ac:dyDescent="0.35">
      <c r="D1212" s="109"/>
      <c r="E1212" s="110"/>
      <c r="G1212" s="109"/>
      <c r="H1212" s="109"/>
    </row>
    <row r="1213" spans="4:8" ht="15" thickBot="1" x14ac:dyDescent="0.35">
      <c r="D1213" s="109"/>
      <c r="E1213" s="110"/>
      <c r="G1213" s="109"/>
      <c r="H1213" s="109"/>
    </row>
    <row r="1214" spans="4:8" ht="15" thickBot="1" x14ac:dyDescent="0.35">
      <c r="D1214" s="109"/>
      <c r="E1214" s="110"/>
      <c r="G1214" s="109"/>
      <c r="H1214" s="109"/>
    </row>
    <row r="1215" spans="4:8" ht="15" thickBot="1" x14ac:dyDescent="0.35">
      <c r="D1215" s="109"/>
      <c r="E1215" s="110"/>
      <c r="G1215" s="109"/>
      <c r="H1215" s="109"/>
    </row>
    <row r="1216" spans="4:8" ht="15" thickBot="1" x14ac:dyDescent="0.35">
      <c r="D1216" s="109"/>
      <c r="E1216" s="110"/>
      <c r="G1216" s="109"/>
      <c r="H1216" s="109"/>
    </row>
    <row r="1217" spans="4:8" ht="15" thickBot="1" x14ac:dyDescent="0.35">
      <c r="D1217" s="109"/>
      <c r="E1217" s="110"/>
      <c r="G1217" s="109"/>
      <c r="H1217" s="109"/>
    </row>
    <row r="1218" spans="4:8" ht="15" thickBot="1" x14ac:dyDescent="0.35">
      <c r="D1218" s="109"/>
      <c r="E1218" s="110"/>
      <c r="G1218" s="109"/>
      <c r="H1218" s="109"/>
    </row>
    <row r="1219" spans="4:8" ht="15" thickBot="1" x14ac:dyDescent="0.35">
      <c r="D1219" s="109"/>
      <c r="E1219" s="110"/>
      <c r="G1219" s="109"/>
      <c r="H1219" s="109"/>
    </row>
    <row r="1220" spans="4:8" ht="15" thickBot="1" x14ac:dyDescent="0.35">
      <c r="D1220" s="109"/>
      <c r="E1220" s="110"/>
      <c r="G1220" s="109"/>
      <c r="H1220" s="109"/>
    </row>
    <row r="1221" spans="4:8" ht="15" thickBot="1" x14ac:dyDescent="0.35">
      <c r="D1221" s="109"/>
      <c r="E1221" s="110"/>
      <c r="G1221" s="109"/>
      <c r="H1221" s="109"/>
    </row>
    <row r="1222" spans="4:8" ht="15" thickBot="1" x14ac:dyDescent="0.35">
      <c r="D1222" s="109"/>
      <c r="E1222" s="110"/>
      <c r="G1222" s="109"/>
      <c r="H1222" s="109"/>
    </row>
    <row r="1223" spans="4:8" ht="15" thickBot="1" x14ac:dyDescent="0.35">
      <c r="D1223" s="109"/>
      <c r="E1223" s="110"/>
      <c r="G1223" s="109"/>
      <c r="H1223" s="109"/>
    </row>
    <row r="1224" spans="4:8" ht="15" thickBot="1" x14ac:dyDescent="0.35">
      <c r="D1224" s="109"/>
      <c r="E1224" s="110"/>
      <c r="G1224" s="109"/>
      <c r="H1224" s="109"/>
    </row>
    <row r="1225" spans="4:8" ht="15" thickBot="1" x14ac:dyDescent="0.35">
      <c r="D1225" s="109"/>
      <c r="E1225" s="110"/>
      <c r="G1225" s="109"/>
      <c r="H1225" s="109"/>
    </row>
    <row r="1226" spans="4:8" ht="15" thickBot="1" x14ac:dyDescent="0.35">
      <c r="D1226" s="109"/>
      <c r="E1226" s="110"/>
      <c r="G1226" s="109"/>
      <c r="H1226" s="109"/>
    </row>
    <row r="1227" spans="4:8" ht="15" thickBot="1" x14ac:dyDescent="0.35">
      <c r="D1227" s="109"/>
      <c r="E1227" s="110"/>
      <c r="G1227" s="109"/>
      <c r="H1227" s="109"/>
    </row>
    <row r="1228" spans="4:8" ht="15" thickBot="1" x14ac:dyDescent="0.35">
      <c r="D1228" s="109"/>
      <c r="E1228" s="110"/>
      <c r="G1228" s="109"/>
      <c r="H1228" s="109"/>
    </row>
    <row r="1229" spans="4:8" ht="15" thickBot="1" x14ac:dyDescent="0.35">
      <c r="D1229" s="109"/>
      <c r="E1229" s="110"/>
      <c r="G1229" s="109"/>
      <c r="H1229" s="109"/>
    </row>
    <row r="1230" spans="4:8" ht="15" thickBot="1" x14ac:dyDescent="0.35">
      <c r="D1230" s="109"/>
      <c r="E1230" s="110"/>
      <c r="G1230" s="109"/>
      <c r="H1230" s="109"/>
    </row>
    <row r="1231" spans="4:8" ht="15" thickBot="1" x14ac:dyDescent="0.35">
      <c r="D1231" s="109"/>
      <c r="E1231" s="110"/>
      <c r="G1231" s="109"/>
      <c r="H1231" s="109"/>
    </row>
    <row r="1232" spans="4:8" ht="15" thickBot="1" x14ac:dyDescent="0.35">
      <c r="D1232" s="109"/>
      <c r="E1232" s="110"/>
      <c r="G1232" s="109"/>
      <c r="H1232" s="109"/>
    </row>
    <row r="1233" spans="4:8" ht="15" thickBot="1" x14ac:dyDescent="0.35">
      <c r="D1233" s="109"/>
      <c r="E1233" s="110"/>
      <c r="G1233" s="109"/>
      <c r="H1233" s="109"/>
    </row>
    <row r="1234" spans="4:8" ht="15" thickBot="1" x14ac:dyDescent="0.35">
      <c r="D1234" s="109"/>
      <c r="E1234" s="110"/>
      <c r="G1234" s="109"/>
      <c r="H1234" s="109"/>
    </row>
    <row r="1235" spans="4:8" ht="15" thickBot="1" x14ac:dyDescent="0.35">
      <c r="D1235" s="109"/>
      <c r="E1235" s="110"/>
      <c r="G1235" s="109"/>
      <c r="H1235" s="109"/>
    </row>
    <row r="1236" spans="4:8" ht="15" thickBot="1" x14ac:dyDescent="0.35">
      <c r="D1236" s="109"/>
      <c r="E1236" s="110"/>
      <c r="G1236" s="109"/>
      <c r="H1236" s="109"/>
    </row>
    <row r="1237" spans="4:8" ht="15" thickBot="1" x14ac:dyDescent="0.35">
      <c r="D1237" s="109"/>
      <c r="E1237" s="110"/>
      <c r="G1237" s="109"/>
      <c r="H1237" s="109"/>
    </row>
    <row r="1238" spans="4:8" ht="15" thickBot="1" x14ac:dyDescent="0.35">
      <c r="D1238" s="109"/>
      <c r="E1238" s="110"/>
      <c r="G1238" s="109"/>
      <c r="H1238" s="109"/>
    </row>
    <row r="1239" spans="4:8" ht="15" thickBot="1" x14ac:dyDescent="0.35">
      <c r="D1239" s="109"/>
      <c r="E1239" s="110"/>
      <c r="G1239" s="109"/>
      <c r="H1239" s="109"/>
    </row>
    <row r="1240" spans="4:8" ht="15" thickBot="1" x14ac:dyDescent="0.35">
      <c r="D1240" s="109"/>
      <c r="E1240" s="110"/>
      <c r="G1240" s="109"/>
      <c r="H1240" s="109"/>
    </row>
    <row r="1241" spans="4:8" ht="15" thickBot="1" x14ac:dyDescent="0.35">
      <c r="D1241" s="109"/>
      <c r="E1241" s="110"/>
      <c r="G1241" s="109"/>
      <c r="H1241" s="109"/>
    </row>
    <row r="1242" spans="4:8" ht="15" thickBot="1" x14ac:dyDescent="0.35">
      <c r="D1242" s="109"/>
      <c r="E1242" s="110"/>
      <c r="G1242" s="109"/>
      <c r="H1242" s="109"/>
    </row>
    <row r="1243" spans="4:8" ht="15" thickBot="1" x14ac:dyDescent="0.35">
      <c r="D1243" s="109"/>
      <c r="E1243" s="110"/>
      <c r="G1243" s="109"/>
      <c r="H1243" s="109"/>
    </row>
    <row r="1244" spans="4:8" ht="15" thickBot="1" x14ac:dyDescent="0.35">
      <c r="D1244" s="109"/>
      <c r="E1244" s="110"/>
      <c r="G1244" s="109"/>
      <c r="H1244" s="109"/>
    </row>
    <row r="1245" spans="4:8" ht="15" thickBot="1" x14ac:dyDescent="0.35">
      <c r="D1245" s="109"/>
      <c r="E1245" s="110"/>
      <c r="G1245" s="109"/>
      <c r="H1245" s="109"/>
    </row>
    <row r="1246" spans="4:8" ht="15" thickBot="1" x14ac:dyDescent="0.35">
      <c r="D1246" s="109"/>
      <c r="E1246" s="110"/>
      <c r="G1246" s="109"/>
      <c r="H1246" s="109"/>
    </row>
    <row r="1247" spans="4:8" ht="15" thickBot="1" x14ac:dyDescent="0.35">
      <c r="D1247" s="109"/>
      <c r="E1247" s="110"/>
      <c r="G1247" s="109"/>
      <c r="H1247" s="109"/>
    </row>
    <row r="1248" spans="4:8" ht="15" thickBot="1" x14ac:dyDescent="0.35">
      <c r="D1248" s="109"/>
      <c r="E1248" s="110"/>
      <c r="G1248" s="109"/>
      <c r="H1248" s="109"/>
    </row>
    <row r="1249" spans="4:8" ht="15" thickBot="1" x14ac:dyDescent="0.35">
      <c r="D1249" s="109"/>
      <c r="E1249" s="110"/>
      <c r="G1249" s="109"/>
      <c r="H1249" s="109"/>
    </row>
    <row r="1250" spans="4:8" ht="15" thickBot="1" x14ac:dyDescent="0.35">
      <c r="D1250" s="109"/>
      <c r="E1250" s="110"/>
      <c r="G1250" s="109"/>
      <c r="H1250" s="109"/>
    </row>
    <row r="1251" spans="4:8" ht="15" thickBot="1" x14ac:dyDescent="0.35">
      <c r="D1251" s="109"/>
      <c r="E1251" s="110"/>
      <c r="G1251" s="109"/>
      <c r="H1251" s="109"/>
    </row>
    <row r="1252" spans="4:8" ht="15" thickBot="1" x14ac:dyDescent="0.35">
      <c r="D1252" s="109"/>
      <c r="E1252" s="110"/>
      <c r="G1252" s="109"/>
      <c r="H1252" s="109"/>
    </row>
    <row r="1253" spans="4:8" ht="15" thickBot="1" x14ac:dyDescent="0.35">
      <c r="D1253" s="109"/>
      <c r="E1253" s="110"/>
      <c r="G1253" s="109"/>
      <c r="H1253" s="109"/>
    </row>
    <row r="1254" spans="4:8" ht="15" thickBot="1" x14ac:dyDescent="0.35">
      <c r="D1254" s="109"/>
      <c r="E1254" s="110"/>
      <c r="G1254" s="109"/>
      <c r="H1254" s="109"/>
    </row>
    <row r="1255" spans="4:8" ht="15" thickBot="1" x14ac:dyDescent="0.35">
      <c r="D1255" s="109"/>
      <c r="E1255" s="110"/>
      <c r="G1255" s="109"/>
      <c r="H1255" s="109"/>
    </row>
    <row r="1256" spans="4:8" ht="15" thickBot="1" x14ac:dyDescent="0.35">
      <c r="D1256" s="109"/>
      <c r="E1256" s="110"/>
      <c r="G1256" s="109"/>
      <c r="H1256" s="109"/>
    </row>
    <row r="1257" spans="4:8" ht="15" thickBot="1" x14ac:dyDescent="0.35">
      <c r="D1257" s="109"/>
      <c r="E1257" s="110"/>
      <c r="G1257" s="109"/>
      <c r="H1257" s="109"/>
    </row>
    <row r="1258" spans="4:8" ht="15" thickBot="1" x14ac:dyDescent="0.35">
      <c r="D1258" s="109"/>
      <c r="E1258" s="110"/>
      <c r="G1258" s="109"/>
      <c r="H1258" s="109"/>
    </row>
    <row r="1259" spans="4:8" ht="15" thickBot="1" x14ac:dyDescent="0.35">
      <c r="D1259" s="109"/>
      <c r="E1259" s="110"/>
      <c r="G1259" s="109"/>
      <c r="H1259" s="109"/>
    </row>
    <row r="1260" spans="4:8" ht="15" thickBot="1" x14ac:dyDescent="0.35">
      <c r="D1260" s="109"/>
      <c r="E1260" s="110"/>
      <c r="G1260" s="109"/>
      <c r="H1260" s="109"/>
    </row>
    <row r="1261" spans="4:8" ht="15" thickBot="1" x14ac:dyDescent="0.35">
      <c r="D1261" s="109"/>
      <c r="E1261" s="110"/>
      <c r="G1261" s="109"/>
      <c r="H1261" s="109"/>
    </row>
    <row r="1262" spans="4:8" ht="15" thickBot="1" x14ac:dyDescent="0.35">
      <c r="D1262" s="109"/>
      <c r="E1262" s="110"/>
      <c r="G1262" s="109"/>
      <c r="H1262" s="109"/>
    </row>
    <row r="1263" spans="4:8" ht="15" thickBot="1" x14ac:dyDescent="0.35">
      <c r="D1263" s="109"/>
      <c r="E1263" s="110"/>
      <c r="G1263" s="109"/>
      <c r="H1263" s="109"/>
    </row>
    <row r="1264" spans="4:8" ht="15" thickBot="1" x14ac:dyDescent="0.35">
      <c r="D1264" s="109"/>
      <c r="E1264" s="110"/>
      <c r="G1264" s="109"/>
      <c r="H1264" s="109"/>
    </row>
    <row r="1265" spans="4:8" ht="15" thickBot="1" x14ac:dyDescent="0.35">
      <c r="D1265" s="109"/>
      <c r="E1265" s="110"/>
      <c r="G1265" s="109"/>
      <c r="H1265" s="109"/>
    </row>
    <row r="1266" spans="4:8" ht="15" thickBot="1" x14ac:dyDescent="0.35">
      <c r="D1266" s="109"/>
      <c r="E1266" s="110"/>
      <c r="G1266" s="109"/>
      <c r="H1266" s="109"/>
    </row>
    <row r="1267" spans="4:8" ht="15" thickBot="1" x14ac:dyDescent="0.35">
      <c r="D1267" s="109"/>
      <c r="E1267" s="110"/>
      <c r="G1267" s="109"/>
      <c r="H1267" s="109"/>
    </row>
    <row r="1268" spans="4:8" ht="15" thickBot="1" x14ac:dyDescent="0.35">
      <c r="D1268" s="109"/>
      <c r="E1268" s="110"/>
      <c r="G1268" s="109"/>
      <c r="H1268" s="109"/>
    </row>
    <row r="1269" spans="4:8" ht="15" thickBot="1" x14ac:dyDescent="0.35">
      <c r="D1269" s="109"/>
      <c r="E1269" s="110"/>
      <c r="G1269" s="109"/>
      <c r="H1269" s="109"/>
    </row>
    <row r="1270" spans="4:8" ht="15" thickBot="1" x14ac:dyDescent="0.35">
      <c r="D1270" s="109"/>
      <c r="E1270" s="110"/>
      <c r="G1270" s="109"/>
      <c r="H1270" s="109"/>
    </row>
    <row r="1271" spans="4:8" ht="15" thickBot="1" x14ac:dyDescent="0.35">
      <c r="D1271" s="109"/>
      <c r="E1271" s="110"/>
      <c r="G1271" s="109"/>
      <c r="H1271" s="109"/>
    </row>
    <row r="1272" spans="4:8" ht="15" thickBot="1" x14ac:dyDescent="0.35">
      <c r="D1272" s="109"/>
      <c r="E1272" s="110"/>
      <c r="G1272" s="109"/>
      <c r="H1272" s="109"/>
    </row>
    <row r="1273" spans="4:8" ht="15" thickBot="1" x14ac:dyDescent="0.35">
      <c r="D1273" s="109"/>
      <c r="E1273" s="110"/>
      <c r="G1273" s="109"/>
      <c r="H1273" s="109"/>
    </row>
    <row r="1274" spans="4:8" ht="15" thickBot="1" x14ac:dyDescent="0.35">
      <c r="D1274" s="109"/>
      <c r="E1274" s="110"/>
      <c r="G1274" s="109"/>
      <c r="H1274" s="109"/>
    </row>
    <row r="1275" spans="4:8" ht="15" thickBot="1" x14ac:dyDescent="0.35">
      <c r="D1275" s="109"/>
      <c r="E1275" s="110"/>
      <c r="G1275" s="109"/>
      <c r="H1275" s="109"/>
    </row>
    <row r="1276" spans="4:8" ht="15" thickBot="1" x14ac:dyDescent="0.35">
      <c r="D1276" s="109"/>
      <c r="E1276" s="110"/>
      <c r="G1276" s="109"/>
      <c r="H1276" s="109"/>
    </row>
    <row r="1277" spans="4:8" ht="15" thickBot="1" x14ac:dyDescent="0.35">
      <c r="D1277" s="109"/>
      <c r="E1277" s="110"/>
      <c r="G1277" s="109"/>
      <c r="H1277" s="109"/>
    </row>
    <row r="1278" spans="4:8" ht="15" thickBot="1" x14ac:dyDescent="0.35">
      <c r="D1278" s="109"/>
      <c r="E1278" s="110"/>
      <c r="G1278" s="109"/>
      <c r="H1278" s="109"/>
    </row>
    <row r="1279" spans="4:8" ht="15" thickBot="1" x14ac:dyDescent="0.35">
      <c r="D1279" s="109"/>
      <c r="E1279" s="110"/>
      <c r="G1279" s="109"/>
      <c r="H1279" s="109"/>
    </row>
    <row r="1280" spans="4:8" ht="15" thickBot="1" x14ac:dyDescent="0.35">
      <c r="D1280" s="109"/>
      <c r="E1280" s="110"/>
      <c r="G1280" s="109"/>
      <c r="H1280" s="109"/>
    </row>
    <row r="1281" spans="4:8" ht="15" thickBot="1" x14ac:dyDescent="0.35">
      <c r="D1281" s="109"/>
      <c r="E1281" s="110"/>
      <c r="G1281" s="109"/>
      <c r="H1281" s="109"/>
    </row>
    <row r="1282" spans="4:8" ht="15" thickBot="1" x14ac:dyDescent="0.35">
      <c r="D1282" s="109"/>
      <c r="E1282" s="110"/>
      <c r="G1282" s="109"/>
      <c r="H1282" s="109"/>
    </row>
    <row r="1283" spans="4:8" ht="15" thickBot="1" x14ac:dyDescent="0.35">
      <c r="D1283" s="109"/>
      <c r="E1283" s="110"/>
      <c r="G1283" s="109"/>
      <c r="H1283" s="109"/>
    </row>
    <row r="1284" spans="4:8" ht="15" thickBot="1" x14ac:dyDescent="0.35">
      <c r="D1284" s="109"/>
      <c r="E1284" s="110"/>
      <c r="G1284" s="109"/>
      <c r="H1284" s="109"/>
    </row>
    <row r="1285" spans="4:8" ht="15" thickBot="1" x14ac:dyDescent="0.35">
      <c r="D1285" s="109"/>
      <c r="E1285" s="110"/>
      <c r="G1285" s="109"/>
      <c r="H1285" s="109"/>
    </row>
    <row r="1286" spans="4:8" ht="15" thickBot="1" x14ac:dyDescent="0.35">
      <c r="D1286" s="109"/>
      <c r="E1286" s="110"/>
      <c r="G1286" s="109"/>
      <c r="H1286" s="109"/>
    </row>
    <row r="1287" spans="4:8" ht="15" thickBot="1" x14ac:dyDescent="0.35">
      <c r="D1287" s="109"/>
      <c r="E1287" s="110"/>
      <c r="G1287" s="109"/>
      <c r="H1287" s="109"/>
    </row>
    <row r="1288" spans="4:8" ht="15" thickBot="1" x14ac:dyDescent="0.35">
      <c r="D1288" s="109"/>
      <c r="E1288" s="110"/>
      <c r="G1288" s="109"/>
      <c r="H1288" s="109"/>
    </row>
    <row r="1289" spans="4:8" ht="15" thickBot="1" x14ac:dyDescent="0.35">
      <c r="D1289" s="109"/>
      <c r="E1289" s="110"/>
      <c r="G1289" s="109"/>
      <c r="H1289" s="109"/>
    </row>
    <row r="1290" spans="4:8" ht="15" thickBot="1" x14ac:dyDescent="0.35">
      <c r="D1290" s="109"/>
      <c r="E1290" s="110"/>
      <c r="G1290" s="109"/>
      <c r="H1290" s="109"/>
    </row>
    <row r="1291" spans="4:8" ht="15" thickBot="1" x14ac:dyDescent="0.35">
      <c r="D1291" s="109"/>
      <c r="E1291" s="110"/>
      <c r="G1291" s="109"/>
      <c r="H1291" s="109"/>
    </row>
    <row r="1292" spans="4:8" ht="15" thickBot="1" x14ac:dyDescent="0.35">
      <c r="D1292" s="109"/>
      <c r="E1292" s="110"/>
      <c r="G1292" s="109"/>
      <c r="H1292" s="109"/>
    </row>
    <row r="1293" spans="4:8" ht="15" thickBot="1" x14ac:dyDescent="0.35">
      <c r="D1293" s="109"/>
      <c r="E1293" s="110"/>
      <c r="G1293" s="109"/>
      <c r="H1293" s="109"/>
    </row>
    <row r="1294" spans="4:8" ht="15" thickBot="1" x14ac:dyDescent="0.35">
      <c r="D1294" s="109"/>
      <c r="E1294" s="110"/>
      <c r="G1294" s="109"/>
      <c r="H1294" s="109"/>
    </row>
    <row r="1295" spans="4:8" ht="15" thickBot="1" x14ac:dyDescent="0.35">
      <c r="D1295" s="109"/>
      <c r="E1295" s="110"/>
      <c r="G1295" s="109"/>
      <c r="H1295" s="109"/>
    </row>
    <row r="1296" spans="4:8" ht="15" thickBot="1" x14ac:dyDescent="0.35">
      <c r="D1296" s="109"/>
      <c r="E1296" s="110"/>
      <c r="G1296" s="109"/>
      <c r="H1296" s="109"/>
    </row>
    <row r="1297" spans="4:8" ht="15" thickBot="1" x14ac:dyDescent="0.35">
      <c r="D1297" s="109"/>
      <c r="E1297" s="110"/>
      <c r="G1297" s="109"/>
      <c r="H1297" s="109"/>
    </row>
    <row r="1298" spans="4:8" ht="15" thickBot="1" x14ac:dyDescent="0.35">
      <c r="D1298" s="109"/>
      <c r="E1298" s="110"/>
      <c r="G1298" s="109"/>
      <c r="H1298" s="109"/>
    </row>
    <row r="1299" spans="4:8" ht="15" thickBot="1" x14ac:dyDescent="0.35">
      <c r="D1299" s="109"/>
      <c r="E1299" s="110"/>
      <c r="G1299" s="109"/>
      <c r="H1299" s="109"/>
    </row>
    <row r="1300" spans="4:8" ht="15" thickBot="1" x14ac:dyDescent="0.35">
      <c r="D1300" s="109"/>
      <c r="E1300" s="110"/>
      <c r="G1300" s="109"/>
      <c r="H1300" s="109"/>
    </row>
    <row r="1301" spans="4:8" ht="15" thickBot="1" x14ac:dyDescent="0.35">
      <c r="D1301" s="109"/>
      <c r="E1301" s="110"/>
      <c r="G1301" s="109"/>
      <c r="H1301" s="109"/>
    </row>
    <row r="1302" spans="4:8" ht="15" thickBot="1" x14ac:dyDescent="0.35">
      <c r="D1302" s="109"/>
      <c r="E1302" s="110"/>
      <c r="G1302" s="109"/>
      <c r="H1302" s="109"/>
    </row>
    <row r="1303" spans="4:8" ht="15" thickBot="1" x14ac:dyDescent="0.35">
      <c r="D1303" s="109"/>
      <c r="E1303" s="110"/>
      <c r="G1303" s="109"/>
      <c r="H1303" s="109"/>
    </row>
    <row r="1304" spans="4:8" ht="15" thickBot="1" x14ac:dyDescent="0.35">
      <c r="D1304" s="109"/>
      <c r="E1304" s="110"/>
      <c r="G1304" s="109"/>
      <c r="H1304" s="109"/>
    </row>
    <row r="1305" spans="4:8" ht="15" thickBot="1" x14ac:dyDescent="0.35">
      <c r="D1305" s="109"/>
      <c r="E1305" s="110"/>
      <c r="G1305" s="109"/>
      <c r="H1305" s="109"/>
    </row>
    <row r="1306" spans="4:8" ht="15" thickBot="1" x14ac:dyDescent="0.35">
      <c r="D1306" s="109"/>
      <c r="E1306" s="110"/>
      <c r="G1306" s="109"/>
      <c r="H1306" s="109"/>
    </row>
    <row r="1307" spans="4:8" ht="15" thickBot="1" x14ac:dyDescent="0.35">
      <c r="D1307" s="109"/>
      <c r="E1307" s="110"/>
      <c r="G1307" s="109"/>
      <c r="H1307" s="109"/>
    </row>
    <row r="1308" spans="4:8" ht="15" thickBot="1" x14ac:dyDescent="0.35">
      <c r="D1308" s="109"/>
      <c r="E1308" s="110"/>
      <c r="G1308" s="109"/>
      <c r="H1308" s="109"/>
    </row>
    <row r="1309" spans="4:8" ht="15" thickBot="1" x14ac:dyDescent="0.35">
      <c r="D1309" s="109"/>
      <c r="E1309" s="110"/>
      <c r="G1309" s="109"/>
      <c r="H1309" s="109"/>
    </row>
    <row r="1310" spans="4:8" ht="15" thickBot="1" x14ac:dyDescent="0.35">
      <c r="D1310" s="109"/>
      <c r="E1310" s="110"/>
      <c r="G1310" s="109"/>
      <c r="H1310" s="109"/>
    </row>
    <row r="1311" spans="4:8" ht="15" thickBot="1" x14ac:dyDescent="0.35">
      <c r="D1311" s="109"/>
      <c r="E1311" s="110"/>
      <c r="G1311" s="109"/>
      <c r="H1311" s="109"/>
    </row>
    <row r="1312" spans="4:8" ht="15" thickBot="1" x14ac:dyDescent="0.35">
      <c r="D1312" s="109"/>
      <c r="E1312" s="110"/>
      <c r="G1312" s="109"/>
      <c r="H1312" s="109"/>
    </row>
    <row r="1313" spans="4:8" ht="15" thickBot="1" x14ac:dyDescent="0.35">
      <c r="D1313" s="109"/>
      <c r="E1313" s="110"/>
      <c r="G1313" s="109"/>
      <c r="H1313" s="109"/>
    </row>
    <row r="1314" spans="4:8" ht="15" thickBot="1" x14ac:dyDescent="0.35">
      <c r="D1314" s="109"/>
      <c r="E1314" s="110"/>
      <c r="G1314" s="109"/>
      <c r="H1314" s="109"/>
    </row>
    <row r="1315" spans="4:8" ht="15" thickBot="1" x14ac:dyDescent="0.35">
      <c r="D1315" s="109"/>
      <c r="E1315" s="110"/>
      <c r="G1315" s="109"/>
      <c r="H1315" s="109"/>
    </row>
    <row r="1316" spans="4:8" ht="15" thickBot="1" x14ac:dyDescent="0.35">
      <c r="D1316" s="109"/>
      <c r="E1316" s="110"/>
      <c r="G1316" s="109"/>
      <c r="H1316" s="109"/>
    </row>
    <row r="1317" spans="4:8" ht="15" thickBot="1" x14ac:dyDescent="0.35">
      <c r="D1317" s="109"/>
      <c r="E1317" s="110"/>
      <c r="G1317" s="109"/>
      <c r="H1317" s="109"/>
    </row>
    <row r="1318" spans="4:8" ht="15" thickBot="1" x14ac:dyDescent="0.35">
      <c r="D1318" s="109"/>
      <c r="E1318" s="110"/>
      <c r="G1318" s="109"/>
      <c r="H1318" s="109"/>
    </row>
    <row r="1319" spans="4:8" ht="15" thickBot="1" x14ac:dyDescent="0.35">
      <c r="D1319" s="109"/>
      <c r="E1319" s="110"/>
      <c r="G1319" s="109"/>
      <c r="H1319" s="109"/>
    </row>
    <row r="1320" spans="4:8" ht="15" thickBot="1" x14ac:dyDescent="0.35">
      <c r="D1320" s="109"/>
      <c r="E1320" s="110"/>
      <c r="G1320" s="109"/>
      <c r="H1320" s="109"/>
    </row>
    <row r="1321" spans="4:8" ht="15" thickBot="1" x14ac:dyDescent="0.35">
      <c r="D1321" s="109"/>
      <c r="E1321" s="110"/>
      <c r="G1321" s="109"/>
      <c r="H1321" s="109"/>
    </row>
    <row r="1322" spans="4:8" ht="15" thickBot="1" x14ac:dyDescent="0.35">
      <c r="D1322" s="109"/>
      <c r="E1322" s="110"/>
      <c r="G1322" s="109"/>
      <c r="H1322" s="109"/>
    </row>
    <row r="1323" spans="4:8" ht="15" thickBot="1" x14ac:dyDescent="0.35">
      <c r="D1323" s="109"/>
      <c r="E1323" s="110"/>
      <c r="G1323" s="109"/>
      <c r="H1323" s="109"/>
    </row>
    <row r="1324" spans="4:8" ht="15" thickBot="1" x14ac:dyDescent="0.35">
      <c r="D1324" s="109"/>
      <c r="E1324" s="110"/>
      <c r="G1324" s="109"/>
      <c r="H1324" s="109"/>
    </row>
    <row r="1325" spans="4:8" ht="15" thickBot="1" x14ac:dyDescent="0.35">
      <c r="D1325" s="109"/>
      <c r="E1325" s="110"/>
      <c r="G1325" s="109"/>
      <c r="H1325" s="109"/>
    </row>
    <row r="1326" spans="4:8" ht="15" thickBot="1" x14ac:dyDescent="0.35">
      <c r="D1326" s="109"/>
      <c r="E1326" s="110"/>
      <c r="G1326" s="109"/>
      <c r="H1326" s="109"/>
    </row>
    <row r="1327" spans="4:8" ht="15" thickBot="1" x14ac:dyDescent="0.35">
      <c r="D1327" s="109"/>
      <c r="E1327" s="110"/>
      <c r="G1327" s="109"/>
      <c r="H1327" s="109"/>
    </row>
    <row r="1328" spans="4:8" ht="15" thickBot="1" x14ac:dyDescent="0.35">
      <c r="D1328" s="109"/>
      <c r="E1328" s="110"/>
      <c r="G1328" s="109"/>
      <c r="H1328" s="109"/>
    </row>
    <row r="1329" spans="4:8" ht="15" thickBot="1" x14ac:dyDescent="0.35">
      <c r="D1329" s="109"/>
      <c r="E1329" s="110"/>
      <c r="G1329" s="109"/>
      <c r="H1329" s="109"/>
    </row>
    <row r="1330" spans="4:8" ht="15" thickBot="1" x14ac:dyDescent="0.35">
      <c r="D1330" s="109"/>
      <c r="E1330" s="110"/>
      <c r="G1330" s="109"/>
      <c r="H1330" s="109"/>
    </row>
    <row r="1331" spans="4:8" ht="15" thickBot="1" x14ac:dyDescent="0.35">
      <c r="D1331" s="109"/>
      <c r="E1331" s="110"/>
      <c r="G1331" s="109"/>
      <c r="H1331" s="109"/>
    </row>
    <row r="1332" spans="4:8" ht="15" thickBot="1" x14ac:dyDescent="0.35">
      <c r="D1332" s="109"/>
      <c r="E1332" s="110"/>
      <c r="G1332" s="109"/>
      <c r="H1332" s="109"/>
    </row>
    <row r="1333" spans="4:8" ht="15" thickBot="1" x14ac:dyDescent="0.35">
      <c r="D1333" s="109"/>
      <c r="E1333" s="110"/>
      <c r="G1333" s="109"/>
      <c r="H1333" s="109"/>
    </row>
    <row r="1334" spans="4:8" ht="15" thickBot="1" x14ac:dyDescent="0.35">
      <c r="D1334" s="109"/>
      <c r="E1334" s="110"/>
      <c r="G1334" s="109"/>
      <c r="H1334" s="109"/>
    </row>
    <row r="1335" spans="4:8" ht="15" thickBot="1" x14ac:dyDescent="0.35">
      <c r="D1335" s="109"/>
      <c r="E1335" s="110"/>
      <c r="G1335" s="109"/>
      <c r="H1335" s="109"/>
    </row>
    <row r="1336" spans="4:8" ht="15" thickBot="1" x14ac:dyDescent="0.35">
      <c r="D1336" s="109"/>
      <c r="E1336" s="110"/>
      <c r="G1336" s="109"/>
      <c r="H1336" s="109"/>
    </row>
    <row r="1337" spans="4:8" ht="15" thickBot="1" x14ac:dyDescent="0.35">
      <c r="D1337" s="109"/>
      <c r="E1337" s="110"/>
      <c r="G1337" s="109"/>
      <c r="H1337" s="109"/>
    </row>
    <row r="1338" spans="4:8" ht="15" thickBot="1" x14ac:dyDescent="0.35">
      <c r="D1338" s="109"/>
      <c r="E1338" s="110"/>
      <c r="G1338" s="109"/>
      <c r="H1338" s="109"/>
    </row>
    <row r="1339" spans="4:8" ht="15" thickBot="1" x14ac:dyDescent="0.35">
      <c r="D1339" s="109"/>
      <c r="E1339" s="110"/>
      <c r="G1339" s="109"/>
      <c r="H1339" s="109"/>
    </row>
    <row r="1340" spans="4:8" ht="15" thickBot="1" x14ac:dyDescent="0.35">
      <c r="D1340" s="109"/>
      <c r="E1340" s="110"/>
      <c r="G1340" s="109"/>
      <c r="H1340" s="109"/>
    </row>
    <row r="1341" spans="4:8" ht="15" thickBot="1" x14ac:dyDescent="0.35">
      <c r="D1341" s="109"/>
      <c r="E1341" s="110"/>
      <c r="G1341" s="109"/>
      <c r="H1341" s="109"/>
    </row>
    <row r="1342" spans="4:8" ht="15" thickBot="1" x14ac:dyDescent="0.35">
      <c r="D1342" s="109"/>
      <c r="E1342" s="110"/>
      <c r="G1342" s="109"/>
      <c r="H1342" s="109"/>
    </row>
    <row r="1343" spans="4:8" ht="15" thickBot="1" x14ac:dyDescent="0.35">
      <c r="D1343" s="109"/>
      <c r="E1343" s="110"/>
      <c r="G1343" s="109"/>
      <c r="H1343" s="109"/>
    </row>
    <row r="1344" spans="4:8" ht="15" thickBot="1" x14ac:dyDescent="0.35">
      <c r="D1344" s="109"/>
      <c r="E1344" s="110"/>
      <c r="G1344" s="109"/>
      <c r="H1344" s="109"/>
    </row>
    <row r="1345" spans="4:8" ht="15" thickBot="1" x14ac:dyDescent="0.35">
      <c r="D1345" s="109"/>
      <c r="E1345" s="110"/>
      <c r="G1345" s="109"/>
      <c r="H1345" s="109"/>
    </row>
    <row r="1346" spans="4:8" ht="15" thickBot="1" x14ac:dyDescent="0.35">
      <c r="D1346" s="109"/>
      <c r="E1346" s="110"/>
      <c r="G1346" s="109"/>
      <c r="H1346" s="109"/>
    </row>
    <row r="1347" spans="4:8" ht="15" thickBot="1" x14ac:dyDescent="0.35">
      <c r="D1347" s="109"/>
      <c r="E1347" s="110"/>
      <c r="G1347" s="109"/>
      <c r="H1347" s="109"/>
    </row>
    <row r="1348" spans="4:8" ht="15" thickBot="1" x14ac:dyDescent="0.35">
      <c r="D1348" s="109"/>
      <c r="E1348" s="110"/>
      <c r="G1348" s="109"/>
      <c r="H1348" s="109"/>
    </row>
    <row r="1349" spans="4:8" ht="15" thickBot="1" x14ac:dyDescent="0.35">
      <c r="D1349" s="109"/>
      <c r="E1349" s="110"/>
      <c r="G1349" s="109"/>
      <c r="H1349" s="109"/>
    </row>
    <row r="1350" spans="4:8" ht="15" thickBot="1" x14ac:dyDescent="0.35">
      <c r="D1350" s="109"/>
      <c r="E1350" s="110"/>
      <c r="G1350" s="109"/>
      <c r="H1350" s="109"/>
    </row>
    <row r="1351" spans="4:8" ht="15" thickBot="1" x14ac:dyDescent="0.35">
      <c r="D1351" s="109"/>
      <c r="E1351" s="110"/>
      <c r="G1351" s="109"/>
      <c r="H1351" s="109"/>
    </row>
    <row r="1352" spans="4:8" ht="15" thickBot="1" x14ac:dyDescent="0.35">
      <c r="D1352" s="109"/>
      <c r="E1352" s="110"/>
      <c r="G1352" s="109"/>
      <c r="H1352" s="109"/>
    </row>
    <row r="1353" spans="4:8" ht="15" thickBot="1" x14ac:dyDescent="0.35">
      <c r="D1353" s="109"/>
      <c r="E1353" s="110"/>
      <c r="G1353" s="109"/>
      <c r="H1353" s="109"/>
    </row>
    <row r="1354" spans="4:8" ht="15" thickBot="1" x14ac:dyDescent="0.35">
      <c r="D1354" s="109"/>
      <c r="E1354" s="110"/>
      <c r="G1354" s="109"/>
      <c r="H1354" s="109"/>
    </row>
    <row r="1355" spans="4:8" ht="15" thickBot="1" x14ac:dyDescent="0.35">
      <c r="D1355" s="109"/>
      <c r="E1355" s="110"/>
      <c r="G1355" s="109"/>
      <c r="H1355" s="109"/>
    </row>
    <row r="1356" spans="4:8" ht="15" thickBot="1" x14ac:dyDescent="0.35">
      <c r="D1356" s="109"/>
      <c r="E1356" s="110"/>
      <c r="G1356" s="109"/>
      <c r="H1356" s="109"/>
    </row>
    <row r="1357" spans="4:8" ht="15" thickBot="1" x14ac:dyDescent="0.35">
      <c r="D1357" s="109"/>
      <c r="E1357" s="110"/>
      <c r="G1357" s="109"/>
      <c r="H1357" s="109"/>
    </row>
    <row r="1358" spans="4:8" ht="15" thickBot="1" x14ac:dyDescent="0.35">
      <c r="D1358" s="109"/>
      <c r="E1358" s="110"/>
      <c r="G1358" s="109"/>
      <c r="H1358" s="109"/>
    </row>
    <row r="1359" spans="4:8" ht="15" thickBot="1" x14ac:dyDescent="0.35">
      <c r="D1359" s="109"/>
      <c r="E1359" s="110"/>
      <c r="G1359" s="109"/>
      <c r="H1359" s="109"/>
    </row>
    <row r="1360" spans="4:8" ht="15" thickBot="1" x14ac:dyDescent="0.35">
      <c r="D1360" s="109"/>
      <c r="E1360" s="110"/>
      <c r="G1360" s="109"/>
      <c r="H1360" s="109"/>
    </row>
    <row r="1361" spans="4:8" ht="15" thickBot="1" x14ac:dyDescent="0.35">
      <c r="D1361" s="109"/>
      <c r="E1361" s="110"/>
      <c r="G1361" s="109"/>
      <c r="H1361" s="109"/>
    </row>
    <row r="1362" spans="4:8" ht="15" thickBot="1" x14ac:dyDescent="0.35">
      <c r="D1362" s="109"/>
      <c r="E1362" s="110"/>
      <c r="G1362" s="109"/>
      <c r="H1362" s="109"/>
    </row>
    <row r="1363" spans="4:8" ht="15" thickBot="1" x14ac:dyDescent="0.35">
      <c r="D1363" s="109"/>
      <c r="E1363" s="110"/>
      <c r="G1363" s="109"/>
      <c r="H1363" s="109"/>
    </row>
    <row r="1364" spans="4:8" ht="15" thickBot="1" x14ac:dyDescent="0.35">
      <c r="D1364" s="109"/>
      <c r="E1364" s="110"/>
      <c r="G1364" s="109"/>
      <c r="H1364" s="109"/>
    </row>
    <row r="1365" spans="4:8" ht="15" thickBot="1" x14ac:dyDescent="0.35">
      <c r="D1365" s="109"/>
      <c r="E1365" s="110"/>
      <c r="G1365" s="109"/>
      <c r="H1365" s="109"/>
    </row>
    <row r="1366" spans="4:8" ht="15" thickBot="1" x14ac:dyDescent="0.35">
      <c r="D1366" s="109"/>
      <c r="E1366" s="110"/>
      <c r="G1366" s="109"/>
      <c r="H1366" s="109"/>
    </row>
    <row r="1367" spans="4:8" ht="15" thickBot="1" x14ac:dyDescent="0.35">
      <c r="D1367" s="109"/>
      <c r="E1367" s="110"/>
      <c r="G1367" s="109"/>
      <c r="H1367" s="109"/>
    </row>
    <row r="1368" spans="4:8" ht="15" thickBot="1" x14ac:dyDescent="0.35">
      <c r="D1368" s="109"/>
      <c r="E1368" s="110"/>
      <c r="G1368" s="109"/>
      <c r="H1368" s="109"/>
    </row>
    <row r="1369" spans="4:8" ht="15" thickBot="1" x14ac:dyDescent="0.35">
      <c r="D1369" s="109"/>
      <c r="E1369" s="110"/>
      <c r="G1369" s="109"/>
      <c r="H1369" s="109"/>
    </row>
    <row r="1370" spans="4:8" ht="15" thickBot="1" x14ac:dyDescent="0.35">
      <c r="D1370" s="109"/>
      <c r="E1370" s="110"/>
      <c r="G1370" s="109"/>
      <c r="H1370" s="109"/>
    </row>
    <row r="1371" spans="4:8" ht="15" thickBot="1" x14ac:dyDescent="0.35">
      <c r="D1371" s="109"/>
      <c r="E1371" s="110"/>
      <c r="G1371" s="109"/>
      <c r="H1371" s="109"/>
    </row>
    <row r="1372" spans="4:8" ht="15" thickBot="1" x14ac:dyDescent="0.35">
      <c r="D1372" s="109"/>
      <c r="E1372" s="110"/>
      <c r="G1372" s="109"/>
      <c r="H1372" s="109"/>
    </row>
    <row r="1373" spans="4:8" ht="15" thickBot="1" x14ac:dyDescent="0.35">
      <c r="D1373" s="109"/>
      <c r="E1373" s="110"/>
      <c r="G1373" s="109"/>
      <c r="H1373" s="109"/>
    </row>
    <row r="1374" spans="4:8" ht="15" thickBot="1" x14ac:dyDescent="0.35">
      <c r="D1374" s="109"/>
      <c r="E1374" s="110"/>
      <c r="G1374" s="109"/>
      <c r="H1374" s="109"/>
    </row>
    <row r="1375" spans="4:8" ht="15" thickBot="1" x14ac:dyDescent="0.35">
      <c r="D1375" s="109"/>
      <c r="E1375" s="110"/>
      <c r="G1375" s="109"/>
      <c r="H1375" s="109"/>
    </row>
    <row r="1376" spans="4:8" ht="15" thickBot="1" x14ac:dyDescent="0.35">
      <c r="D1376" s="109"/>
      <c r="E1376" s="110"/>
      <c r="G1376" s="109"/>
      <c r="H1376" s="109"/>
    </row>
    <row r="1377" spans="4:8" ht="15" thickBot="1" x14ac:dyDescent="0.35">
      <c r="D1377" s="109"/>
      <c r="E1377" s="110"/>
      <c r="G1377" s="109"/>
      <c r="H1377" s="109"/>
    </row>
    <row r="1378" spans="4:8" ht="15" thickBot="1" x14ac:dyDescent="0.35">
      <c r="D1378" s="109"/>
      <c r="E1378" s="110"/>
      <c r="G1378" s="109"/>
      <c r="H1378" s="109"/>
    </row>
    <row r="1379" spans="4:8" ht="15" thickBot="1" x14ac:dyDescent="0.35">
      <c r="D1379" s="109"/>
      <c r="E1379" s="110"/>
      <c r="G1379" s="109"/>
      <c r="H1379" s="109"/>
    </row>
    <row r="1380" spans="4:8" ht="15" thickBot="1" x14ac:dyDescent="0.35">
      <c r="D1380" s="109"/>
      <c r="E1380" s="110"/>
      <c r="G1380" s="109"/>
      <c r="H1380" s="109"/>
    </row>
    <row r="1381" spans="4:8" ht="15" thickBot="1" x14ac:dyDescent="0.35">
      <c r="D1381" s="109"/>
      <c r="E1381" s="110"/>
      <c r="G1381" s="109"/>
      <c r="H1381" s="109"/>
    </row>
    <row r="1382" spans="4:8" ht="15" thickBot="1" x14ac:dyDescent="0.35">
      <c r="D1382" s="109"/>
      <c r="E1382" s="110"/>
      <c r="G1382" s="109"/>
      <c r="H1382" s="109"/>
    </row>
    <row r="1383" spans="4:8" ht="15" thickBot="1" x14ac:dyDescent="0.35">
      <c r="D1383" s="109"/>
      <c r="E1383" s="110"/>
      <c r="G1383" s="109"/>
      <c r="H1383" s="109"/>
    </row>
    <row r="1384" spans="4:8" ht="15" thickBot="1" x14ac:dyDescent="0.35">
      <c r="D1384" s="109"/>
      <c r="E1384" s="110"/>
      <c r="G1384" s="109"/>
      <c r="H1384" s="109"/>
    </row>
    <row r="1385" spans="4:8" ht="15" thickBot="1" x14ac:dyDescent="0.35">
      <c r="D1385" s="109"/>
      <c r="E1385" s="110"/>
      <c r="G1385" s="109"/>
      <c r="H1385" s="109"/>
    </row>
    <row r="1386" spans="4:8" ht="15" thickBot="1" x14ac:dyDescent="0.35">
      <c r="D1386" s="109"/>
      <c r="E1386" s="110"/>
      <c r="G1386" s="109"/>
      <c r="H1386" s="109"/>
    </row>
    <row r="1387" spans="4:8" ht="15" thickBot="1" x14ac:dyDescent="0.35">
      <c r="D1387" s="109"/>
      <c r="E1387" s="110"/>
      <c r="G1387" s="109"/>
      <c r="H1387" s="109"/>
    </row>
    <row r="1388" spans="4:8" ht="15" thickBot="1" x14ac:dyDescent="0.35">
      <c r="D1388" s="109"/>
      <c r="E1388" s="110"/>
      <c r="G1388" s="109"/>
      <c r="H1388" s="109"/>
    </row>
    <row r="1389" spans="4:8" ht="15" thickBot="1" x14ac:dyDescent="0.35">
      <c r="D1389" s="109"/>
      <c r="E1389" s="110"/>
      <c r="G1389" s="109"/>
      <c r="H1389" s="109"/>
    </row>
    <row r="1390" spans="4:8" ht="15" thickBot="1" x14ac:dyDescent="0.35">
      <c r="D1390" s="109"/>
      <c r="E1390" s="110"/>
      <c r="G1390" s="109"/>
      <c r="H1390" s="109"/>
    </row>
    <row r="1391" spans="4:8" ht="15" thickBot="1" x14ac:dyDescent="0.35">
      <c r="D1391" s="109"/>
      <c r="E1391" s="110"/>
      <c r="G1391" s="109"/>
      <c r="H1391" s="109"/>
    </row>
    <row r="1392" spans="4:8" ht="15" thickBot="1" x14ac:dyDescent="0.35">
      <c r="D1392" s="109"/>
      <c r="E1392" s="110"/>
      <c r="G1392" s="109"/>
      <c r="H1392" s="109"/>
    </row>
    <row r="1393" spans="4:8" ht="15" thickBot="1" x14ac:dyDescent="0.35">
      <c r="D1393" s="109"/>
      <c r="E1393" s="110"/>
      <c r="G1393" s="109"/>
      <c r="H1393" s="109"/>
    </row>
    <row r="1394" spans="4:8" ht="15" thickBot="1" x14ac:dyDescent="0.35">
      <c r="D1394" s="109"/>
      <c r="E1394" s="110"/>
      <c r="G1394" s="109"/>
      <c r="H1394" s="109"/>
    </row>
    <row r="1395" spans="4:8" ht="15" thickBot="1" x14ac:dyDescent="0.35">
      <c r="D1395" s="109"/>
      <c r="E1395" s="110"/>
      <c r="G1395" s="109"/>
      <c r="H1395" s="109"/>
    </row>
    <row r="1396" spans="4:8" ht="15" thickBot="1" x14ac:dyDescent="0.35">
      <c r="D1396" s="109"/>
      <c r="E1396" s="110"/>
      <c r="G1396" s="109"/>
      <c r="H1396" s="109"/>
    </row>
    <row r="1397" spans="4:8" ht="15" thickBot="1" x14ac:dyDescent="0.35">
      <c r="D1397" s="109"/>
      <c r="E1397" s="110"/>
      <c r="G1397" s="109"/>
      <c r="H1397" s="109"/>
    </row>
    <row r="1398" spans="4:8" ht="15" thickBot="1" x14ac:dyDescent="0.35">
      <c r="D1398" s="109"/>
      <c r="E1398" s="110"/>
      <c r="G1398" s="109"/>
      <c r="H1398" s="109"/>
    </row>
    <row r="1399" spans="4:8" ht="15" thickBot="1" x14ac:dyDescent="0.35">
      <c r="D1399" s="109"/>
      <c r="E1399" s="110"/>
      <c r="G1399" s="109"/>
      <c r="H1399" s="109"/>
    </row>
    <row r="1400" spans="4:8" ht="15" thickBot="1" x14ac:dyDescent="0.35">
      <c r="D1400" s="109"/>
      <c r="E1400" s="110"/>
      <c r="G1400" s="109"/>
      <c r="H1400" s="109"/>
    </row>
    <row r="1401" spans="4:8" ht="15" thickBot="1" x14ac:dyDescent="0.35">
      <c r="D1401" s="109"/>
      <c r="E1401" s="110"/>
      <c r="G1401" s="109"/>
      <c r="H1401" s="109"/>
    </row>
    <row r="1402" spans="4:8" ht="15" thickBot="1" x14ac:dyDescent="0.35">
      <c r="D1402" s="109"/>
      <c r="E1402" s="110"/>
      <c r="G1402" s="109"/>
      <c r="H1402" s="109"/>
    </row>
    <row r="1403" spans="4:8" ht="15" thickBot="1" x14ac:dyDescent="0.35">
      <c r="D1403" s="109"/>
      <c r="E1403" s="110"/>
      <c r="G1403" s="109"/>
      <c r="H1403" s="109"/>
    </row>
    <row r="1404" spans="4:8" ht="15" thickBot="1" x14ac:dyDescent="0.35">
      <c r="D1404" s="109"/>
      <c r="E1404" s="110"/>
      <c r="G1404" s="109"/>
      <c r="H1404" s="109"/>
    </row>
    <row r="1405" spans="4:8" ht="15" thickBot="1" x14ac:dyDescent="0.35">
      <c r="D1405" s="109"/>
      <c r="E1405" s="110"/>
      <c r="G1405" s="109"/>
      <c r="H1405" s="109"/>
    </row>
    <row r="1406" spans="4:8" ht="15" thickBot="1" x14ac:dyDescent="0.35">
      <c r="D1406" s="109"/>
      <c r="E1406" s="110"/>
      <c r="G1406" s="109"/>
      <c r="H1406" s="109"/>
    </row>
    <row r="1407" spans="4:8" ht="15" thickBot="1" x14ac:dyDescent="0.35">
      <c r="D1407" s="109"/>
      <c r="E1407" s="110"/>
      <c r="G1407" s="109"/>
      <c r="H1407" s="109"/>
    </row>
    <row r="1408" spans="4:8" ht="15" thickBot="1" x14ac:dyDescent="0.35">
      <c r="D1408" s="109"/>
      <c r="E1408" s="110"/>
      <c r="G1408" s="109"/>
      <c r="H1408" s="109"/>
    </row>
    <row r="1409" spans="4:8" ht="15" thickBot="1" x14ac:dyDescent="0.35">
      <c r="D1409" s="109"/>
      <c r="E1409" s="110"/>
      <c r="G1409" s="109"/>
      <c r="H1409" s="109"/>
    </row>
    <row r="1410" spans="4:8" ht="15" thickBot="1" x14ac:dyDescent="0.35">
      <c r="D1410" s="109"/>
      <c r="E1410" s="110"/>
      <c r="G1410" s="109"/>
      <c r="H1410" s="109"/>
    </row>
    <row r="1411" spans="4:8" ht="15" thickBot="1" x14ac:dyDescent="0.35">
      <c r="D1411" s="109"/>
      <c r="E1411" s="110"/>
      <c r="G1411" s="109"/>
      <c r="H1411" s="109"/>
    </row>
    <row r="1412" spans="4:8" ht="15" thickBot="1" x14ac:dyDescent="0.35">
      <c r="D1412" s="109"/>
      <c r="E1412" s="110"/>
      <c r="G1412" s="109"/>
      <c r="H1412" s="109"/>
    </row>
    <row r="1413" spans="4:8" ht="15" thickBot="1" x14ac:dyDescent="0.35">
      <c r="D1413" s="109"/>
      <c r="E1413" s="110"/>
      <c r="G1413" s="109"/>
      <c r="H1413" s="109"/>
    </row>
    <row r="1414" spans="4:8" ht="15" thickBot="1" x14ac:dyDescent="0.35">
      <c r="D1414" s="109"/>
      <c r="E1414" s="110"/>
      <c r="G1414" s="109"/>
      <c r="H1414" s="109"/>
    </row>
    <row r="1415" spans="4:8" ht="15" thickBot="1" x14ac:dyDescent="0.35">
      <c r="D1415" s="109"/>
      <c r="E1415" s="110"/>
      <c r="G1415" s="109"/>
      <c r="H1415" s="109"/>
    </row>
    <row r="1416" spans="4:8" ht="15" thickBot="1" x14ac:dyDescent="0.35">
      <c r="D1416" s="109"/>
      <c r="E1416" s="110"/>
      <c r="G1416" s="109"/>
      <c r="H1416" s="109"/>
    </row>
    <row r="1417" spans="4:8" ht="15" thickBot="1" x14ac:dyDescent="0.35">
      <c r="D1417" s="109"/>
      <c r="E1417" s="110"/>
      <c r="G1417" s="109"/>
      <c r="H1417" s="109"/>
    </row>
    <row r="1418" spans="4:8" ht="15" thickBot="1" x14ac:dyDescent="0.35">
      <c r="D1418" s="109"/>
      <c r="E1418" s="110"/>
      <c r="G1418" s="109"/>
      <c r="H1418" s="109"/>
    </row>
    <row r="1419" spans="4:8" ht="15" thickBot="1" x14ac:dyDescent="0.35">
      <c r="D1419" s="109"/>
      <c r="E1419" s="110"/>
      <c r="G1419" s="109"/>
      <c r="H1419" s="109"/>
    </row>
    <row r="1420" spans="4:8" ht="15" thickBot="1" x14ac:dyDescent="0.35">
      <c r="D1420" s="109"/>
      <c r="E1420" s="110"/>
      <c r="G1420" s="109"/>
      <c r="H1420" s="109"/>
    </row>
    <row r="1421" spans="4:8" ht="15" thickBot="1" x14ac:dyDescent="0.35">
      <c r="D1421" s="109"/>
      <c r="E1421" s="110"/>
      <c r="G1421" s="109"/>
      <c r="H1421" s="109"/>
    </row>
    <row r="1422" spans="4:8" ht="15" thickBot="1" x14ac:dyDescent="0.35">
      <c r="D1422" s="109"/>
      <c r="E1422" s="110"/>
      <c r="G1422" s="109"/>
      <c r="H1422" s="109"/>
    </row>
    <row r="1423" spans="4:8" ht="15" thickBot="1" x14ac:dyDescent="0.35">
      <c r="D1423" s="109"/>
      <c r="E1423" s="110"/>
      <c r="G1423" s="109"/>
      <c r="H1423" s="109"/>
    </row>
    <row r="1424" spans="4:8" ht="15" thickBot="1" x14ac:dyDescent="0.35">
      <c r="D1424" s="109"/>
      <c r="E1424" s="110"/>
      <c r="G1424" s="109"/>
      <c r="H1424" s="109"/>
    </row>
    <row r="1425" spans="4:8" ht="15" thickBot="1" x14ac:dyDescent="0.35">
      <c r="D1425" s="109"/>
      <c r="E1425" s="110"/>
      <c r="G1425" s="109"/>
      <c r="H1425" s="109"/>
    </row>
    <row r="1426" spans="4:8" ht="15" thickBot="1" x14ac:dyDescent="0.35">
      <c r="D1426" s="109"/>
      <c r="E1426" s="110"/>
      <c r="G1426" s="109"/>
      <c r="H1426" s="109"/>
    </row>
    <row r="1427" spans="4:8" ht="15" thickBot="1" x14ac:dyDescent="0.35">
      <c r="D1427" s="109"/>
      <c r="E1427" s="110"/>
      <c r="G1427" s="109"/>
      <c r="H1427" s="109"/>
    </row>
    <row r="1428" spans="4:8" ht="15" thickBot="1" x14ac:dyDescent="0.35">
      <c r="D1428" s="109"/>
      <c r="E1428" s="110"/>
      <c r="G1428" s="109"/>
      <c r="H1428" s="109"/>
    </row>
    <row r="1429" spans="4:8" ht="15" thickBot="1" x14ac:dyDescent="0.35">
      <c r="D1429" s="109"/>
      <c r="E1429" s="110"/>
      <c r="G1429" s="109"/>
      <c r="H1429" s="109"/>
    </row>
    <row r="1430" spans="4:8" ht="15" thickBot="1" x14ac:dyDescent="0.35">
      <c r="D1430" s="109"/>
      <c r="E1430" s="110"/>
      <c r="G1430" s="109"/>
      <c r="H1430" s="109"/>
    </row>
    <row r="1431" spans="4:8" ht="15" thickBot="1" x14ac:dyDescent="0.35">
      <c r="D1431" s="109"/>
      <c r="E1431" s="110"/>
      <c r="G1431" s="109"/>
      <c r="H1431" s="109"/>
    </row>
    <row r="1432" spans="4:8" ht="15" thickBot="1" x14ac:dyDescent="0.35">
      <c r="D1432" s="109"/>
      <c r="E1432" s="110"/>
      <c r="G1432" s="109"/>
      <c r="H1432" s="109"/>
    </row>
    <row r="1433" spans="4:8" ht="15" thickBot="1" x14ac:dyDescent="0.35">
      <c r="D1433" s="109"/>
      <c r="E1433" s="110"/>
      <c r="G1433" s="109"/>
      <c r="H1433" s="109"/>
    </row>
    <row r="1434" spans="4:8" ht="15" thickBot="1" x14ac:dyDescent="0.35">
      <c r="D1434" s="109"/>
      <c r="E1434" s="110"/>
      <c r="G1434" s="109"/>
      <c r="H1434" s="109"/>
    </row>
    <row r="1435" spans="4:8" ht="15" thickBot="1" x14ac:dyDescent="0.35">
      <c r="D1435" s="109"/>
      <c r="E1435" s="110"/>
      <c r="G1435" s="109"/>
      <c r="H1435" s="109"/>
    </row>
    <row r="1436" spans="4:8" ht="15" thickBot="1" x14ac:dyDescent="0.35">
      <c r="D1436" s="109"/>
      <c r="E1436" s="110"/>
      <c r="G1436" s="109"/>
      <c r="H1436" s="109"/>
    </row>
    <row r="1437" spans="4:8" ht="15" thickBot="1" x14ac:dyDescent="0.35">
      <c r="D1437" s="109"/>
      <c r="E1437" s="110"/>
      <c r="G1437" s="109"/>
      <c r="H1437" s="109"/>
    </row>
    <row r="1438" spans="4:8" ht="15" thickBot="1" x14ac:dyDescent="0.35">
      <c r="D1438" s="109"/>
      <c r="E1438" s="110"/>
      <c r="G1438" s="109"/>
      <c r="H1438" s="109"/>
    </row>
    <row r="1439" spans="4:8" ht="15" thickBot="1" x14ac:dyDescent="0.35">
      <c r="D1439" s="109"/>
      <c r="E1439" s="110"/>
      <c r="G1439" s="109"/>
      <c r="H1439" s="109"/>
    </row>
    <row r="1440" spans="4:8" ht="15" thickBot="1" x14ac:dyDescent="0.35">
      <c r="D1440" s="109"/>
      <c r="E1440" s="110"/>
      <c r="G1440" s="109"/>
      <c r="H1440" s="109"/>
    </row>
    <row r="1441" spans="4:8" ht="15" thickBot="1" x14ac:dyDescent="0.35">
      <c r="D1441" s="109"/>
      <c r="E1441" s="110"/>
      <c r="G1441" s="109"/>
      <c r="H1441" s="109"/>
    </row>
    <row r="1442" spans="4:8" ht="15" thickBot="1" x14ac:dyDescent="0.35">
      <c r="D1442" s="109"/>
      <c r="E1442" s="110"/>
      <c r="G1442" s="109"/>
      <c r="H1442" s="109"/>
    </row>
    <row r="1443" spans="4:8" ht="15" thickBot="1" x14ac:dyDescent="0.35">
      <c r="D1443" s="109"/>
      <c r="E1443" s="110"/>
      <c r="G1443" s="109"/>
      <c r="H1443" s="109"/>
    </row>
    <row r="1444" spans="4:8" ht="15" thickBot="1" x14ac:dyDescent="0.35">
      <c r="D1444" s="109"/>
      <c r="E1444" s="110"/>
      <c r="G1444" s="109"/>
      <c r="H1444" s="109"/>
    </row>
    <row r="1445" spans="4:8" ht="15" thickBot="1" x14ac:dyDescent="0.35">
      <c r="D1445" s="109"/>
      <c r="E1445" s="110"/>
      <c r="G1445" s="109"/>
      <c r="H1445" s="109"/>
    </row>
    <row r="1446" spans="4:8" ht="15" thickBot="1" x14ac:dyDescent="0.35">
      <c r="D1446" s="109"/>
      <c r="E1446" s="110"/>
      <c r="G1446" s="109"/>
      <c r="H1446" s="109"/>
    </row>
    <row r="1447" spans="4:8" ht="15" thickBot="1" x14ac:dyDescent="0.35">
      <c r="D1447" s="109"/>
      <c r="E1447" s="110"/>
      <c r="G1447" s="109"/>
      <c r="H1447" s="109"/>
    </row>
    <row r="1448" spans="4:8" ht="15" thickBot="1" x14ac:dyDescent="0.35">
      <c r="D1448" s="109"/>
      <c r="E1448" s="110"/>
      <c r="G1448" s="109"/>
      <c r="H1448" s="109"/>
    </row>
    <row r="1449" spans="4:8" ht="15" thickBot="1" x14ac:dyDescent="0.35">
      <c r="D1449" s="109"/>
      <c r="E1449" s="110"/>
      <c r="G1449" s="109"/>
      <c r="H1449" s="109"/>
    </row>
    <row r="1450" spans="4:8" ht="15" thickBot="1" x14ac:dyDescent="0.35">
      <c r="D1450" s="109"/>
      <c r="E1450" s="110"/>
      <c r="G1450" s="109"/>
      <c r="H1450" s="109"/>
    </row>
    <row r="1451" spans="4:8" ht="15" thickBot="1" x14ac:dyDescent="0.35">
      <c r="D1451" s="109"/>
      <c r="E1451" s="110"/>
      <c r="G1451" s="109"/>
      <c r="H1451" s="109"/>
    </row>
    <row r="1452" spans="4:8" ht="15" thickBot="1" x14ac:dyDescent="0.35">
      <c r="D1452" s="109"/>
      <c r="E1452" s="110"/>
      <c r="G1452" s="109"/>
      <c r="H1452" s="109"/>
    </row>
    <row r="1453" spans="4:8" ht="15" thickBot="1" x14ac:dyDescent="0.35">
      <c r="D1453" s="109"/>
      <c r="E1453" s="110"/>
      <c r="G1453" s="109"/>
      <c r="H1453" s="109"/>
    </row>
    <row r="1454" spans="4:8" ht="15" thickBot="1" x14ac:dyDescent="0.35">
      <c r="D1454" s="109"/>
      <c r="E1454" s="110"/>
      <c r="G1454" s="109"/>
      <c r="H1454" s="109"/>
    </row>
    <row r="1455" spans="4:8" ht="15" thickBot="1" x14ac:dyDescent="0.35">
      <c r="D1455" s="109"/>
      <c r="E1455" s="110"/>
      <c r="G1455" s="109"/>
      <c r="H1455" s="109"/>
    </row>
    <row r="1456" spans="4:8" ht="15" thickBot="1" x14ac:dyDescent="0.35">
      <c r="D1456" s="109"/>
      <c r="E1456" s="110"/>
      <c r="G1456" s="109"/>
      <c r="H1456" s="109"/>
    </row>
    <row r="1457" spans="4:8" ht="15" thickBot="1" x14ac:dyDescent="0.35">
      <c r="D1457" s="109"/>
      <c r="E1457" s="110"/>
      <c r="G1457" s="109"/>
      <c r="H1457" s="109"/>
    </row>
    <row r="1458" spans="4:8" ht="15" thickBot="1" x14ac:dyDescent="0.35">
      <c r="D1458" s="109"/>
      <c r="E1458" s="110"/>
      <c r="G1458" s="109"/>
      <c r="H1458" s="109"/>
    </row>
    <row r="1459" spans="4:8" ht="15" thickBot="1" x14ac:dyDescent="0.35">
      <c r="D1459" s="109"/>
      <c r="E1459" s="110"/>
      <c r="G1459" s="109"/>
      <c r="H1459" s="109"/>
    </row>
    <row r="1460" spans="4:8" ht="15" thickBot="1" x14ac:dyDescent="0.35">
      <c r="D1460" s="109"/>
      <c r="E1460" s="110"/>
      <c r="G1460" s="109"/>
      <c r="H1460" s="109"/>
    </row>
    <row r="1461" spans="4:8" ht="15" thickBot="1" x14ac:dyDescent="0.35">
      <c r="D1461" s="109"/>
      <c r="E1461" s="110"/>
      <c r="G1461" s="109"/>
      <c r="H1461" s="109"/>
    </row>
    <row r="1462" spans="4:8" ht="15" thickBot="1" x14ac:dyDescent="0.35">
      <c r="D1462" s="109"/>
      <c r="E1462" s="110"/>
      <c r="G1462" s="109"/>
      <c r="H1462" s="109"/>
    </row>
    <row r="1463" spans="4:8" ht="15" thickBot="1" x14ac:dyDescent="0.35">
      <c r="D1463" s="109"/>
      <c r="E1463" s="110"/>
      <c r="G1463" s="109"/>
      <c r="H1463" s="109"/>
    </row>
    <row r="1464" spans="4:8" ht="15" thickBot="1" x14ac:dyDescent="0.35">
      <c r="D1464" s="109"/>
      <c r="E1464" s="110"/>
      <c r="G1464" s="109"/>
      <c r="H1464" s="109"/>
    </row>
    <row r="1465" spans="4:8" ht="15" thickBot="1" x14ac:dyDescent="0.35">
      <c r="D1465" s="109"/>
      <c r="E1465" s="110"/>
      <c r="G1465" s="109"/>
      <c r="H1465" s="109"/>
    </row>
    <row r="1466" spans="4:8" ht="15" thickBot="1" x14ac:dyDescent="0.35">
      <c r="D1466" s="109"/>
      <c r="E1466" s="110"/>
      <c r="G1466" s="109"/>
      <c r="H1466" s="109"/>
    </row>
    <row r="1467" spans="4:8" ht="15" thickBot="1" x14ac:dyDescent="0.35">
      <c r="D1467" s="109"/>
      <c r="E1467" s="110"/>
      <c r="G1467" s="109"/>
      <c r="H1467" s="109"/>
    </row>
    <row r="1468" spans="4:8" ht="15" thickBot="1" x14ac:dyDescent="0.35">
      <c r="D1468" s="109"/>
      <c r="E1468" s="110"/>
      <c r="G1468" s="109"/>
      <c r="H1468" s="109"/>
    </row>
    <row r="1469" spans="4:8" ht="15" thickBot="1" x14ac:dyDescent="0.35">
      <c r="D1469" s="109"/>
      <c r="E1469" s="110"/>
      <c r="G1469" s="109"/>
      <c r="H1469" s="109"/>
    </row>
    <row r="1470" spans="4:8" ht="15" thickBot="1" x14ac:dyDescent="0.35">
      <c r="D1470" s="109"/>
      <c r="E1470" s="110"/>
      <c r="G1470" s="109"/>
      <c r="H1470" s="109"/>
    </row>
    <row r="1471" spans="4:8" ht="15" thickBot="1" x14ac:dyDescent="0.35">
      <c r="D1471" s="109"/>
      <c r="E1471" s="110"/>
      <c r="G1471" s="109"/>
      <c r="H1471" s="109"/>
    </row>
    <row r="1472" spans="4:8" ht="15" thickBot="1" x14ac:dyDescent="0.35">
      <c r="D1472" s="109"/>
      <c r="E1472" s="110"/>
      <c r="G1472" s="109"/>
      <c r="H1472" s="109"/>
    </row>
    <row r="1473" spans="4:8" ht="15" thickBot="1" x14ac:dyDescent="0.35">
      <c r="D1473" s="109"/>
      <c r="E1473" s="110"/>
      <c r="G1473" s="109"/>
      <c r="H1473" s="109"/>
    </row>
    <row r="1474" spans="4:8" ht="15" thickBot="1" x14ac:dyDescent="0.35">
      <c r="D1474" s="109"/>
      <c r="E1474" s="110"/>
      <c r="G1474" s="109"/>
      <c r="H1474" s="109"/>
    </row>
    <row r="1475" spans="4:8" ht="15" thickBot="1" x14ac:dyDescent="0.35">
      <c r="D1475" s="109"/>
      <c r="E1475" s="110"/>
      <c r="G1475" s="109"/>
      <c r="H1475" s="109"/>
    </row>
    <row r="1476" spans="4:8" ht="15" thickBot="1" x14ac:dyDescent="0.35">
      <c r="D1476" s="109"/>
      <c r="E1476" s="110"/>
      <c r="G1476" s="109"/>
      <c r="H1476" s="109"/>
    </row>
    <row r="1477" spans="4:8" ht="15" thickBot="1" x14ac:dyDescent="0.35">
      <c r="D1477" s="109"/>
      <c r="E1477" s="110"/>
      <c r="G1477" s="109"/>
      <c r="H1477" s="109"/>
    </row>
    <row r="1478" spans="4:8" ht="15" thickBot="1" x14ac:dyDescent="0.35">
      <c r="D1478" s="109"/>
      <c r="E1478" s="110"/>
      <c r="G1478" s="109"/>
      <c r="H1478" s="109"/>
    </row>
    <row r="1479" spans="4:8" ht="15" thickBot="1" x14ac:dyDescent="0.35">
      <c r="D1479" s="109"/>
      <c r="E1479" s="110"/>
      <c r="G1479" s="109"/>
      <c r="H1479" s="109"/>
    </row>
    <row r="1480" spans="4:8" ht="15" thickBot="1" x14ac:dyDescent="0.35">
      <c r="D1480" s="109"/>
      <c r="E1480" s="110"/>
      <c r="G1480" s="109"/>
      <c r="H1480" s="109"/>
    </row>
    <row r="1481" spans="4:8" ht="15" thickBot="1" x14ac:dyDescent="0.35">
      <c r="D1481" s="109"/>
      <c r="E1481" s="110"/>
      <c r="G1481" s="109"/>
      <c r="H1481" s="109"/>
    </row>
    <row r="1482" spans="4:8" ht="15" thickBot="1" x14ac:dyDescent="0.35">
      <c r="D1482" s="109"/>
      <c r="E1482" s="110"/>
      <c r="G1482" s="109"/>
      <c r="H1482" s="109"/>
    </row>
    <row r="1483" spans="4:8" ht="15" thickBot="1" x14ac:dyDescent="0.35">
      <c r="D1483" s="109"/>
      <c r="E1483" s="110"/>
      <c r="G1483" s="109"/>
      <c r="H1483" s="109"/>
    </row>
    <row r="1484" spans="4:8" ht="15" thickBot="1" x14ac:dyDescent="0.35">
      <c r="D1484" s="109"/>
      <c r="E1484" s="110"/>
      <c r="G1484" s="109"/>
      <c r="H1484" s="109"/>
    </row>
    <row r="1485" spans="4:8" ht="15" thickBot="1" x14ac:dyDescent="0.35">
      <c r="D1485" s="109"/>
      <c r="E1485" s="110"/>
      <c r="G1485" s="109"/>
      <c r="H1485" s="109"/>
    </row>
    <row r="1486" spans="4:8" ht="15" thickBot="1" x14ac:dyDescent="0.35">
      <c r="D1486" s="109"/>
      <c r="E1486" s="110"/>
      <c r="G1486" s="109"/>
      <c r="H1486" s="109"/>
    </row>
    <row r="1487" spans="4:8" ht="15" thickBot="1" x14ac:dyDescent="0.35">
      <c r="D1487" s="109"/>
      <c r="E1487" s="110"/>
      <c r="G1487" s="109"/>
      <c r="H1487" s="109"/>
    </row>
    <row r="1488" spans="4:8" ht="15" thickBot="1" x14ac:dyDescent="0.35">
      <c r="D1488" s="109"/>
      <c r="E1488" s="110"/>
      <c r="G1488" s="109"/>
      <c r="H1488" s="109"/>
    </row>
    <row r="1489" spans="4:8" ht="15" thickBot="1" x14ac:dyDescent="0.35">
      <c r="D1489" s="109"/>
      <c r="E1489" s="110"/>
      <c r="G1489" s="109"/>
      <c r="H1489" s="109"/>
    </row>
    <row r="1490" spans="4:8" ht="15" thickBot="1" x14ac:dyDescent="0.35">
      <c r="D1490" s="109"/>
      <c r="E1490" s="110"/>
      <c r="G1490" s="109"/>
      <c r="H1490" s="109"/>
    </row>
    <row r="1491" spans="4:8" ht="15" thickBot="1" x14ac:dyDescent="0.35">
      <c r="D1491" s="109"/>
      <c r="E1491" s="110"/>
      <c r="G1491" s="109"/>
      <c r="H1491" s="109"/>
    </row>
    <row r="1492" spans="4:8" ht="15" thickBot="1" x14ac:dyDescent="0.35">
      <c r="D1492" s="109"/>
      <c r="E1492" s="110"/>
      <c r="G1492" s="109"/>
      <c r="H1492" s="109"/>
    </row>
    <row r="1493" spans="4:8" ht="15" thickBot="1" x14ac:dyDescent="0.35">
      <c r="D1493" s="109"/>
      <c r="E1493" s="110"/>
      <c r="G1493" s="109"/>
      <c r="H1493" s="109"/>
    </row>
    <row r="1494" spans="4:8" ht="15" thickBot="1" x14ac:dyDescent="0.35">
      <c r="D1494" s="109"/>
      <c r="E1494" s="110"/>
      <c r="G1494" s="109"/>
      <c r="H1494" s="109"/>
    </row>
    <row r="1495" spans="4:8" ht="15" thickBot="1" x14ac:dyDescent="0.35">
      <c r="D1495" s="109"/>
      <c r="E1495" s="110"/>
      <c r="G1495" s="109"/>
      <c r="H1495" s="109"/>
    </row>
    <row r="1496" spans="4:8" ht="15" thickBot="1" x14ac:dyDescent="0.35">
      <c r="D1496" s="109"/>
      <c r="E1496" s="110"/>
      <c r="G1496" s="109"/>
      <c r="H1496" s="109"/>
    </row>
    <row r="1497" spans="4:8" ht="15" thickBot="1" x14ac:dyDescent="0.35">
      <c r="D1497" s="109"/>
      <c r="E1497" s="110"/>
      <c r="G1497" s="109"/>
      <c r="H1497" s="109"/>
    </row>
    <row r="1498" spans="4:8" ht="15" thickBot="1" x14ac:dyDescent="0.35">
      <c r="D1498" s="109"/>
      <c r="E1498" s="110"/>
      <c r="G1498" s="109"/>
      <c r="H1498" s="109"/>
    </row>
    <row r="1499" spans="4:8" ht="15" thickBot="1" x14ac:dyDescent="0.35">
      <c r="D1499" s="109"/>
      <c r="E1499" s="110"/>
      <c r="G1499" s="109"/>
      <c r="H1499" s="109"/>
    </row>
    <row r="1500" spans="4:8" ht="15" thickBot="1" x14ac:dyDescent="0.35">
      <c r="D1500" s="109"/>
      <c r="E1500" s="110"/>
      <c r="G1500" s="109"/>
      <c r="H1500" s="109"/>
    </row>
    <row r="1501" spans="4:8" ht="15" thickBot="1" x14ac:dyDescent="0.35">
      <c r="D1501" s="109"/>
      <c r="E1501" s="110"/>
      <c r="G1501" s="109"/>
      <c r="H1501" s="109"/>
    </row>
    <row r="1502" spans="4:8" ht="15" thickBot="1" x14ac:dyDescent="0.35">
      <c r="D1502" s="109"/>
      <c r="E1502" s="110"/>
      <c r="G1502" s="109"/>
      <c r="H1502" s="109"/>
    </row>
    <row r="1503" spans="4:8" ht="15" thickBot="1" x14ac:dyDescent="0.35">
      <c r="D1503" s="109"/>
      <c r="E1503" s="110"/>
      <c r="G1503" s="109"/>
      <c r="H1503" s="109"/>
    </row>
    <row r="1504" spans="4:8" ht="15" thickBot="1" x14ac:dyDescent="0.35">
      <c r="D1504" s="109"/>
      <c r="E1504" s="110"/>
      <c r="G1504" s="109"/>
      <c r="H1504" s="109"/>
    </row>
    <row r="1505" spans="4:8" ht="15" thickBot="1" x14ac:dyDescent="0.35">
      <c r="D1505" s="109"/>
      <c r="E1505" s="110"/>
      <c r="G1505" s="109"/>
      <c r="H1505" s="109"/>
    </row>
    <row r="1506" spans="4:8" ht="15" thickBot="1" x14ac:dyDescent="0.35">
      <c r="D1506" s="109"/>
      <c r="E1506" s="110"/>
      <c r="G1506" s="109"/>
      <c r="H1506" s="109"/>
    </row>
    <row r="1507" spans="4:8" ht="15" thickBot="1" x14ac:dyDescent="0.35">
      <c r="D1507" s="109"/>
      <c r="E1507" s="110"/>
      <c r="G1507" s="109"/>
      <c r="H1507" s="109"/>
    </row>
    <row r="1508" spans="4:8" ht="15" thickBot="1" x14ac:dyDescent="0.35">
      <c r="D1508" s="109"/>
      <c r="E1508" s="110"/>
      <c r="G1508" s="109"/>
      <c r="H1508" s="109"/>
    </row>
    <row r="1509" spans="4:8" ht="15" thickBot="1" x14ac:dyDescent="0.35">
      <c r="D1509" s="109"/>
      <c r="E1509" s="110"/>
      <c r="G1509" s="109"/>
      <c r="H1509" s="109"/>
    </row>
    <row r="1510" spans="4:8" ht="15" thickBot="1" x14ac:dyDescent="0.35">
      <c r="D1510" s="109"/>
      <c r="E1510" s="110"/>
      <c r="G1510" s="109"/>
      <c r="H1510" s="109"/>
    </row>
    <row r="1511" spans="4:8" ht="15" thickBot="1" x14ac:dyDescent="0.35">
      <c r="D1511" s="109"/>
      <c r="E1511" s="110"/>
      <c r="G1511" s="109"/>
      <c r="H1511" s="109"/>
    </row>
    <row r="1512" spans="4:8" ht="15" thickBot="1" x14ac:dyDescent="0.35">
      <c r="D1512" s="109"/>
      <c r="E1512" s="110"/>
      <c r="G1512" s="109"/>
      <c r="H1512" s="109"/>
    </row>
    <row r="1513" spans="4:8" ht="15" thickBot="1" x14ac:dyDescent="0.35">
      <c r="D1513" s="109"/>
      <c r="E1513" s="110"/>
      <c r="G1513" s="109"/>
      <c r="H1513" s="109"/>
    </row>
    <row r="1514" spans="4:8" ht="15" thickBot="1" x14ac:dyDescent="0.35">
      <c r="D1514" s="109"/>
      <c r="E1514" s="110"/>
      <c r="G1514" s="109"/>
      <c r="H1514" s="109"/>
    </row>
    <row r="1515" spans="4:8" ht="15" thickBot="1" x14ac:dyDescent="0.35">
      <c r="D1515" s="109"/>
      <c r="E1515" s="110"/>
      <c r="G1515" s="109"/>
      <c r="H1515" s="109"/>
    </row>
    <row r="1516" spans="4:8" ht="15" thickBot="1" x14ac:dyDescent="0.35">
      <c r="D1516" s="109"/>
      <c r="E1516" s="110"/>
      <c r="G1516" s="109"/>
      <c r="H1516" s="109"/>
    </row>
    <row r="1517" spans="4:8" ht="15" thickBot="1" x14ac:dyDescent="0.35">
      <c r="D1517" s="109"/>
      <c r="E1517" s="110"/>
      <c r="G1517" s="109"/>
      <c r="H1517" s="109"/>
    </row>
    <row r="1518" spans="4:8" ht="15" thickBot="1" x14ac:dyDescent="0.35">
      <c r="D1518" s="109"/>
      <c r="E1518" s="110"/>
      <c r="G1518" s="109"/>
      <c r="H1518" s="109"/>
    </row>
    <row r="1519" spans="4:8" ht="15" thickBot="1" x14ac:dyDescent="0.35">
      <c r="D1519" s="109"/>
      <c r="E1519" s="110"/>
      <c r="G1519" s="109"/>
      <c r="H1519" s="109"/>
    </row>
    <row r="1520" spans="4:8" ht="15" thickBot="1" x14ac:dyDescent="0.35">
      <c r="D1520" s="109"/>
      <c r="E1520" s="110"/>
      <c r="G1520" s="109"/>
      <c r="H1520" s="109"/>
    </row>
    <row r="1521" spans="4:8" ht="15" thickBot="1" x14ac:dyDescent="0.35">
      <c r="D1521" s="109"/>
      <c r="E1521" s="110"/>
      <c r="G1521" s="109"/>
      <c r="H1521" s="109"/>
    </row>
    <row r="1522" spans="4:8" ht="15" thickBot="1" x14ac:dyDescent="0.35">
      <c r="D1522" s="109"/>
      <c r="E1522" s="110"/>
      <c r="G1522" s="109"/>
      <c r="H1522" s="109"/>
    </row>
    <row r="1523" spans="4:8" ht="15" thickBot="1" x14ac:dyDescent="0.35">
      <c r="D1523" s="109"/>
      <c r="E1523" s="110"/>
      <c r="G1523" s="109"/>
      <c r="H1523" s="109"/>
    </row>
    <row r="1524" spans="4:8" ht="15" thickBot="1" x14ac:dyDescent="0.35">
      <c r="D1524" s="109"/>
      <c r="E1524" s="110"/>
      <c r="G1524" s="109"/>
      <c r="H1524" s="109"/>
    </row>
    <row r="1525" spans="4:8" ht="15" thickBot="1" x14ac:dyDescent="0.35">
      <c r="D1525" s="109"/>
      <c r="E1525" s="110"/>
      <c r="G1525" s="109"/>
      <c r="H1525" s="109"/>
    </row>
    <row r="1526" spans="4:8" ht="15" thickBot="1" x14ac:dyDescent="0.35">
      <c r="D1526" s="109"/>
      <c r="E1526" s="110"/>
      <c r="G1526" s="109"/>
      <c r="H1526" s="109"/>
    </row>
    <row r="1527" spans="4:8" ht="15" thickBot="1" x14ac:dyDescent="0.35">
      <c r="D1527" s="109"/>
      <c r="E1527" s="110"/>
      <c r="G1527" s="109"/>
      <c r="H1527" s="109"/>
    </row>
    <row r="1528" spans="4:8" ht="15" thickBot="1" x14ac:dyDescent="0.35">
      <c r="D1528" s="109"/>
      <c r="E1528" s="110"/>
      <c r="G1528" s="109"/>
      <c r="H1528" s="109"/>
    </row>
    <row r="1529" spans="4:8" ht="15" thickBot="1" x14ac:dyDescent="0.35">
      <c r="D1529" s="109"/>
      <c r="E1529" s="110"/>
      <c r="G1529" s="109"/>
      <c r="H1529" s="109"/>
    </row>
    <row r="1530" spans="4:8" ht="15" thickBot="1" x14ac:dyDescent="0.35">
      <c r="D1530" s="109"/>
      <c r="E1530" s="110"/>
      <c r="G1530" s="109"/>
      <c r="H1530" s="109"/>
    </row>
    <row r="1531" spans="4:8" ht="15" thickBot="1" x14ac:dyDescent="0.35">
      <c r="D1531" s="109"/>
      <c r="E1531" s="110"/>
      <c r="G1531" s="109"/>
      <c r="H1531" s="109"/>
    </row>
    <row r="1532" spans="4:8" ht="15" thickBot="1" x14ac:dyDescent="0.35">
      <c r="D1532" s="109"/>
      <c r="E1532" s="110"/>
      <c r="G1532" s="109"/>
      <c r="H1532" s="109"/>
    </row>
    <row r="1533" spans="4:8" ht="15" thickBot="1" x14ac:dyDescent="0.35">
      <c r="D1533" s="109"/>
      <c r="E1533" s="110"/>
      <c r="G1533" s="109"/>
      <c r="H1533" s="109"/>
    </row>
    <row r="1534" spans="4:8" ht="15" thickBot="1" x14ac:dyDescent="0.35">
      <c r="D1534" s="109"/>
      <c r="E1534" s="110"/>
      <c r="G1534" s="109"/>
      <c r="H1534" s="109"/>
    </row>
    <row r="1535" spans="4:8" ht="15" thickBot="1" x14ac:dyDescent="0.35">
      <c r="D1535" s="109"/>
      <c r="E1535" s="110"/>
      <c r="G1535" s="109"/>
      <c r="H1535" s="109"/>
    </row>
    <row r="1536" spans="4:8" ht="15" thickBot="1" x14ac:dyDescent="0.35">
      <c r="D1536" s="109"/>
      <c r="E1536" s="110"/>
      <c r="G1536" s="109"/>
      <c r="H1536" s="109"/>
    </row>
    <row r="1537" spans="4:8" ht="15" thickBot="1" x14ac:dyDescent="0.35">
      <c r="D1537" s="109"/>
      <c r="E1537" s="110"/>
      <c r="G1537" s="109"/>
      <c r="H1537" s="109"/>
    </row>
    <row r="1538" spans="4:8" ht="15" thickBot="1" x14ac:dyDescent="0.35">
      <c r="D1538" s="109"/>
      <c r="E1538" s="110"/>
      <c r="G1538" s="109"/>
      <c r="H1538" s="109"/>
    </row>
    <row r="1539" spans="4:8" ht="15" thickBot="1" x14ac:dyDescent="0.35">
      <c r="D1539" s="109"/>
      <c r="E1539" s="110"/>
      <c r="G1539" s="109"/>
      <c r="H1539" s="109"/>
    </row>
    <row r="1540" spans="4:8" ht="15" thickBot="1" x14ac:dyDescent="0.35">
      <c r="D1540" s="109"/>
      <c r="E1540" s="110"/>
      <c r="G1540" s="109"/>
      <c r="H1540" s="109"/>
    </row>
    <row r="1541" spans="4:8" ht="15" thickBot="1" x14ac:dyDescent="0.35">
      <c r="D1541" s="109"/>
      <c r="E1541" s="110"/>
      <c r="G1541" s="109"/>
      <c r="H1541" s="109"/>
    </row>
    <row r="1542" spans="4:8" ht="15" thickBot="1" x14ac:dyDescent="0.35">
      <c r="D1542" s="109"/>
      <c r="E1542" s="110"/>
      <c r="G1542" s="109"/>
      <c r="H1542" s="109"/>
    </row>
    <row r="1543" spans="4:8" ht="15" thickBot="1" x14ac:dyDescent="0.35">
      <c r="D1543" s="109"/>
      <c r="E1543" s="110"/>
      <c r="G1543" s="109"/>
      <c r="H1543" s="109"/>
    </row>
    <row r="1544" spans="4:8" ht="15" thickBot="1" x14ac:dyDescent="0.35">
      <c r="D1544" s="109"/>
      <c r="E1544" s="110"/>
      <c r="G1544" s="109"/>
      <c r="H1544" s="109"/>
    </row>
    <row r="1545" spans="4:8" ht="15" thickBot="1" x14ac:dyDescent="0.35">
      <c r="D1545" s="109"/>
      <c r="E1545" s="110"/>
      <c r="G1545" s="109"/>
      <c r="H1545" s="109"/>
    </row>
    <row r="1546" spans="4:8" ht="15" thickBot="1" x14ac:dyDescent="0.35">
      <c r="D1546" s="109"/>
      <c r="E1546" s="110"/>
      <c r="G1546" s="109"/>
      <c r="H1546" s="109"/>
    </row>
    <row r="1547" spans="4:8" ht="15" thickBot="1" x14ac:dyDescent="0.35">
      <c r="D1547" s="109"/>
      <c r="E1547" s="110"/>
      <c r="G1547" s="109"/>
      <c r="H1547" s="109"/>
    </row>
    <row r="1548" spans="4:8" ht="15" thickBot="1" x14ac:dyDescent="0.35">
      <c r="D1548" s="109"/>
      <c r="E1548" s="110"/>
      <c r="G1548" s="109"/>
      <c r="H1548" s="109"/>
    </row>
    <row r="1549" spans="4:8" ht="15" thickBot="1" x14ac:dyDescent="0.35">
      <c r="D1549" s="109"/>
      <c r="E1549" s="110"/>
      <c r="G1549" s="109"/>
      <c r="H1549" s="109"/>
    </row>
    <row r="1550" spans="4:8" ht="15" thickBot="1" x14ac:dyDescent="0.35">
      <c r="D1550" s="109"/>
      <c r="E1550" s="110"/>
      <c r="G1550" s="109"/>
      <c r="H1550" s="109"/>
    </row>
    <row r="1551" spans="4:8" ht="15" thickBot="1" x14ac:dyDescent="0.35">
      <c r="D1551" s="109"/>
      <c r="E1551" s="110"/>
      <c r="G1551" s="109"/>
      <c r="H1551" s="109"/>
    </row>
    <row r="1552" spans="4:8" ht="15" thickBot="1" x14ac:dyDescent="0.35">
      <c r="D1552" s="109"/>
      <c r="E1552" s="110"/>
      <c r="G1552" s="109"/>
      <c r="H1552" s="109"/>
    </row>
    <row r="1553" spans="4:8" ht="15" thickBot="1" x14ac:dyDescent="0.35">
      <c r="D1553" s="109"/>
      <c r="E1553" s="110"/>
      <c r="G1553" s="109"/>
      <c r="H1553" s="109"/>
    </row>
    <row r="1554" spans="4:8" ht="15" thickBot="1" x14ac:dyDescent="0.35">
      <c r="D1554" s="109"/>
      <c r="E1554" s="110"/>
      <c r="G1554" s="109"/>
      <c r="H1554" s="109"/>
    </row>
    <row r="1555" spans="4:8" ht="15" thickBot="1" x14ac:dyDescent="0.35">
      <c r="D1555" s="109"/>
      <c r="E1555" s="110"/>
      <c r="G1555" s="109"/>
      <c r="H1555" s="109"/>
    </row>
    <row r="1556" spans="4:8" ht="15" thickBot="1" x14ac:dyDescent="0.35">
      <c r="D1556" s="109"/>
      <c r="E1556" s="110"/>
      <c r="G1556" s="109"/>
      <c r="H1556" s="109"/>
    </row>
    <row r="1557" spans="4:8" ht="15" thickBot="1" x14ac:dyDescent="0.35">
      <c r="D1557" s="109"/>
      <c r="E1557" s="110"/>
      <c r="G1557" s="109"/>
      <c r="H1557" s="109"/>
    </row>
    <row r="1558" spans="4:8" ht="15" thickBot="1" x14ac:dyDescent="0.35">
      <c r="D1558" s="109"/>
      <c r="E1558" s="110"/>
      <c r="G1558" s="109"/>
      <c r="H1558" s="109"/>
    </row>
    <row r="1559" spans="4:8" ht="15" thickBot="1" x14ac:dyDescent="0.35">
      <c r="D1559" s="109"/>
      <c r="E1559" s="110"/>
      <c r="G1559" s="109"/>
      <c r="H1559" s="109"/>
    </row>
    <row r="1560" spans="4:8" ht="15" thickBot="1" x14ac:dyDescent="0.35">
      <c r="D1560" s="109"/>
      <c r="E1560" s="110"/>
      <c r="G1560" s="109"/>
      <c r="H1560" s="109"/>
    </row>
    <row r="1561" spans="4:8" ht="15" thickBot="1" x14ac:dyDescent="0.35">
      <c r="D1561" s="109"/>
      <c r="E1561" s="110"/>
      <c r="G1561" s="109"/>
      <c r="H1561" s="109"/>
    </row>
    <row r="1562" spans="4:8" ht="15" thickBot="1" x14ac:dyDescent="0.35">
      <c r="D1562" s="109"/>
      <c r="E1562" s="110"/>
      <c r="G1562" s="109"/>
      <c r="H1562" s="109"/>
    </row>
    <row r="1563" spans="4:8" ht="15" thickBot="1" x14ac:dyDescent="0.35">
      <c r="D1563" s="109"/>
      <c r="E1563" s="110"/>
      <c r="G1563" s="109"/>
      <c r="H1563" s="109"/>
    </row>
    <row r="1564" spans="4:8" ht="15" thickBot="1" x14ac:dyDescent="0.35">
      <c r="D1564" s="109"/>
      <c r="E1564" s="110"/>
      <c r="G1564" s="109"/>
      <c r="H1564" s="109"/>
    </row>
    <row r="1565" spans="4:8" ht="15" thickBot="1" x14ac:dyDescent="0.35">
      <c r="D1565" s="109"/>
      <c r="E1565" s="110"/>
      <c r="G1565" s="109"/>
      <c r="H1565" s="109"/>
    </row>
    <row r="1566" spans="4:8" ht="15" thickBot="1" x14ac:dyDescent="0.35">
      <c r="D1566" s="109"/>
      <c r="E1566" s="110"/>
      <c r="G1566" s="109"/>
      <c r="H1566" s="109"/>
    </row>
    <row r="1567" spans="4:8" ht="15" thickBot="1" x14ac:dyDescent="0.35">
      <c r="D1567" s="109"/>
      <c r="E1567" s="110"/>
      <c r="G1567" s="109"/>
      <c r="H1567" s="109"/>
    </row>
    <row r="1568" spans="4:8" ht="15" thickBot="1" x14ac:dyDescent="0.35">
      <c r="D1568" s="109"/>
      <c r="E1568" s="110"/>
      <c r="G1568" s="109"/>
      <c r="H1568" s="109"/>
    </row>
    <row r="1569" spans="4:8" ht="15" thickBot="1" x14ac:dyDescent="0.35">
      <c r="D1569" s="109"/>
      <c r="E1569" s="110"/>
      <c r="G1569" s="109"/>
      <c r="H1569" s="109"/>
    </row>
    <row r="1570" spans="4:8" ht="15" thickBot="1" x14ac:dyDescent="0.35">
      <c r="D1570" s="109"/>
      <c r="E1570" s="110"/>
      <c r="G1570" s="109"/>
      <c r="H1570" s="109"/>
    </row>
    <row r="1571" spans="4:8" ht="15" thickBot="1" x14ac:dyDescent="0.35">
      <c r="D1571" s="109"/>
      <c r="E1571" s="110"/>
      <c r="G1571" s="109"/>
      <c r="H1571" s="109"/>
    </row>
    <row r="1572" spans="4:8" ht="15" thickBot="1" x14ac:dyDescent="0.35">
      <c r="D1572" s="109"/>
      <c r="E1572" s="110"/>
      <c r="G1572" s="109"/>
      <c r="H1572" s="109"/>
    </row>
    <row r="1573" spans="4:8" ht="15" thickBot="1" x14ac:dyDescent="0.35">
      <c r="D1573" s="109"/>
      <c r="E1573" s="110"/>
      <c r="G1573" s="109"/>
      <c r="H1573" s="109"/>
    </row>
    <row r="1574" spans="4:8" ht="15" thickBot="1" x14ac:dyDescent="0.35">
      <c r="D1574" s="109"/>
      <c r="E1574" s="110"/>
      <c r="G1574" s="109"/>
      <c r="H1574" s="109"/>
    </row>
    <row r="1575" spans="4:8" ht="15" thickBot="1" x14ac:dyDescent="0.35">
      <c r="D1575" s="109"/>
      <c r="E1575" s="110"/>
      <c r="G1575" s="109"/>
      <c r="H1575" s="109"/>
    </row>
    <row r="1576" spans="4:8" ht="15" thickBot="1" x14ac:dyDescent="0.35">
      <c r="D1576" s="109"/>
      <c r="E1576" s="110"/>
      <c r="G1576" s="109"/>
      <c r="H1576" s="109"/>
    </row>
    <row r="1577" spans="4:8" ht="15" thickBot="1" x14ac:dyDescent="0.35">
      <c r="D1577" s="109"/>
      <c r="E1577" s="110"/>
      <c r="G1577" s="109"/>
      <c r="H1577" s="109"/>
    </row>
    <row r="1578" spans="4:8" ht="15" thickBot="1" x14ac:dyDescent="0.35">
      <c r="D1578" s="109"/>
      <c r="E1578" s="110"/>
      <c r="G1578" s="109"/>
      <c r="H1578" s="109"/>
    </row>
    <row r="1579" spans="4:8" ht="15" thickBot="1" x14ac:dyDescent="0.35">
      <c r="D1579" s="109"/>
      <c r="E1579" s="110"/>
      <c r="G1579" s="109"/>
      <c r="H1579" s="109"/>
    </row>
    <row r="1580" spans="4:8" ht="15" thickBot="1" x14ac:dyDescent="0.35">
      <c r="D1580" s="109"/>
      <c r="E1580" s="110"/>
      <c r="G1580" s="109"/>
      <c r="H1580" s="109"/>
    </row>
    <row r="1581" spans="4:8" ht="15" thickBot="1" x14ac:dyDescent="0.35">
      <c r="D1581" s="109"/>
      <c r="E1581" s="110"/>
      <c r="G1581" s="109"/>
      <c r="H1581" s="109"/>
    </row>
    <row r="1582" spans="4:8" ht="15" thickBot="1" x14ac:dyDescent="0.35">
      <c r="D1582" s="109"/>
      <c r="E1582" s="110"/>
      <c r="G1582" s="109"/>
      <c r="H1582" s="109"/>
    </row>
    <row r="1583" spans="4:8" ht="15" thickBot="1" x14ac:dyDescent="0.35">
      <c r="D1583" s="109"/>
      <c r="E1583" s="110"/>
      <c r="G1583" s="109"/>
      <c r="H1583" s="109"/>
    </row>
    <row r="1584" spans="4:8" ht="15" thickBot="1" x14ac:dyDescent="0.35">
      <c r="D1584" s="109"/>
      <c r="E1584" s="110"/>
      <c r="G1584" s="109"/>
      <c r="H1584" s="109"/>
    </row>
    <row r="1585" spans="4:8" ht="15" thickBot="1" x14ac:dyDescent="0.35">
      <c r="D1585" s="109"/>
      <c r="E1585" s="110"/>
      <c r="G1585" s="109"/>
      <c r="H1585" s="109"/>
    </row>
    <row r="1586" spans="4:8" ht="15" thickBot="1" x14ac:dyDescent="0.35">
      <c r="D1586" s="109"/>
      <c r="E1586" s="110"/>
      <c r="G1586" s="109"/>
      <c r="H1586" s="109"/>
    </row>
    <row r="1587" spans="4:8" ht="15" thickBot="1" x14ac:dyDescent="0.35">
      <c r="D1587" s="109"/>
      <c r="E1587" s="110"/>
      <c r="G1587" s="109"/>
      <c r="H1587" s="109"/>
    </row>
    <row r="1588" spans="4:8" ht="15" thickBot="1" x14ac:dyDescent="0.35">
      <c r="D1588" s="109"/>
      <c r="E1588" s="110"/>
      <c r="G1588" s="109"/>
      <c r="H1588" s="109"/>
    </row>
    <row r="1589" spans="4:8" ht="15" thickBot="1" x14ac:dyDescent="0.35">
      <c r="D1589" s="109"/>
      <c r="E1589" s="110"/>
      <c r="G1589" s="109"/>
      <c r="H1589" s="109"/>
    </row>
    <row r="1590" spans="4:8" ht="15" thickBot="1" x14ac:dyDescent="0.35">
      <c r="D1590" s="109"/>
      <c r="E1590" s="110"/>
      <c r="G1590" s="109"/>
      <c r="H1590" s="109"/>
    </row>
    <row r="1591" spans="4:8" ht="15" thickBot="1" x14ac:dyDescent="0.35">
      <c r="D1591" s="109"/>
      <c r="E1591" s="110"/>
      <c r="G1591" s="109"/>
      <c r="H1591" s="109"/>
    </row>
    <row r="1592" spans="4:8" ht="15" thickBot="1" x14ac:dyDescent="0.35">
      <c r="D1592" s="109"/>
      <c r="E1592" s="110"/>
      <c r="G1592" s="109"/>
      <c r="H1592" s="109"/>
    </row>
    <row r="1593" spans="4:8" ht="15" thickBot="1" x14ac:dyDescent="0.35">
      <c r="D1593" s="109"/>
      <c r="E1593" s="110"/>
      <c r="G1593" s="109"/>
      <c r="H1593" s="109"/>
    </row>
    <row r="1594" spans="4:8" ht="15" thickBot="1" x14ac:dyDescent="0.35">
      <c r="D1594" s="109"/>
      <c r="E1594" s="110"/>
      <c r="G1594" s="109"/>
      <c r="H1594" s="109"/>
    </row>
    <row r="1595" spans="4:8" ht="15" thickBot="1" x14ac:dyDescent="0.35">
      <c r="D1595" s="109"/>
      <c r="E1595" s="110"/>
      <c r="G1595" s="109"/>
      <c r="H1595" s="109"/>
    </row>
    <row r="1596" spans="4:8" ht="15" thickBot="1" x14ac:dyDescent="0.35">
      <c r="D1596" s="109"/>
      <c r="E1596" s="110"/>
      <c r="G1596" s="109"/>
      <c r="H1596" s="109"/>
    </row>
    <row r="1597" spans="4:8" ht="15" thickBot="1" x14ac:dyDescent="0.35">
      <c r="D1597" s="109"/>
      <c r="E1597" s="110"/>
      <c r="G1597" s="109"/>
      <c r="H1597" s="109"/>
    </row>
    <row r="1598" spans="4:8" ht="15" thickBot="1" x14ac:dyDescent="0.35">
      <c r="D1598" s="109"/>
      <c r="E1598" s="110"/>
      <c r="G1598" s="109"/>
      <c r="H1598" s="109"/>
    </row>
    <row r="1599" spans="4:8" ht="15" thickBot="1" x14ac:dyDescent="0.35">
      <c r="D1599" s="109"/>
      <c r="E1599" s="110"/>
      <c r="G1599" s="109"/>
      <c r="H1599" s="109"/>
    </row>
    <row r="1600" spans="4:8" ht="15" thickBot="1" x14ac:dyDescent="0.35">
      <c r="D1600" s="109"/>
      <c r="E1600" s="110"/>
      <c r="G1600" s="109"/>
      <c r="H1600" s="109"/>
    </row>
    <row r="1601" spans="4:8" ht="15" thickBot="1" x14ac:dyDescent="0.35">
      <c r="D1601" s="109"/>
      <c r="E1601" s="110"/>
      <c r="G1601" s="109"/>
      <c r="H1601" s="109"/>
    </row>
    <row r="1602" spans="4:8" ht="15" thickBot="1" x14ac:dyDescent="0.35">
      <c r="D1602" s="109"/>
      <c r="E1602" s="110"/>
      <c r="G1602" s="109"/>
      <c r="H1602" s="109"/>
    </row>
    <row r="1603" spans="4:8" ht="15" thickBot="1" x14ac:dyDescent="0.35">
      <c r="D1603" s="109"/>
      <c r="E1603" s="110"/>
      <c r="G1603" s="109"/>
      <c r="H1603" s="109"/>
    </row>
    <row r="1604" spans="4:8" ht="15" thickBot="1" x14ac:dyDescent="0.35">
      <c r="D1604" s="109"/>
      <c r="E1604" s="110"/>
      <c r="G1604" s="109"/>
      <c r="H1604" s="109"/>
    </row>
    <row r="1605" spans="4:8" ht="15" thickBot="1" x14ac:dyDescent="0.35">
      <c r="D1605" s="109"/>
      <c r="E1605" s="110"/>
      <c r="G1605" s="109"/>
      <c r="H1605" s="109"/>
    </row>
    <row r="1606" spans="4:8" ht="15" thickBot="1" x14ac:dyDescent="0.35">
      <c r="D1606" s="109"/>
      <c r="E1606" s="110"/>
      <c r="G1606" s="109"/>
      <c r="H1606" s="109"/>
    </row>
    <row r="1607" spans="4:8" ht="15" thickBot="1" x14ac:dyDescent="0.35">
      <c r="D1607" s="109"/>
      <c r="E1607" s="110"/>
      <c r="G1607" s="109"/>
      <c r="H1607" s="109"/>
    </row>
    <row r="1608" spans="4:8" ht="15" thickBot="1" x14ac:dyDescent="0.35">
      <c r="D1608" s="109"/>
      <c r="E1608" s="110"/>
      <c r="G1608" s="109"/>
      <c r="H1608" s="109"/>
    </row>
    <row r="1609" spans="4:8" ht="15" thickBot="1" x14ac:dyDescent="0.35">
      <c r="D1609" s="109"/>
      <c r="E1609" s="110"/>
      <c r="G1609" s="109"/>
      <c r="H1609" s="109"/>
    </row>
    <row r="1610" spans="4:8" ht="15" thickBot="1" x14ac:dyDescent="0.35">
      <c r="D1610" s="109"/>
      <c r="E1610" s="110"/>
      <c r="G1610" s="109"/>
      <c r="H1610" s="109"/>
    </row>
    <row r="1611" spans="4:8" ht="15" thickBot="1" x14ac:dyDescent="0.35">
      <c r="D1611" s="109"/>
      <c r="E1611" s="110"/>
      <c r="G1611" s="109"/>
      <c r="H1611" s="109"/>
    </row>
    <row r="1612" spans="4:8" ht="15" thickBot="1" x14ac:dyDescent="0.35">
      <c r="D1612" s="109"/>
      <c r="E1612" s="110"/>
      <c r="G1612" s="109"/>
      <c r="H1612" s="109"/>
    </row>
    <row r="1613" spans="4:8" ht="15" thickBot="1" x14ac:dyDescent="0.35">
      <c r="D1613" s="109"/>
      <c r="E1613" s="110"/>
      <c r="G1613" s="109"/>
      <c r="H1613" s="109"/>
    </row>
    <row r="1614" spans="4:8" ht="15" thickBot="1" x14ac:dyDescent="0.35">
      <c r="D1614" s="109"/>
      <c r="E1614" s="110"/>
      <c r="G1614" s="109"/>
      <c r="H1614" s="109"/>
    </row>
    <row r="1615" spans="4:8" ht="15" thickBot="1" x14ac:dyDescent="0.35">
      <c r="D1615" s="109"/>
      <c r="E1615" s="110"/>
      <c r="G1615" s="109"/>
      <c r="H1615" s="109"/>
    </row>
    <row r="1616" spans="4:8" ht="15" thickBot="1" x14ac:dyDescent="0.35">
      <c r="D1616" s="109"/>
      <c r="E1616" s="110"/>
      <c r="G1616" s="109"/>
      <c r="H1616" s="109"/>
    </row>
    <row r="1617" spans="4:8" ht="15" thickBot="1" x14ac:dyDescent="0.35">
      <c r="D1617" s="109"/>
      <c r="E1617" s="110"/>
      <c r="G1617" s="109"/>
      <c r="H1617" s="109"/>
    </row>
    <row r="1618" spans="4:8" ht="15" thickBot="1" x14ac:dyDescent="0.35">
      <c r="D1618" s="109"/>
      <c r="E1618" s="110"/>
      <c r="G1618" s="109"/>
      <c r="H1618" s="109"/>
    </row>
    <row r="1619" spans="4:8" ht="15" thickBot="1" x14ac:dyDescent="0.35">
      <c r="D1619" s="109"/>
      <c r="E1619" s="110"/>
      <c r="G1619" s="109"/>
      <c r="H1619" s="109"/>
    </row>
    <row r="1620" spans="4:8" ht="15" thickBot="1" x14ac:dyDescent="0.35">
      <c r="D1620" s="109"/>
      <c r="E1620" s="110"/>
      <c r="G1620" s="109"/>
      <c r="H1620" s="109"/>
    </row>
    <row r="1621" spans="4:8" ht="15" thickBot="1" x14ac:dyDescent="0.35">
      <c r="D1621" s="109"/>
      <c r="E1621" s="110"/>
      <c r="G1621" s="109"/>
      <c r="H1621" s="109"/>
    </row>
    <row r="1622" spans="4:8" ht="15" thickBot="1" x14ac:dyDescent="0.35">
      <c r="D1622" s="109"/>
      <c r="E1622" s="110"/>
      <c r="G1622" s="109"/>
      <c r="H1622" s="109"/>
    </row>
    <row r="1623" spans="4:8" ht="15" thickBot="1" x14ac:dyDescent="0.35">
      <c r="D1623" s="109"/>
      <c r="E1623" s="110"/>
      <c r="G1623" s="109"/>
      <c r="H1623" s="109"/>
    </row>
    <row r="1624" spans="4:8" ht="15" thickBot="1" x14ac:dyDescent="0.35">
      <c r="D1624" s="109"/>
      <c r="E1624" s="110"/>
      <c r="G1624" s="109"/>
      <c r="H1624" s="109"/>
    </row>
    <row r="1625" spans="4:8" ht="15" thickBot="1" x14ac:dyDescent="0.35">
      <c r="D1625" s="109"/>
      <c r="E1625" s="110"/>
      <c r="G1625" s="109"/>
      <c r="H1625" s="109"/>
    </row>
    <row r="1626" spans="4:8" ht="15" thickBot="1" x14ac:dyDescent="0.35">
      <c r="D1626" s="109"/>
      <c r="E1626" s="110"/>
      <c r="G1626" s="109"/>
      <c r="H1626" s="109"/>
    </row>
    <row r="1627" spans="4:8" ht="15" thickBot="1" x14ac:dyDescent="0.35">
      <c r="D1627" s="109"/>
      <c r="E1627" s="110"/>
      <c r="G1627" s="109"/>
      <c r="H1627" s="109"/>
    </row>
    <row r="1628" spans="4:8" ht="15" thickBot="1" x14ac:dyDescent="0.35">
      <c r="D1628" s="109"/>
      <c r="E1628" s="110"/>
      <c r="G1628" s="109"/>
      <c r="H1628" s="109"/>
    </row>
    <row r="1629" spans="4:8" ht="15" thickBot="1" x14ac:dyDescent="0.35">
      <c r="D1629" s="109"/>
      <c r="E1629" s="110"/>
      <c r="G1629" s="109"/>
      <c r="H1629" s="109"/>
    </row>
    <row r="1630" spans="4:8" ht="15" thickBot="1" x14ac:dyDescent="0.35">
      <c r="D1630" s="109"/>
      <c r="E1630" s="110"/>
      <c r="G1630" s="109"/>
      <c r="H1630" s="109"/>
    </row>
    <row r="1631" spans="4:8" ht="15" thickBot="1" x14ac:dyDescent="0.35">
      <c r="D1631" s="109"/>
      <c r="E1631" s="110"/>
      <c r="G1631" s="109"/>
      <c r="H1631" s="109"/>
    </row>
    <row r="1632" spans="4:8" ht="15" thickBot="1" x14ac:dyDescent="0.35">
      <c r="D1632" s="109"/>
      <c r="E1632" s="110"/>
      <c r="G1632" s="109"/>
      <c r="H1632" s="109"/>
    </row>
    <row r="1633" spans="4:8" ht="15" thickBot="1" x14ac:dyDescent="0.35">
      <c r="D1633" s="109"/>
      <c r="E1633" s="110"/>
      <c r="G1633" s="109"/>
      <c r="H1633" s="109"/>
    </row>
    <row r="1634" spans="4:8" ht="15" thickBot="1" x14ac:dyDescent="0.35">
      <c r="D1634" s="109"/>
      <c r="E1634" s="110"/>
      <c r="G1634" s="109"/>
      <c r="H1634" s="109"/>
    </row>
    <row r="1635" spans="4:8" ht="15" thickBot="1" x14ac:dyDescent="0.35">
      <c r="D1635" s="109"/>
      <c r="E1635" s="110"/>
      <c r="G1635" s="109"/>
      <c r="H1635" s="109"/>
    </row>
    <row r="1636" spans="4:8" ht="15" thickBot="1" x14ac:dyDescent="0.35">
      <c r="D1636" s="109"/>
      <c r="E1636" s="110"/>
      <c r="G1636" s="109"/>
      <c r="H1636" s="109"/>
    </row>
    <row r="1637" spans="4:8" ht="15" thickBot="1" x14ac:dyDescent="0.35">
      <c r="D1637" s="109"/>
      <c r="E1637" s="110"/>
      <c r="G1637" s="109"/>
      <c r="H1637" s="109"/>
    </row>
    <row r="1638" spans="4:8" ht="15" thickBot="1" x14ac:dyDescent="0.35">
      <c r="D1638" s="109"/>
      <c r="E1638" s="110"/>
      <c r="G1638" s="109"/>
      <c r="H1638" s="109"/>
    </row>
    <row r="1639" spans="4:8" ht="15" thickBot="1" x14ac:dyDescent="0.35">
      <c r="D1639" s="109"/>
      <c r="E1639" s="110"/>
      <c r="G1639" s="109"/>
      <c r="H1639" s="109"/>
    </row>
    <row r="1640" spans="4:8" ht="15" thickBot="1" x14ac:dyDescent="0.35">
      <c r="D1640" s="109"/>
      <c r="E1640" s="110"/>
      <c r="G1640" s="109"/>
      <c r="H1640" s="109"/>
    </row>
    <row r="1641" spans="4:8" ht="15" thickBot="1" x14ac:dyDescent="0.35">
      <c r="D1641" s="109"/>
      <c r="E1641" s="110"/>
      <c r="G1641" s="109"/>
      <c r="H1641" s="109"/>
    </row>
    <row r="1642" spans="4:8" ht="15" thickBot="1" x14ac:dyDescent="0.35">
      <c r="D1642" s="109"/>
      <c r="E1642" s="110"/>
      <c r="G1642" s="109"/>
      <c r="H1642" s="109"/>
    </row>
    <row r="1643" spans="4:8" ht="15" thickBot="1" x14ac:dyDescent="0.35">
      <c r="D1643" s="109"/>
      <c r="E1643" s="110"/>
      <c r="G1643" s="109"/>
      <c r="H1643" s="109"/>
    </row>
    <row r="1644" spans="4:8" ht="15" thickBot="1" x14ac:dyDescent="0.35">
      <c r="D1644" s="109"/>
      <c r="E1644" s="110"/>
      <c r="G1644" s="109"/>
      <c r="H1644" s="109"/>
    </row>
    <row r="1645" spans="4:8" ht="15" thickBot="1" x14ac:dyDescent="0.35">
      <c r="D1645" s="109"/>
      <c r="E1645" s="110"/>
      <c r="G1645" s="109"/>
      <c r="H1645" s="109"/>
    </row>
    <row r="1646" spans="4:8" ht="15" thickBot="1" x14ac:dyDescent="0.35">
      <c r="D1646" s="109"/>
      <c r="E1646" s="110"/>
      <c r="G1646" s="109"/>
      <c r="H1646" s="109"/>
    </row>
    <row r="1647" spans="4:8" ht="15" thickBot="1" x14ac:dyDescent="0.35">
      <c r="D1647" s="109"/>
      <c r="E1647" s="110"/>
      <c r="G1647" s="109"/>
      <c r="H1647" s="109"/>
    </row>
    <row r="1648" spans="4:8" ht="15" thickBot="1" x14ac:dyDescent="0.35">
      <c r="D1648" s="109"/>
      <c r="E1648" s="110"/>
      <c r="G1648" s="109"/>
      <c r="H1648" s="109"/>
    </row>
    <row r="1649" spans="4:8" ht="15" thickBot="1" x14ac:dyDescent="0.35">
      <c r="D1649" s="109"/>
      <c r="E1649" s="110"/>
      <c r="G1649" s="109"/>
      <c r="H1649" s="109"/>
    </row>
    <row r="1650" spans="4:8" ht="15" thickBot="1" x14ac:dyDescent="0.35">
      <c r="D1650" s="109"/>
      <c r="E1650" s="110"/>
      <c r="G1650" s="109"/>
      <c r="H1650" s="109"/>
    </row>
    <row r="1651" spans="4:8" ht="15" thickBot="1" x14ac:dyDescent="0.35">
      <c r="D1651" s="109"/>
      <c r="E1651" s="110"/>
      <c r="G1651" s="109"/>
      <c r="H1651" s="109"/>
    </row>
    <row r="1652" spans="4:8" ht="15" thickBot="1" x14ac:dyDescent="0.35">
      <c r="D1652" s="109"/>
      <c r="E1652" s="110"/>
      <c r="G1652" s="109"/>
      <c r="H1652" s="109"/>
    </row>
    <row r="1653" spans="4:8" ht="15" thickBot="1" x14ac:dyDescent="0.35">
      <c r="D1653" s="109"/>
      <c r="E1653" s="110"/>
      <c r="G1653" s="109"/>
      <c r="H1653" s="109"/>
    </row>
    <row r="1654" spans="4:8" ht="15" thickBot="1" x14ac:dyDescent="0.35">
      <c r="D1654" s="109"/>
      <c r="E1654" s="110"/>
      <c r="G1654" s="109"/>
      <c r="H1654" s="109"/>
    </row>
    <row r="1655" spans="4:8" ht="15" thickBot="1" x14ac:dyDescent="0.35">
      <c r="D1655" s="109"/>
      <c r="E1655" s="110"/>
      <c r="G1655" s="109"/>
      <c r="H1655" s="109"/>
    </row>
    <row r="1656" spans="4:8" ht="15" thickBot="1" x14ac:dyDescent="0.35">
      <c r="D1656" s="109"/>
      <c r="E1656" s="110"/>
      <c r="G1656" s="109"/>
      <c r="H1656" s="109"/>
    </row>
    <row r="1657" spans="4:8" ht="15" thickBot="1" x14ac:dyDescent="0.35">
      <c r="D1657" s="109"/>
      <c r="E1657" s="110"/>
      <c r="G1657" s="109"/>
      <c r="H1657" s="109"/>
    </row>
    <row r="1658" spans="4:8" ht="15" thickBot="1" x14ac:dyDescent="0.35">
      <c r="D1658" s="109"/>
      <c r="E1658" s="110"/>
      <c r="G1658" s="109"/>
      <c r="H1658" s="109"/>
    </row>
    <row r="1659" spans="4:8" ht="15" thickBot="1" x14ac:dyDescent="0.35">
      <c r="D1659" s="109"/>
      <c r="E1659" s="110"/>
      <c r="G1659" s="109"/>
      <c r="H1659" s="109"/>
    </row>
    <row r="1660" spans="4:8" ht="15" thickBot="1" x14ac:dyDescent="0.35">
      <c r="D1660" s="109"/>
      <c r="E1660" s="110"/>
      <c r="G1660" s="109"/>
      <c r="H1660" s="109"/>
    </row>
    <row r="1661" spans="4:8" ht="15" thickBot="1" x14ac:dyDescent="0.35">
      <c r="D1661" s="109"/>
      <c r="E1661" s="110"/>
      <c r="G1661" s="109"/>
      <c r="H1661" s="109"/>
    </row>
    <row r="1662" spans="4:8" ht="15" thickBot="1" x14ac:dyDescent="0.35">
      <c r="D1662" s="109"/>
      <c r="E1662" s="110"/>
      <c r="G1662" s="109"/>
      <c r="H1662" s="109"/>
    </row>
    <row r="1663" spans="4:8" ht="15" thickBot="1" x14ac:dyDescent="0.35">
      <c r="D1663" s="109"/>
      <c r="E1663" s="110"/>
      <c r="G1663" s="109"/>
      <c r="H1663" s="109"/>
    </row>
    <row r="1664" spans="4:8" ht="15" thickBot="1" x14ac:dyDescent="0.35">
      <c r="D1664" s="109"/>
      <c r="E1664" s="110"/>
      <c r="G1664" s="109"/>
      <c r="H1664" s="109"/>
    </row>
    <row r="1665" spans="4:8" ht="15" thickBot="1" x14ac:dyDescent="0.35">
      <c r="D1665" s="109"/>
      <c r="E1665" s="110"/>
      <c r="G1665" s="109"/>
      <c r="H1665" s="109"/>
    </row>
    <row r="1666" spans="4:8" ht="15" thickBot="1" x14ac:dyDescent="0.35">
      <c r="D1666" s="109"/>
      <c r="E1666" s="110"/>
      <c r="G1666" s="109"/>
      <c r="H1666" s="109"/>
    </row>
    <row r="1667" spans="4:8" ht="15" thickBot="1" x14ac:dyDescent="0.35">
      <c r="D1667" s="109"/>
      <c r="E1667" s="110"/>
      <c r="G1667" s="109"/>
      <c r="H1667" s="109"/>
    </row>
    <row r="1668" spans="4:8" ht="15" thickBot="1" x14ac:dyDescent="0.35">
      <c r="D1668" s="109"/>
      <c r="E1668" s="110"/>
      <c r="G1668" s="109"/>
      <c r="H1668" s="109"/>
    </row>
    <row r="1669" spans="4:8" ht="15" thickBot="1" x14ac:dyDescent="0.35">
      <c r="D1669" s="109"/>
      <c r="E1669" s="110"/>
      <c r="G1669" s="109"/>
      <c r="H1669" s="109"/>
    </row>
    <row r="1670" spans="4:8" ht="15" thickBot="1" x14ac:dyDescent="0.35">
      <c r="D1670" s="109"/>
      <c r="E1670" s="110"/>
      <c r="G1670" s="109"/>
      <c r="H1670" s="109"/>
    </row>
    <row r="1671" spans="4:8" ht="15" thickBot="1" x14ac:dyDescent="0.35">
      <c r="D1671" s="109"/>
      <c r="E1671" s="110"/>
      <c r="G1671" s="109"/>
      <c r="H1671" s="109"/>
    </row>
    <row r="1672" spans="4:8" ht="15" thickBot="1" x14ac:dyDescent="0.35">
      <c r="D1672" s="109"/>
      <c r="E1672" s="110"/>
      <c r="G1672" s="109"/>
      <c r="H1672" s="109"/>
    </row>
    <row r="1673" spans="4:8" ht="15" thickBot="1" x14ac:dyDescent="0.35">
      <c r="D1673" s="109"/>
      <c r="E1673" s="110"/>
      <c r="G1673" s="109"/>
      <c r="H1673" s="109"/>
    </row>
    <row r="1674" spans="4:8" ht="15" thickBot="1" x14ac:dyDescent="0.35">
      <c r="D1674" s="109"/>
      <c r="E1674" s="110"/>
      <c r="G1674" s="109"/>
      <c r="H1674" s="109"/>
    </row>
    <row r="1675" spans="4:8" ht="15" thickBot="1" x14ac:dyDescent="0.35">
      <c r="D1675" s="109"/>
      <c r="E1675" s="110"/>
      <c r="G1675" s="109"/>
      <c r="H1675" s="109"/>
    </row>
    <row r="1676" spans="4:8" ht="15" thickBot="1" x14ac:dyDescent="0.35">
      <c r="D1676" s="109"/>
      <c r="E1676" s="110"/>
      <c r="G1676" s="109"/>
      <c r="H1676" s="109"/>
    </row>
    <row r="1677" spans="4:8" ht="15" thickBot="1" x14ac:dyDescent="0.35">
      <c r="D1677" s="109"/>
      <c r="E1677" s="110"/>
      <c r="G1677" s="109"/>
      <c r="H1677" s="109"/>
    </row>
    <row r="1678" spans="4:8" ht="15" thickBot="1" x14ac:dyDescent="0.35">
      <c r="D1678" s="109"/>
      <c r="E1678" s="110"/>
      <c r="G1678" s="109"/>
      <c r="H1678" s="109"/>
    </row>
    <row r="1679" spans="4:8" ht="15" thickBot="1" x14ac:dyDescent="0.35">
      <c r="D1679" s="109"/>
      <c r="E1679" s="110"/>
      <c r="G1679" s="109"/>
      <c r="H1679" s="109"/>
    </row>
    <row r="1680" spans="4:8" ht="15" thickBot="1" x14ac:dyDescent="0.35">
      <c r="D1680" s="109"/>
      <c r="E1680" s="110"/>
      <c r="G1680" s="109"/>
      <c r="H1680" s="109"/>
    </row>
    <row r="1681" spans="4:8" ht="15" thickBot="1" x14ac:dyDescent="0.35">
      <c r="D1681" s="109"/>
      <c r="E1681" s="110"/>
      <c r="G1681" s="109"/>
      <c r="H1681" s="109"/>
    </row>
    <row r="1682" spans="4:8" ht="15" thickBot="1" x14ac:dyDescent="0.35">
      <c r="D1682" s="109"/>
      <c r="E1682" s="110"/>
      <c r="G1682" s="109"/>
      <c r="H1682" s="109"/>
    </row>
    <row r="1683" spans="4:8" ht="15" thickBot="1" x14ac:dyDescent="0.35">
      <c r="D1683" s="109"/>
      <c r="E1683" s="110"/>
      <c r="G1683" s="109"/>
      <c r="H1683" s="109"/>
    </row>
    <row r="1684" spans="4:8" ht="15" thickBot="1" x14ac:dyDescent="0.35">
      <c r="D1684" s="109"/>
      <c r="E1684" s="110"/>
      <c r="G1684" s="109"/>
      <c r="H1684" s="109"/>
    </row>
    <row r="1685" spans="4:8" ht="15" thickBot="1" x14ac:dyDescent="0.35">
      <c r="D1685" s="109"/>
      <c r="E1685" s="110"/>
      <c r="G1685" s="109"/>
      <c r="H1685" s="109"/>
    </row>
    <row r="1686" spans="4:8" ht="15" thickBot="1" x14ac:dyDescent="0.35">
      <c r="D1686" s="109"/>
      <c r="E1686" s="110"/>
      <c r="G1686" s="109"/>
      <c r="H1686" s="109"/>
    </row>
    <row r="1687" spans="4:8" ht="15" thickBot="1" x14ac:dyDescent="0.35">
      <c r="D1687" s="109"/>
      <c r="E1687" s="110"/>
      <c r="G1687" s="109"/>
      <c r="H1687" s="109"/>
    </row>
    <row r="1688" spans="4:8" ht="15" thickBot="1" x14ac:dyDescent="0.35">
      <c r="D1688" s="109"/>
      <c r="E1688" s="110"/>
      <c r="G1688" s="109"/>
      <c r="H1688" s="109"/>
    </row>
    <row r="1689" spans="4:8" ht="15" thickBot="1" x14ac:dyDescent="0.35">
      <c r="D1689" s="109"/>
      <c r="E1689" s="110"/>
      <c r="G1689" s="109"/>
      <c r="H1689" s="109"/>
    </row>
    <row r="1690" spans="4:8" ht="15" thickBot="1" x14ac:dyDescent="0.35">
      <c r="D1690" s="109"/>
      <c r="E1690" s="110"/>
      <c r="G1690" s="109"/>
      <c r="H1690" s="109"/>
    </row>
    <row r="1691" spans="4:8" ht="15" thickBot="1" x14ac:dyDescent="0.35">
      <c r="D1691" s="109"/>
      <c r="E1691" s="110"/>
      <c r="G1691" s="109"/>
      <c r="H1691" s="109"/>
    </row>
    <row r="1692" spans="4:8" ht="15" thickBot="1" x14ac:dyDescent="0.35">
      <c r="D1692" s="109"/>
      <c r="E1692" s="110"/>
      <c r="G1692" s="109"/>
      <c r="H1692" s="109"/>
    </row>
    <row r="1693" spans="4:8" ht="15" thickBot="1" x14ac:dyDescent="0.35">
      <c r="D1693" s="109"/>
      <c r="E1693" s="110"/>
      <c r="G1693" s="109"/>
      <c r="H1693" s="109"/>
    </row>
    <row r="1694" spans="4:8" ht="15" thickBot="1" x14ac:dyDescent="0.35">
      <c r="D1694" s="109"/>
      <c r="E1694" s="110"/>
      <c r="G1694" s="109"/>
      <c r="H1694" s="109"/>
    </row>
    <row r="1695" spans="4:8" ht="15" thickBot="1" x14ac:dyDescent="0.35">
      <c r="D1695" s="109"/>
      <c r="E1695" s="110"/>
      <c r="G1695" s="109"/>
      <c r="H1695" s="109"/>
    </row>
    <row r="1696" spans="4:8" ht="15" thickBot="1" x14ac:dyDescent="0.35">
      <c r="D1696" s="109"/>
      <c r="E1696" s="110"/>
      <c r="G1696" s="109"/>
      <c r="H1696" s="109"/>
    </row>
    <row r="1697" spans="4:8" ht="15" thickBot="1" x14ac:dyDescent="0.35">
      <c r="D1697" s="109"/>
      <c r="E1697" s="110"/>
      <c r="G1697" s="109"/>
      <c r="H1697" s="109"/>
    </row>
    <row r="1698" spans="4:8" ht="15" thickBot="1" x14ac:dyDescent="0.35">
      <c r="D1698" s="109"/>
      <c r="E1698" s="110"/>
      <c r="G1698" s="109"/>
      <c r="H1698" s="109"/>
    </row>
    <row r="1699" spans="4:8" ht="15" thickBot="1" x14ac:dyDescent="0.35">
      <c r="D1699" s="109"/>
      <c r="E1699" s="110"/>
      <c r="G1699" s="109"/>
      <c r="H1699" s="109"/>
    </row>
    <row r="1700" spans="4:8" ht="15" thickBot="1" x14ac:dyDescent="0.35">
      <c r="D1700" s="109"/>
      <c r="E1700" s="110"/>
      <c r="G1700" s="109"/>
      <c r="H1700" s="109"/>
    </row>
    <row r="1701" spans="4:8" ht="15" thickBot="1" x14ac:dyDescent="0.35">
      <c r="D1701" s="109"/>
      <c r="E1701" s="110"/>
      <c r="G1701" s="109"/>
      <c r="H1701" s="109"/>
    </row>
    <row r="1702" spans="4:8" ht="15" thickBot="1" x14ac:dyDescent="0.35">
      <c r="D1702" s="109"/>
      <c r="E1702" s="110"/>
      <c r="G1702" s="109"/>
      <c r="H1702" s="109"/>
    </row>
    <row r="1703" spans="4:8" ht="15" thickBot="1" x14ac:dyDescent="0.35">
      <c r="D1703" s="109"/>
      <c r="E1703" s="110"/>
      <c r="G1703" s="109"/>
      <c r="H1703" s="109"/>
    </row>
    <row r="1704" spans="4:8" ht="15" thickBot="1" x14ac:dyDescent="0.35">
      <c r="D1704" s="109"/>
      <c r="E1704" s="110"/>
      <c r="G1704" s="109"/>
      <c r="H1704" s="109"/>
    </row>
    <row r="1705" spans="4:8" ht="15" thickBot="1" x14ac:dyDescent="0.35">
      <c r="D1705" s="109"/>
      <c r="E1705" s="110"/>
      <c r="G1705" s="109"/>
      <c r="H1705" s="109"/>
    </row>
    <row r="1706" spans="4:8" ht="15" thickBot="1" x14ac:dyDescent="0.35">
      <c r="D1706" s="109"/>
      <c r="E1706" s="110"/>
      <c r="G1706" s="109"/>
      <c r="H1706" s="109"/>
    </row>
    <row r="1707" spans="4:8" ht="15" thickBot="1" x14ac:dyDescent="0.35">
      <c r="D1707" s="109"/>
      <c r="E1707" s="110"/>
      <c r="G1707" s="109"/>
      <c r="H1707" s="109"/>
    </row>
    <row r="1708" spans="4:8" ht="15" thickBot="1" x14ac:dyDescent="0.35">
      <c r="D1708" s="109"/>
      <c r="E1708" s="110"/>
      <c r="G1708" s="109"/>
      <c r="H1708" s="109"/>
    </row>
    <row r="1709" spans="4:8" ht="15" thickBot="1" x14ac:dyDescent="0.35">
      <c r="D1709" s="109"/>
      <c r="E1709" s="110"/>
      <c r="G1709" s="109"/>
      <c r="H1709" s="109"/>
    </row>
    <row r="1710" spans="4:8" ht="15" thickBot="1" x14ac:dyDescent="0.35">
      <c r="D1710" s="109"/>
      <c r="E1710" s="110"/>
      <c r="G1710" s="109"/>
      <c r="H1710" s="109"/>
    </row>
    <row r="1711" spans="4:8" ht="15" thickBot="1" x14ac:dyDescent="0.35">
      <c r="D1711" s="109"/>
      <c r="E1711" s="110"/>
      <c r="G1711" s="109"/>
      <c r="H1711" s="109"/>
    </row>
    <row r="1712" spans="4:8" ht="15" thickBot="1" x14ac:dyDescent="0.35">
      <c r="D1712" s="109"/>
      <c r="E1712" s="110"/>
      <c r="G1712" s="109"/>
      <c r="H1712" s="109"/>
    </row>
    <row r="1713" spans="4:8" ht="15" thickBot="1" x14ac:dyDescent="0.35">
      <c r="D1713" s="109"/>
      <c r="E1713" s="110"/>
      <c r="G1713" s="109"/>
      <c r="H1713" s="109"/>
    </row>
    <row r="1714" spans="4:8" ht="15" thickBot="1" x14ac:dyDescent="0.35">
      <c r="D1714" s="109"/>
      <c r="E1714" s="110"/>
      <c r="G1714" s="109"/>
      <c r="H1714" s="109"/>
    </row>
    <row r="1715" spans="4:8" ht="15" thickBot="1" x14ac:dyDescent="0.35">
      <c r="D1715" s="109"/>
      <c r="E1715" s="110"/>
      <c r="G1715" s="109"/>
      <c r="H1715" s="109"/>
    </row>
    <row r="1716" spans="4:8" ht="15" thickBot="1" x14ac:dyDescent="0.35">
      <c r="D1716" s="109"/>
      <c r="E1716" s="110"/>
      <c r="G1716" s="109"/>
      <c r="H1716" s="109"/>
    </row>
    <row r="1717" spans="4:8" ht="15" thickBot="1" x14ac:dyDescent="0.35">
      <c r="D1717" s="109"/>
      <c r="E1717" s="110"/>
      <c r="G1717" s="109"/>
      <c r="H1717" s="109"/>
    </row>
    <row r="1718" spans="4:8" ht="15" thickBot="1" x14ac:dyDescent="0.35">
      <c r="D1718" s="109"/>
      <c r="E1718" s="110"/>
      <c r="G1718" s="109"/>
      <c r="H1718" s="109"/>
    </row>
    <row r="1719" spans="4:8" ht="15" thickBot="1" x14ac:dyDescent="0.35">
      <c r="D1719" s="109"/>
      <c r="E1719" s="110"/>
      <c r="G1719" s="109"/>
      <c r="H1719" s="109"/>
    </row>
    <row r="1720" spans="4:8" ht="15" thickBot="1" x14ac:dyDescent="0.35">
      <c r="D1720" s="109"/>
      <c r="E1720" s="110"/>
      <c r="G1720" s="109"/>
      <c r="H1720" s="109"/>
    </row>
    <row r="1721" spans="4:8" ht="15" thickBot="1" x14ac:dyDescent="0.35">
      <c r="D1721" s="109"/>
      <c r="E1721" s="110"/>
      <c r="G1721" s="109"/>
      <c r="H1721" s="109"/>
    </row>
    <row r="1722" spans="4:8" ht="15" thickBot="1" x14ac:dyDescent="0.35">
      <c r="D1722" s="109"/>
      <c r="E1722" s="110"/>
      <c r="G1722" s="109"/>
      <c r="H1722" s="109"/>
    </row>
    <row r="1723" spans="4:8" ht="15" thickBot="1" x14ac:dyDescent="0.35">
      <c r="D1723" s="109"/>
      <c r="E1723" s="110"/>
      <c r="G1723" s="109"/>
      <c r="H1723" s="109"/>
    </row>
    <row r="1724" spans="4:8" ht="15" thickBot="1" x14ac:dyDescent="0.35">
      <c r="D1724" s="109"/>
      <c r="E1724" s="110"/>
      <c r="G1724" s="109"/>
      <c r="H1724" s="109"/>
    </row>
    <row r="1725" spans="4:8" ht="15" thickBot="1" x14ac:dyDescent="0.35">
      <c r="D1725" s="109"/>
      <c r="E1725" s="110"/>
      <c r="G1725" s="109"/>
      <c r="H1725" s="109"/>
    </row>
    <row r="1726" spans="4:8" ht="15" thickBot="1" x14ac:dyDescent="0.35">
      <c r="D1726" s="109"/>
      <c r="E1726" s="110"/>
      <c r="G1726" s="109"/>
      <c r="H1726" s="109"/>
    </row>
    <row r="1727" spans="4:8" ht="15" thickBot="1" x14ac:dyDescent="0.35">
      <c r="D1727" s="109"/>
      <c r="E1727" s="110"/>
      <c r="G1727" s="109"/>
      <c r="H1727" s="109"/>
    </row>
    <row r="1728" spans="4:8" ht="15" thickBot="1" x14ac:dyDescent="0.35">
      <c r="D1728" s="109"/>
      <c r="E1728" s="110"/>
      <c r="G1728" s="109"/>
      <c r="H1728" s="109"/>
    </row>
    <row r="1729" spans="4:8" ht="15" thickBot="1" x14ac:dyDescent="0.35">
      <c r="D1729" s="109"/>
      <c r="E1729" s="110"/>
      <c r="G1729" s="109"/>
      <c r="H1729" s="109"/>
    </row>
    <row r="1730" spans="4:8" ht="15" thickBot="1" x14ac:dyDescent="0.35">
      <c r="D1730" s="109"/>
      <c r="E1730" s="110"/>
      <c r="G1730" s="109"/>
      <c r="H1730" s="109"/>
    </row>
    <row r="1731" spans="4:8" ht="15" thickBot="1" x14ac:dyDescent="0.35">
      <c r="D1731" s="109"/>
      <c r="E1731" s="110"/>
      <c r="G1731" s="109"/>
      <c r="H1731" s="109"/>
    </row>
    <row r="1732" spans="4:8" ht="15" thickBot="1" x14ac:dyDescent="0.35">
      <c r="D1732" s="109"/>
      <c r="E1732" s="110"/>
      <c r="G1732" s="109"/>
      <c r="H1732" s="109"/>
    </row>
    <row r="1733" spans="4:8" ht="15" thickBot="1" x14ac:dyDescent="0.35">
      <c r="D1733" s="109"/>
      <c r="E1733" s="110"/>
      <c r="G1733" s="109"/>
      <c r="H1733" s="109"/>
    </row>
    <row r="1734" spans="4:8" ht="15" thickBot="1" x14ac:dyDescent="0.35">
      <c r="D1734" s="109"/>
      <c r="E1734" s="110"/>
      <c r="G1734" s="109"/>
      <c r="H1734" s="109"/>
    </row>
    <row r="1735" spans="4:8" ht="15" thickBot="1" x14ac:dyDescent="0.35">
      <c r="D1735" s="109"/>
      <c r="E1735" s="110"/>
      <c r="G1735" s="109"/>
      <c r="H1735" s="109"/>
    </row>
    <row r="1736" spans="4:8" ht="15" thickBot="1" x14ac:dyDescent="0.35">
      <c r="D1736" s="109"/>
      <c r="E1736" s="110"/>
      <c r="G1736" s="109"/>
      <c r="H1736" s="109"/>
    </row>
    <row r="1737" spans="4:8" ht="15" thickBot="1" x14ac:dyDescent="0.35">
      <c r="D1737" s="109"/>
      <c r="E1737" s="110"/>
      <c r="G1737" s="109"/>
      <c r="H1737" s="109"/>
    </row>
    <row r="1738" spans="4:8" ht="15" thickBot="1" x14ac:dyDescent="0.35">
      <c r="D1738" s="109"/>
      <c r="E1738" s="110"/>
      <c r="G1738" s="109"/>
      <c r="H1738" s="109"/>
    </row>
    <row r="1739" spans="4:8" ht="15" thickBot="1" x14ac:dyDescent="0.35">
      <c r="D1739" s="109"/>
      <c r="E1739" s="110"/>
      <c r="G1739" s="109"/>
      <c r="H1739" s="109"/>
    </row>
    <row r="1740" spans="4:8" ht="15" thickBot="1" x14ac:dyDescent="0.35">
      <c r="D1740" s="109"/>
      <c r="E1740" s="110"/>
      <c r="G1740" s="109"/>
      <c r="H1740" s="109"/>
    </row>
    <row r="1741" spans="4:8" ht="15" thickBot="1" x14ac:dyDescent="0.35">
      <c r="D1741" s="109"/>
      <c r="E1741" s="110"/>
      <c r="G1741" s="109"/>
      <c r="H1741" s="109"/>
    </row>
    <row r="1742" spans="4:8" ht="15" thickBot="1" x14ac:dyDescent="0.35">
      <c r="D1742" s="109"/>
      <c r="E1742" s="110"/>
      <c r="G1742" s="109"/>
      <c r="H1742" s="109"/>
    </row>
    <row r="1743" spans="4:8" ht="15" thickBot="1" x14ac:dyDescent="0.35">
      <c r="D1743" s="109"/>
      <c r="E1743" s="110"/>
      <c r="G1743" s="109"/>
      <c r="H1743" s="109"/>
    </row>
    <row r="1744" spans="4:8" ht="15" thickBot="1" x14ac:dyDescent="0.35">
      <c r="D1744" s="109"/>
      <c r="E1744" s="110"/>
      <c r="G1744" s="109"/>
      <c r="H1744" s="109"/>
    </row>
    <row r="1745" spans="4:8" ht="15" thickBot="1" x14ac:dyDescent="0.35">
      <c r="D1745" s="109"/>
      <c r="E1745" s="110"/>
      <c r="G1745" s="109"/>
      <c r="H1745" s="109"/>
    </row>
    <row r="1746" spans="4:8" ht="15" thickBot="1" x14ac:dyDescent="0.35">
      <c r="D1746" s="109"/>
      <c r="E1746" s="110"/>
      <c r="G1746" s="109"/>
      <c r="H1746" s="109"/>
    </row>
    <row r="1747" spans="4:8" ht="15" thickBot="1" x14ac:dyDescent="0.35">
      <c r="D1747" s="109"/>
      <c r="E1747" s="110"/>
      <c r="G1747" s="109"/>
      <c r="H1747" s="109"/>
    </row>
    <row r="1748" spans="4:8" ht="15" thickBot="1" x14ac:dyDescent="0.35">
      <c r="D1748" s="109"/>
      <c r="E1748" s="110"/>
      <c r="G1748" s="109"/>
      <c r="H1748" s="109"/>
    </row>
    <row r="1749" spans="4:8" ht="15" thickBot="1" x14ac:dyDescent="0.35">
      <c r="D1749" s="109"/>
      <c r="E1749" s="110"/>
      <c r="G1749" s="109"/>
      <c r="H1749" s="109"/>
    </row>
    <row r="1750" spans="4:8" ht="15" thickBot="1" x14ac:dyDescent="0.35">
      <c r="D1750" s="109"/>
      <c r="E1750" s="110"/>
      <c r="G1750" s="109"/>
      <c r="H1750" s="109"/>
    </row>
    <row r="1751" spans="4:8" ht="15" thickBot="1" x14ac:dyDescent="0.35">
      <c r="D1751" s="109"/>
      <c r="E1751" s="110"/>
      <c r="G1751" s="109"/>
      <c r="H1751" s="109"/>
    </row>
    <row r="1752" spans="4:8" ht="15" thickBot="1" x14ac:dyDescent="0.35">
      <c r="D1752" s="109"/>
      <c r="E1752" s="110"/>
      <c r="G1752" s="109"/>
      <c r="H1752" s="109"/>
    </row>
    <row r="1753" spans="4:8" ht="15" thickBot="1" x14ac:dyDescent="0.35">
      <c r="D1753" s="109"/>
      <c r="E1753" s="110"/>
      <c r="G1753" s="109"/>
      <c r="H1753" s="109"/>
    </row>
    <row r="1754" spans="4:8" ht="15" thickBot="1" x14ac:dyDescent="0.35">
      <c r="D1754" s="109"/>
      <c r="E1754" s="110"/>
      <c r="G1754" s="109"/>
      <c r="H1754" s="109"/>
    </row>
    <row r="1755" spans="4:8" ht="15" thickBot="1" x14ac:dyDescent="0.35">
      <c r="D1755" s="109"/>
      <c r="E1755" s="110"/>
      <c r="G1755" s="109"/>
      <c r="H1755" s="109"/>
    </row>
    <row r="1756" spans="4:8" ht="15" thickBot="1" x14ac:dyDescent="0.35">
      <c r="D1756" s="109"/>
      <c r="E1756" s="110"/>
      <c r="G1756" s="109"/>
      <c r="H1756" s="109"/>
    </row>
    <row r="1757" spans="4:8" ht="15" thickBot="1" x14ac:dyDescent="0.35">
      <c r="D1757" s="109"/>
      <c r="E1757" s="110"/>
      <c r="G1757" s="109"/>
      <c r="H1757" s="109"/>
    </row>
    <row r="1758" spans="4:8" ht="15" thickBot="1" x14ac:dyDescent="0.35">
      <c r="D1758" s="109"/>
      <c r="E1758" s="110"/>
      <c r="G1758" s="109"/>
      <c r="H1758" s="109"/>
    </row>
    <row r="1759" spans="4:8" ht="15" thickBot="1" x14ac:dyDescent="0.35">
      <c r="D1759" s="109"/>
      <c r="E1759" s="110"/>
      <c r="G1759" s="109"/>
      <c r="H1759" s="109"/>
    </row>
    <row r="1760" spans="4:8" ht="15" thickBot="1" x14ac:dyDescent="0.35">
      <c r="D1760" s="109"/>
      <c r="E1760" s="110"/>
      <c r="G1760" s="109"/>
      <c r="H1760" s="109"/>
    </row>
    <row r="1761" spans="4:8" ht="15" thickBot="1" x14ac:dyDescent="0.35">
      <c r="D1761" s="109"/>
      <c r="E1761" s="110"/>
      <c r="G1761" s="109"/>
      <c r="H1761" s="109"/>
    </row>
    <row r="1762" spans="4:8" ht="15" thickBot="1" x14ac:dyDescent="0.35">
      <c r="D1762" s="109"/>
      <c r="E1762" s="110"/>
      <c r="G1762" s="109"/>
      <c r="H1762" s="109"/>
    </row>
    <row r="1763" spans="4:8" ht="15" thickBot="1" x14ac:dyDescent="0.35">
      <c r="D1763" s="109"/>
      <c r="E1763" s="110"/>
      <c r="G1763" s="109"/>
      <c r="H1763" s="109"/>
    </row>
    <row r="1764" spans="4:8" ht="15" thickBot="1" x14ac:dyDescent="0.35">
      <c r="D1764" s="109"/>
      <c r="E1764" s="110"/>
      <c r="G1764" s="109"/>
      <c r="H1764" s="109"/>
    </row>
    <row r="1765" spans="4:8" ht="15" thickBot="1" x14ac:dyDescent="0.35">
      <c r="D1765" s="109"/>
      <c r="E1765" s="110"/>
      <c r="G1765" s="109"/>
      <c r="H1765" s="109"/>
    </row>
    <row r="1766" spans="4:8" ht="15" thickBot="1" x14ac:dyDescent="0.35">
      <c r="D1766" s="109"/>
      <c r="E1766" s="110"/>
      <c r="G1766" s="109"/>
      <c r="H1766" s="109"/>
    </row>
    <row r="1767" spans="4:8" ht="15" thickBot="1" x14ac:dyDescent="0.35">
      <c r="D1767" s="109"/>
      <c r="E1767" s="110"/>
      <c r="G1767" s="109"/>
      <c r="H1767" s="109"/>
    </row>
    <row r="1768" spans="4:8" ht="15" thickBot="1" x14ac:dyDescent="0.35">
      <c r="D1768" s="109"/>
      <c r="E1768" s="110"/>
      <c r="G1768" s="109"/>
      <c r="H1768" s="109"/>
    </row>
    <row r="1769" spans="4:8" ht="15" thickBot="1" x14ac:dyDescent="0.35">
      <c r="D1769" s="109"/>
      <c r="E1769" s="110"/>
      <c r="G1769" s="109"/>
      <c r="H1769" s="109"/>
    </row>
    <row r="1770" spans="4:8" ht="15" thickBot="1" x14ac:dyDescent="0.35">
      <c r="D1770" s="109"/>
      <c r="E1770" s="110"/>
      <c r="G1770" s="109"/>
      <c r="H1770" s="109"/>
    </row>
    <row r="1771" spans="4:8" ht="15" thickBot="1" x14ac:dyDescent="0.35">
      <c r="D1771" s="109"/>
      <c r="E1771" s="110"/>
      <c r="G1771" s="109"/>
      <c r="H1771" s="109"/>
    </row>
    <row r="1772" spans="4:8" ht="15" thickBot="1" x14ac:dyDescent="0.35">
      <c r="D1772" s="109"/>
      <c r="E1772" s="110"/>
      <c r="G1772" s="109"/>
      <c r="H1772" s="109"/>
    </row>
    <row r="1773" spans="4:8" ht="15" thickBot="1" x14ac:dyDescent="0.35">
      <c r="D1773" s="109"/>
      <c r="E1773" s="110"/>
      <c r="G1773" s="109"/>
      <c r="H1773" s="109"/>
    </row>
    <row r="1774" spans="4:8" ht="15" thickBot="1" x14ac:dyDescent="0.35">
      <c r="D1774" s="109"/>
      <c r="E1774" s="110"/>
      <c r="G1774" s="109"/>
      <c r="H1774" s="109"/>
    </row>
    <row r="1775" spans="4:8" ht="15" thickBot="1" x14ac:dyDescent="0.35">
      <c r="D1775" s="109"/>
      <c r="E1775" s="110"/>
      <c r="G1775" s="109"/>
      <c r="H1775" s="109"/>
    </row>
    <row r="1776" spans="4:8" ht="15" thickBot="1" x14ac:dyDescent="0.35">
      <c r="D1776" s="109"/>
      <c r="E1776" s="110"/>
      <c r="G1776" s="109"/>
      <c r="H1776" s="109"/>
    </row>
    <row r="1777" spans="4:8" ht="15" thickBot="1" x14ac:dyDescent="0.35">
      <c r="D1777" s="109"/>
      <c r="E1777" s="110"/>
      <c r="G1777" s="109"/>
      <c r="H1777" s="109"/>
    </row>
    <row r="1778" spans="4:8" ht="15" thickBot="1" x14ac:dyDescent="0.35">
      <c r="D1778" s="109"/>
      <c r="E1778" s="110"/>
      <c r="G1778" s="109"/>
      <c r="H1778" s="109"/>
    </row>
    <row r="1779" spans="4:8" ht="15" thickBot="1" x14ac:dyDescent="0.35">
      <c r="D1779" s="109"/>
      <c r="E1779" s="110"/>
      <c r="G1779" s="109"/>
      <c r="H1779" s="109"/>
    </row>
    <row r="1780" spans="4:8" ht="15" thickBot="1" x14ac:dyDescent="0.35">
      <c r="D1780" s="109"/>
      <c r="E1780" s="110"/>
      <c r="G1780" s="109"/>
      <c r="H1780" s="109"/>
    </row>
    <row r="1781" spans="4:8" ht="15" thickBot="1" x14ac:dyDescent="0.35">
      <c r="D1781" s="109"/>
      <c r="E1781" s="110"/>
      <c r="G1781" s="109"/>
      <c r="H1781" s="109"/>
    </row>
    <row r="1782" spans="4:8" ht="15" thickBot="1" x14ac:dyDescent="0.35">
      <c r="D1782" s="109"/>
      <c r="E1782" s="110"/>
      <c r="G1782" s="109"/>
      <c r="H1782" s="109"/>
    </row>
    <row r="1783" spans="4:8" ht="15" thickBot="1" x14ac:dyDescent="0.35">
      <c r="D1783" s="109"/>
      <c r="E1783" s="110"/>
      <c r="G1783" s="109"/>
      <c r="H1783" s="109"/>
    </row>
    <row r="1784" spans="4:8" ht="15" thickBot="1" x14ac:dyDescent="0.35">
      <c r="D1784" s="109"/>
      <c r="E1784" s="110"/>
      <c r="G1784" s="109"/>
      <c r="H1784" s="109"/>
    </row>
    <row r="1785" spans="4:8" ht="15" thickBot="1" x14ac:dyDescent="0.35">
      <c r="D1785" s="109"/>
      <c r="E1785" s="110"/>
      <c r="G1785" s="109"/>
      <c r="H1785" s="109"/>
    </row>
    <row r="1786" spans="4:8" ht="15" thickBot="1" x14ac:dyDescent="0.35">
      <c r="D1786" s="109"/>
      <c r="E1786" s="110"/>
      <c r="G1786" s="109"/>
      <c r="H1786" s="109"/>
    </row>
    <row r="1787" spans="4:8" ht="15" thickBot="1" x14ac:dyDescent="0.35">
      <c r="D1787" s="109"/>
      <c r="E1787" s="110"/>
      <c r="G1787" s="109"/>
      <c r="H1787" s="109"/>
    </row>
    <row r="1788" spans="4:8" ht="15" thickBot="1" x14ac:dyDescent="0.35">
      <c r="D1788" s="109"/>
      <c r="E1788" s="110"/>
      <c r="G1788" s="109"/>
      <c r="H1788" s="109"/>
    </row>
    <row r="1789" spans="4:8" ht="15" thickBot="1" x14ac:dyDescent="0.35">
      <c r="D1789" s="109"/>
      <c r="E1789" s="110"/>
      <c r="G1789" s="109"/>
      <c r="H1789" s="109"/>
    </row>
    <row r="1790" spans="4:8" ht="15" thickBot="1" x14ac:dyDescent="0.35">
      <c r="D1790" s="109"/>
      <c r="E1790" s="110"/>
      <c r="G1790" s="109"/>
      <c r="H1790" s="109"/>
    </row>
    <row r="1791" spans="4:8" ht="15" thickBot="1" x14ac:dyDescent="0.35">
      <c r="D1791" s="109"/>
      <c r="E1791" s="110"/>
      <c r="G1791" s="109"/>
      <c r="H1791" s="109"/>
    </row>
    <row r="1792" spans="4:8" ht="15" thickBot="1" x14ac:dyDescent="0.35">
      <c r="D1792" s="109"/>
      <c r="E1792" s="110"/>
      <c r="G1792" s="109"/>
      <c r="H1792" s="109"/>
    </row>
    <row r="1793" spans="4:8" ht="15" thickBot="1" x14ac:dyDescent="0.35">
      <c r="D1793" s="109"/>
      <c r="E1793" s="110"/>
      <c r="G1793" s="109"/>
      <c r="H1793" s="109"/>
    </row>
    <row r="1794" spans="4:8" ht="15" thickBot="1" x14ac:dyDescent="0.35">
      <c r="D1794" s="109"/>
      <c r="E1794" s="110"/>
      <c r="G1794" s="109"/>
      <c r="H1794" s="109"/>
    </row>
    <row r="1795" spans="4:8" ht="15" thickBot="1" x14ac:dyDescent="0.35">
      <c r="D1795" s="109"/>
      <c r="E1795" s="110"/>
      <c r="G1795" s="109"/>
      <c r="H1795" s="109"/>
    </row>
    <row r="1796" spans="4:8" ht="15" thickBot="1" x14ac:dyDescent="0.35">
      <c r="D1796" s="109"/>
      <c r="E1796" s="110"/>
      <c r="G1796" s="109"/>
      <c r="H1796" s="109"/>
    </row>
    <row r="1797" spans="4:8" ht="15" thickBot="1" x14ac:dyDescent="0.35">
      <c r="D1797" s="109"/>
      <c r="E1797" s="110"/>
      <c r="G1797" s="109"/>
      <c r="H1797" s="109"/>
    </row>
    <row r="1798" spans="4:8" ht="15" thickBot="1" x14ac:dyDescent="0.35">
      <c r="D1798" s="109"/>
      <c r="E1798" s="110"/>
      <c r="G1798" s="109"/>
      <c r="H1798" s="109"/>
    </row>
    <row r="1799" spans="4:8" ht="15" thickBot="1" x14ac:dyDescent="0.35">
      <c r="D1799" s="109"/>
      <c r="E1799" s="110"/>
      <c r="G1799" s="109"/>
      <c r="H1799" s="109"/>
    </row>
    <row r="1800" spans="4:8" ht="15" thickBot="1" x14ac:dyDescent="0.35">
      <c r="D1800" s="109"/>
      <c r="E1800" s="110"/>
      <c r="G1800" s="109"/>
      <c r="H1800" s="109"/>
    </row>
    <row r="1801" spans="4:8" ht="15" thickBot="1" x14ac:dyDescent="0.35">
      <c r="D1801" s="109"/>
      <c r="E1801" s="110"/>
      <c r="G1801" s="109"/>
      <c r="H1801" s="109"/>
    </row>
    <row r="1802" spans="4:8" ht="15" thickBot="1" x14ac:dyDescent="0.35">
      <c r="D1802" s="109"/>
      <c r="E1802" s="110"/>
      <c r="G1802" s="109"/>
      <c r="H1802" s="109"/>
    </row>
    <row r="1803" spans="4:8" ht="15" thickBot="1" x14ac:dyDescent="0.35">
      <c r="D1803" s="109"/>
      <c r="E1803" s="110"/>
      <c r="G1803" s="109"/>
      <c r="H1803" s="109"/>
    </row>
    <row r="1804" spans="4:8" ht="15" thickBot="1" x14ac:dyDescent="0.35">
      <c r="D1804" s="109"/>
      <c r="E1804" s="110"/>
      <c r="G1804" s="109"/>
      <c r="H1804" s="109"/>
    </row>
    <row r="1805" spans="4:8" ht="15" thickBot="1" x14ac:dyDescent="0.35">
      <c r="D1805" s="109"/>
      <c r="E1805" s="110"/>
      <c r="G1805" s="109"/>
      <c r="H1805" s="109"/>
    </row>
    <row r="1806" spans="4:8" ht="15" thickBot="1" x14ac:dyDescent="0.35">
      <c r="D1806" s="109"/>
      <c r="E1806" s="110"/>
      <c r="G1806" s="109"/>
      <c r="H1806" s="109"/>
    </row>
    <row r="1807" spans="4:8" ht="15" thickBot="1" x14ac:dyDescent="0.35">
      <c r="D1807" s="109"/>
      <c r="E1807" s="110"/>
      <c r="G1807" s="109"/>
      <c r="H1807" s="109"/>
    </row>
    <row r="1808" spans="4:8" ht="15" thickBot="1" x14ac:dyDescent="0.35">
      <c r="D1808" s="109"/>
      <c r="E1808" s="110"/>
      <c r="G1808" s="109"/>
      <c r="H1808" s="109"/>
    </row>
    <row r="1809" spans="4:8" ht="15" thickBot="1" x14ac:dyDescent="0.35">
      <c r="D1809" s="109"/>
      <c r="E1809" s="110"/>
      <c r="G1809" s="109"/>
      <c r="H1809" s="109"/>
    </row>
    <row r="1810" spans="4:8" ht="15" thickBot="1" x14ac:dyDescent="0.35">
      <c r="D1810" s="109"/>
      <c r="E1810" s="110"/>
      <c r="G1810" s="109"/>
      <c r="H1810" s="109"/>
    </row>
    <row r="1811" spans="4:8" ht="15" thickBot="1" x14ac:dyDescent="0.35">
      <c r="D1811" s="109"/>
      <c r="E1811" s="110"/>
      <c r="G1811" s="109"/>
      <c r="H1811" s="109"/>
    </row>
    <row r="1812" spans="4:8" ht="15" thickBot="1" x14ac:dyDescent="0.35">
      <c r="D1812" s="109"/>
      <c r="E1812" s="110"/>
      <c r="G1812" s="109"/>
      <c r="H1812" s="109"/>
    </row>
    <row r="1813" spans="4:8" ht="15" thickBot="1" x14ac:dyDescent="0.35">
      <c r="D1813" s="109"/>
      <c r="E1813" s="110"/>
      <c r="G1813" s="109"/>
      <c r="H1813" s="109"/>
    </row>
    <row r="1814" spans="4:8" ht="15" thickBot="1" x14ac:dyDescent="0.35">
      <c r="D1814" s="109"/>
      <c r="E1814" s="110"/>
      <c r="G1814" s="109"/>
      <c r="H1814" s="109"/>
    </row>
    <row r="1815" spans="4:8" ht="15" thickBot="1" x14ac:dyDescent="0.35">
      <c r="D1815" s="109"/>
      <c r="E1815" s="110"/>
      <c r="G1815" s="109"/>
      <c r="H1815" s="109"/>
    </row>
    <row r="1816" spans="4:8" ht="15" thickBot="1" x14ac:dyDescent="0.35">
      <c r="D1816" s="109"/>
      <c r="E1816" s="110"/>
      <c r="G1816" s="109"/>
      <c r="H1816" s="109"/>
    </row>
    <row r="1817" spans="4:8" ht="15" thickBot="1" x14ac:dyDescent="0.35">
      <c r="D1817" s="109"/>
      <c r="E1817" s="110"/>
      <c r="G1817" s="109"/>
      <c r="H1817" s="109"/>
    </row>
    <row r="1818" spans="4:8" ht="15" thickBot="1" x14ac:dyDescent="0.35">
      <c r="D1818" s="109"/>
      <c r="E1818" s="110"/>
      <c r="G1818" s="109"/>
      <c r="H1818" s="109"/>
    </row>
    <row r="1819" spans="4:8" ht="15" thickBot="1" x14ac:dyDescent="0.35">
      <c r="D1819" s="109"/>
      <c r="E1819" s="110"/>
      <c r="G1819" s="109"/>
      <c r="H1819" s="109"/>
    </row>
    <row r="1820" spans="4:8" ht="15" thickBot="1" x14ac:dyDescent="0.35">
      <c r="D1820" s="109"/>
      <c r="E1820" s="110"/>
      <c r="G1820" s="109"/>
      <c r="H1820" s="109"/>
    </row>
    <row r="1821" spans="4:8" ht="15" thickBot="1" x14ac:dyDescent="0.35">
      <c r="D1821" s="109"/>
      <c r="E1821" s="110"/>
      <c r="G1821" s="109"/>
      <c r="H1821" s="109"/>
    </row>
    <row r="1822" spans="4:8" ht="15" thickBot="1" x14ac:dyDescent="0.35">
      <c r="D1822" s="109"/>
      <c r="E1822" s="110"/>
      <c r="G1822" s="109"/>
      <c r="H1822" s="109"/>
    </row>
    <row r="1823" spans="4:8" ht="15" thickBot="1" x14ac:dyDescent="0.35">
      <c r="D1823" s="109"/>
      <c r="E1823" s="110"/>
      <c r="G1823" s="109"/>
      <c r="H1823" s="109"/>
    </row>
    <row r="1824" spans="4:8" ht="15" thickBot="1" x14ac:dyDescent="0.35">
      <c r="D1824" s="109"/>
      <c r="E1824" s="110"/>
      <c r="G1824" s="109"/>
      <c r="H1824" s="109"/>
    </row>
    <row r="1825" spans="4:8" ht="15" thickBot="1" x14ac:dyDescent="0.35">
      <c r="D1825" s="109"/>
      <c r="E1825" s="110"/>
      <c r="G1825" s="109"/>
      <c r="H1825" s="109"/>
    </row>
    <row r="1826" spans="4:8" ht="15" thickBot="1" x14ac:dyDescent="0.35">
      <c r="D1826" s="109"/>
      <c r="E1826" s="110"/>
      <c r="G1826" s="109"/>
      <c r="H1826" s="109"/>
    </row>
    <row r="1827" spans="4:8" ht="15" thickBot="1" x14ac:dyDescent="0.35">
      <c r="D1827" s="109"/>
      <c r="E1827" s="110"/>
      <c r="G1827" s="109"/>
      <c r="H1827" s="109"/>
    </row>
    <row r="1828" spans="4:8" ht="15" thickBot="1" x14ac:dyDescent="0.35">
      <c r="D1828" s="109"/>
      <c r="E1828" s="110"/>
      <c r="G1828" s="109"/>
      <c r="H1828" s="109"/>
    </row>
    <row r="1829" spans="4:8" ht="15" thickBot="1" x14ac:dyDescent="0.35">
      <c r="D1829" s="109"/>
      <c r="E1829" s="110"/>
      <c r="G1829" s="109"/>
      <c r="H1829" s="109"/>
    </row>
    <row r="1830" spans="4:8" ht="15" thickBot="1" x14ac:dyDescent="0.35">
      <c r="D1830" s="109"/>
      <c r="E1830" s="110"/>
      <c r="G1830" s="109"/>
      <c r="H1830" s="109"/>
    </row>
    <row r="1831" spans="4:8" ht="15" thickBot="1" x14ac:dyDescent="0.35">
      <c r="D1831" s="109"/>
      <c r="E1831" s="110"/>
      <c r="G1831" s="109"/>
      <c r="H1831" s="109"/>
    </row>
    <row r="1832" spans="4:8" ht="15" thickBot="1" x14ac:dyDescent="0.35">
      <c r="D1832" s="109"/>
      <c r="E1832" s="110"/>
      <c r="G1832" s="109"/>
      <c r="H1832" s="109"/>
    </row>
    <row r="1833" spans="4:8" ht="15" thickBot="1" x14ac:dyDescent="0.35">
      <c r="D1833" s="109"/>
      <c r="E1833" s="110"/>
      <c r="G1833" s="109"/>
      <c r="H1833" s="109"/>
    </row>
    <row r="1834" spans="4:8" ht="15" thickBot="1" x14ac:dyDescent="0.35">
      <c r="D1834" s="109"/>
      <c r="E1834" s="110"/>
      <c r="G1834" s="109"/>
      <c r="H1834" s="109"/>
    </row>
    <row r="1835" spans="4:8" ht="15" thickBot="1" x14ac:dyDescent="0.35">
      <c r="D1835" s="109"/>
      <c r="E1835" s="110"/>
      <c r="G1835" s="109"/>
      <c r="H1835" s="109"/>
    </row>
    <row r="1836" spans="4:8" ht="15" thickBot="1" x14ac:dyDescent="0.35">
      <c r="D1836" s="109"/>
      <c r="E1836" s="110"/>
      <c r="G1836" s="109"/>
      <c r="H1836" s="109"/>
    </row>
    <row r="1837" spans="4:8" ht="15" thickBot="1" x14ac:dyDescent="0.35">
      <c r="D1837" s="109"/>
      <c r="E1837" s="110"/>
      <c r="G1837" s="109"/>
      <c r="H1837" s="109"/>
    </row>
    <row r="1838" spans="4:8" ht="15" thickBot="1" x14ac:dyDescent="0.35">
      <c r="D1838" s="109"/>
      <c r="E1838" s="110"/>
      <c r="G1838" s="109"/>
      <c r="H1838" s="109"/>
    </row>
    <row r="1839" spans="4:8" ht="15" thickBot="1" x14ac:dyDescent="0.35">
      <c r="D1839" s="109"/>
      <c r="E1839" s="110"/>
      <c r="G1839" s="109"/>
      <c r="H1839" s="109"/>
    </row>
    <row r="1840" spans="4:8" ht="15" thickBot="1" x14ac:dyDescent="0.35">
      <c r="D1840" s="109"/>
      <c r="E1840" s="110"/>
      <c r="G1840" s="109"/>
      <c r="H1840" s="109"/>
    </row>
    <row r="1841" spans="4:8" ht="15" thickBot="1" x14ac:dyDescent="0.35">
      <c r="D1841" s="109"/>
      <c r="E1841" s="110"/>
      <c r="G1841" s="109"/>
      <c r="H1841" s="109"/>
    </row>
    <row r="1842" spans="4:8" ht="15" thickBot="1" x14ac:dyDescent="0.35">
      <c r="D1842" s="109"/>
      <c r="E1842" s="110"/>
      <c r="G1842" s="109"/>
      <c r="H1842" s="109"/>
    </row>
    <row r="1843" spans="4:8" ht="15" thickBot="1" x14ac:dyDescent="0.35">
      <c r="D1843" s="109"/>
      <c r="E1843" s="110"/>
      <c r="G1843" s="109"/>
      <c r="H1843" s="109"/>
    </row>
    <row r="1844" spans="4:8" ht="15" thickBot="1" x14ac:dyDescent="0.35">
      <c r="D1844" s="109"/>
      <c r="E1844" s="110"/>
      <c r="G1844" s="109"/>
      <c r="H1844" s="109"/>
    </row>
    <row r="1845" spans="4:8" ht="15" thickBot="1" x14ac:dyDescent="0.35">
      <c r="D1845" s="109"/>
      <c r="E1845" s="110"/>
      <c r="G1845" s="109"/>
      <c r="H1845" s="109"/>
    </row>
    <row r="1846" spans="4:8" ht="15" thickBot="1" x14ac:dyDescent="0.35">
      <c r="D1846" s="109"/>
      <c r="E1846" s="110"/>
      <c r="G1846" s="109"/>
      <c r="H1846" s="109"/>
    </row>
    <row r="1847" spans="4:8" ht="15" thickBot="1" x14ac:dyDescent="0.35">
      <c r="D1847" s="109"/>
      <c r="E1847" s="110"/>
      <c r="G1847" s="109"/>
      <c r="H1847" s="109"/>
    </row>
    <row r="1848" spans="4:8" ht="15" thickBot="1" x14ac:dyDescent="0.35">
      <c r="D1848" s="109"/>
      <c r="E1848" s="110"/>
      <c r="G1848" s="109"/>
      <c r="H1848" s="109"/>
    </row>
    <row r="1849" spans="4:8" ht="15" thickBot="1" x14ac:dyDescent="0.35">
      <c r="D1849" s="109"/>
      <c r="E1849" s="110"/>
      <c r="G1849" s="109"/>
      <c r="H1849" s="109"/>
    </row>
    <row r="1850" spans="4:8" ht="15" thickBot="1" x14ac:dyDescent="0.35">
      <c r="D1850" s="109"/>
      <c r="E1850" s="110"/>
      <c r="G1850" s="109"/>
      <c r="H1850" s="109"/>
    </row>
    <row r="1851" spans="4:8" ht="15" thickBot="1" x14ac:dyDescent="0.35">
      <c r="D1851" s="109"/>
      <c r="E1851" s="110"/>
      <c r="G1851" s="109"/>
      <c r="H1851" s="109"/>
    </row>
    <row r="1852" spans="4:8" ht="15" thickBot="1" x14ac:dyDescent="0.35">
      <c r="D1852" s="109"/>
      <c r="E1852" s="110"/>
      <c r="G1852" s="109"/>
      <c r="H1852" s="109"/>
    </row>
    <row r="1853" spans="4:8" ht="15" thickBot="1" x14ac:dyDescent="0.35">
      <c r="D1853" s="109"/>
      <c r="E1853" s="110"/>
      <c r="G1853" s="109"/>
      <c r="H1853" s="109"/>
    </row>
    <row r="1854" spans="4:8" ht="15" thickBot="1" x14ac:dyDescent="0.35">
      <c r="D1854" s="109"/>
      <c r="E1854" s="110"/>
      <c r="G1854" s="109"/>
      <c r="H1854" s="109"/>
    </row>
    <row r="1855" spans="4:8" ht="15" thickBot="1" x14ac:dyDescent="0.35">
      <c r="D1855" s="109"/>
      <c r="E1855" s="110"/>
      <c r="G1855" s="109"/>
      <c r="H1855" s="109"/>
    </row>
    <row r="1856" spans="4:8" ht="15" thickBot="1" x14ac:dyDescent="0.35">
      <c r="D1856" s="109"/>
      <c r="E1856" s="110"/>
      <c r="G1856" s="109"/>
      <c r="H1856" s="109"/>
    </row>
    <row r="1857" spans="4:8" ht="15" thickBot="1" x14ac:dyDescent="0.35">
      <c r="D1857" s="109"/>
      <c r="E1857" s="110"/>
      <c r="G1857" s="109"/>
      <c r="H1857" s="109"/>
    </row>
    <row r="1858" spans="4:8" ht="15" thickBot="1" x14ac:dyDescent="0.35">
      <c r="D1858" s="109"/>
      <c r="E1858" s="110"/>
      <c r="G1858" s="109"/>
      <c r="H1858" s="109"/>
    </row>
    <row r="1859" spans="4:8" ht="15" thickBot="1" x14ac:dyDescent="0.35">
      <c r="D1859" s="109"/>
      <c r="E1859" s="110"/>
      <c r="G1859" s="109"/>
      <c r="H1859" s="109"/>
    </row>
    <row r="1860" spans="4:8" ht="15" thickBot="1" x14ac:dyDescent="0.35">
      <c r="D1860" s="109"/>
      <c r="E1860" s="110"/>
      <c r="G1860" s="109"/>
      <c r="H1860" s="109"/>
    </row>
    <row r="1861" spans="4:8" ht="15" thickBot="1" x14ac:dyDescent="0.35">
      <c r="D1861" s="109"/>
      <c r="E1861" s="110"/>
      <c r="G1861" s="109"/>
      <c r="H1861" s="109"/>
    </row>
    <row r="1862" spans="4:8" ht="15" thickBot="1" x14ac:dyDescent="0.35">
      <c r="D1862" s="109"/>
      <c r="E1862" s="110"/>
      <c r="G1862" s="109"/>
      <c r="H1862" s="109"/>
    </row>
    <row r="1863" spans="4:8" ht="15" thickBot="1" x14ac:dyDescent="0.35">
      <c r="D1863" s="109"/>
      <c r="E1863" s="110"/>
      <c r="G1863" s="109"/>
      <c r="H1863" s="109"/>
    </row>
    <row r="1864" spans="4:8" ht="15" thickBot="1" x14ac:dyDescent="0.35">
      <c r="D1864" s="109"/>
      <c r="E1864" s="110"/>
      <c r="G1864" s="109"/>
      <c r="H1864" s="109"/>
    </row>
    <row r="1865" spans="4:8" ht="15" thickBot="1" x14ac:dyDescent="0.35">
      <c r="D1865" s="109"/>
      <c r="E1865" s="110"/>
      <c r="G1865" s="109"/>
      <c r="H1865" s="109"/>
    </row>
    <row r="1866" spans="4:8" ht="15" thickBot="1" x14ac:dyDescent="0.35">
      <c r="D1866" s="109"/>
      <c r="E1866" s="110"/>
      <c r="G1866" s="109"/>
      <c r="H1866" s="109"/>
    </row>
    <row r="1867" spans="4:8" ht="15" thickBot="1" x14ac:dyDescent="0.35">
      <c r="D1867" s="109"/>
      <c r="E1867" s="110"/>
      <c r="G1867" s="109"/>
      <c r="H1867" s="109"/>
    </row>
    <row r="1868" spans="4:8" ht="15" thickBot="1" x14ac:dyDescent="0.35">
      <c r="D1868" s="109"/>
      <c r="E1868" s="110"/>
      <c r="G1868" s="109"/>
      <c r="H1868" s="109"/>
    </row>
    <row r="1869" spans="4:8" ht="15" thickBot="1" x14ac:dyDescent="0.35">
      <c r="D1869" s="109"/>
      <c r="E1869" s="110"/>
      <c r="G1869" s="109"/>
      <c r="H1869" s="109"/>
    </row>
    <row r="1870" spans="4:8" ht="15" thickBot="1" x14ac:dyDescent="0.35">
      <c r="D1870" s="109"/>
      <c r="E1870" s="110"/>
      <c r="G1870" s="109"/>
      <c r="H1870" s="109"/>
    </row>
    <row r="1871" spans="4:8" ht="15" thickBot="1" x14ac:dyDescent="0.35">
      <c r="D1871" s="109"/>
      <c r="E1871" s="110"/>
      <c r="G1871" s="109"/>
      <c r="H1871" s="109"/>
    </row>
    <row r="1872" spans="4:8" ht="15" thickBot="1" x14ac:dyDescent="0.35">
      <c r="D1872" s="109"/>
      <c r="E1872" s="110"/>
      <c r="G1872" s="109"/>
      <c r="H1872" s="109"/>
    </row>
    <row r="1873" spans="4:8" ht="15" thickBot="1" x14ac:dyDescent="0.35">
      <c r="D1873" s="109"/>
      <c r="E1873" s="110"/>
      <c r="G1873" s="109"/>
      <c r="H1873" s="109"/>
    </row>
    <row r="1874" spans="4:8" ht="15" thickBot="1" x14ac:dyDescent="0.35">
      <c r="D1874" s="109"/>
      <c r="E1874" s="110"/>
      <c r="G1874" s="109"/>
      <c r="H1874" s="109"/>
    </row>
    <row r="1875" spans="4:8" ht="15" thickBot="1" x14ac:dyDescent="0.35">
      <c r="D1875" s="109"/>
      <c r="E1875" s="110"/>
      <c r="G1875" s="109"/>
      <c r="H1875" s="109"/>
    </row>
    <row r="1876" spans="4:8" ht="15" thickBot="1" x14ac:dyDescent="0.35">
      <c r="D1876" s="109"/>
      <c r="E1876" s="110"/>
      <c r="G1876" s="109"/>
      <c r="H1876" s="109"/>
    </row>
    <row r="1877" spans="4:8" ht="15" thickBot="1" x14ac:dyDescent="0.35">
      <c r="D1877" s="109"/>
      <c r="E1877" s="110"/>
      <c r="G1877" s="109"/>
      <c r="H1877" s="109"/>
    </row>
    <row r="1878" spans="4:8" ht="15" thickBot="1" x14ac:dyDescent="0.35">
      <c r="D1878" s="109"/>
      <c r="E1878" s="110"/>
      <c r="G1878" s="109"/>
      <c r="H1878" s="109"/>
    </row>
    <row r="1879" spans="4:8" ht="15" thickBot="1" x14ac:dyDescent="0.35">
      <c r="D1879" s="109"/>
      <c r="E1879" s="110"/>
      <c r="G1879" s="109"/>
      <c r="H1879" s="109"/>
    </row>
    <row r="1880" spans="4:8" ht="15" thickBot="1" x14ac:dyDescent="0.35">
      <c r="D1880" s="109"/>
      <c r="E1880" s="110"/>
      <c r="G1880" s="109"/>
      <c r="H1880" s="109"/>
    </row>
    <row r="1881" spans="4:8" ht="15" thickBot="1" x14ac:dyDescent="0.35">
      <c r="D1881" s="109"/>
      <c r="E1881" s="110"/>
      <c r="G1881" s="109"/>
      <c r="H1881" s="109"/>
    </row>
    <row r="1882" spans="4:8" ht="15" thickBot="1" x14ac:dyDescent="0.35">
      <c r="D1882" s="109"/>
      <c r="E1882" s="110"/>
      <c r="G1882" s="109"/>
      <c r="H1882" s="109"/>
    </row>
    <row r="1883" spans="4:8" ht="15" thickBot="1" x14ac:dyDescent="0.35">
      <c r="D1883" s="109"/>
      <c r="E1883" s="110"/>
      <c r="G1883" s="109"/>
      <c r="H1883" s="109"/>
    </row>
    <row r="1884" spans="4:8" ht="15" thickBot="1" x14ac:dyDescent="0.35">
      <c r="D1884" s="109"/>
      <c r="E1884" s="110"/>
      <c r="G1884" s="109"/>
      <c r="H1884" s="109"/>
    </row>
    <row r="1885" spans="4:8" ht="15" thickBot="1" x14ac:dyDescent="0.35">
      <c r="D1885" s="109"/>
      <c r="E1885" s="110"/>
      <c r="G1885" s="109"/>
      <c r="H1885" s="109"/>
    </row>
    <row r="1886" spans="4:8" ht="15" thickBot="1" x14ac:dyDescent="0.35">
      <c r="D1886" s="109"/>
      <c r="E1886" s="110"/>
      <c r="G1886" s="109"/>
      <c r="H1886" s="109"/>
    </row>
    <row r="1887" spans="4:8" ht="15" thickBot="1" x14ac:dyDescent="0.35">
      <c r="D1887" s="109"/>
      <c r="E1887" s="110"/>
      <c r="G1887" s="109"/>
      <c r="H1887" s="109"/>
    </row>
    <row r="1888" spans="4:8" ht="15" thickBot="1" x14ac:dyDescent="0.35">
      <c r="D1888" s="109"/>
      <c r="E1888" s="110"/>
      <c r="G1888" s="109"/>
      <c r="H1888" s="109"/>
    </row>
    <row r="1889" spans="4:8" ht="15" thickBot="1" x14ac:dyDescent="0.35">
      <c r="D1889" s="109"/>
      <c r="E1889" s="110"/>
      <c r="G1889" s="109"/>
      <c r="H1889" s="109"/>
    </row>
    <row r="1890" spans="4:8" ht="15" thickBot="1" x14ac:dyDescent="0.35">
      <c r="D1890" s="109"/>
      <c r="E1890" s="110"/>
      <c r="G1890" s="109"/>
      <c r="H1890" s="109"/>
    </row>
    <row r="1891" spans="4:8" ht="15" thickBot="1" x14ac:dyDescent="0.35">
      <c r="D1891" s="109"/>
      <c r="E1891" s="110"/>
      <c r="G1891" s="109"/>
      <c r="H1891" s="109"/>
    </row>
    <row r="1892" spans="4:8" ht="15" thickBot="1" x14ac:dyDescent="0.35">
      <c r="D1892" s="109"/>
      <c r="E1892" s="110"/>
      <c r="G1892" s="109"/>
      <c r="H1892" s="109"/>
    </row>
    <row r="1893" spans="4:8" ht="15" thickBot="1" x14ac:dyDescent="0.35">
      <c r="D1893" s="109"/>
      <c r="E1893" s="110"/>
      <c r="G1893" s="109"/>
      <c r="H1893" s="109"/>
    </row>
    <row r="1894" spans="4:8" ht="15" thickBot="1" x14ac:dyDescent="0.35">
      <c r="D1894" s="109"/>
      <c r="E1894" s="110"/>
      <c r="G1894" s="109"/>
      <c r="H1894" s="109"/>
    </row>
    <row r="1895" spans="4:8" ht="15" thickBot="1" x14ac:dyDescent="0.35">
      <c r="D1895" s="109"/>
      <c r="E1895" s="110"/>
      <c r="G1895" s="109"/>
      <c r="H1895" s="109"/>
    </row>
    <row r="1896" spans="4:8" ht="15" thickBot="1" x14ac:dyDescent="0.35">
      <c r="D1896" s="109"/>
      <c r="E1896" s="110"/>
      <c r="G1896" s="109"/>
      <c r="H1896" s="109"/>
    </row>
    <row r="1897" spans="4:8" ht="15" thickBot="1" x14ac:dyDescent="0.35">
      <c r="D1897" s="109"/>
      <c r="E1897" s="110"/>
      <c r="G1897" s="109"/>
      <c r="H1897" s="109"/>
    </row>
    <row r="1898" spans="4:8" ht="15" thickBot="1" x14ac:dyDescent="0.35">
      <c r="D1898" s="109"/>
      <c r="E1898" s="110"/>
      <c r="G1898" s="109"/>
      <c r="H1898" s="109"/>
    </row>
    <row r="1899" spans="4:8" ht="15" thickBot="1" x14ac:dyDescent="0.35">
      <c r="D1899" s="109"/>
      <c r="E1899" s="110"/>
      <c r="G1899" s="109"/>
      <c r="H1899" s="109"/>
    </row>
    <row r="1900" spans="4:8" ht="15" thickBot="1" x14ac:dyDescent="0.35">
      <c r="D1900" s="109"/>
      <c r="E1900" s="110"/>
      <c r="G1900" s="109"/>
      <c r="H1900" s="109"/>
    </row>
    <row r="1901" spans="4:8" ht="15" thickBot="1" x14ac:dyDescent="0.35">
      <c r="D1901" s="109"/>
      <c r="E1901" s="110"/>
      <c r="G1901" s="109"/>
      <c r="H1901" s="109"/>
    </row>
    <row r="1902" spans="4:8" ht="15" thickBot="1" x14ac:dyDescent="0.35">
      <c r="D1902" s="109"/>
      <c r="E1902" s="110"/>
      <c r="G1902" s="109"/>
      <c r="H1902" s="109"/>
    </row>
    <row r="1903" spans="4:8" ht="15" thickBot="1" x14ac:dyDescent="0.35">
      <c r="D1903" s="109"/>
      <c r="E1903" s="110"/>
      <c r="G1903" s="109"/>
      <c r="H1903" s="109"/>
    </row>
    <row r="1904" spans="4:8" ht="15" thickBot="1" x14ac:dyDescent="0.35">
      <c r="D1904" s="109"/>
      <c r="E1904" s="110"/>
      <c r="G1904" s="109"/>
      <c r="H1904" s="109"/>
    </row>
    <row r="1905" spans="4:8" ht="15" thickBot="1" x14ac:dyDescent="0.35">
      <c r="D1905" s="109"/>
      <c r="E1905" s="110"/>
      <c r="G1905" s="109"/>
      <c r="H1905" s="109"/>
    </row>
    <row r="1906" spans="4:8" ht="15" thickBot="1" x14ac:dyDescent="0.35">
      <c r="D1906" s="109"/>
      <c r="E1906" s="110"/>
      <c r="G1906" s="109"/>
      <c r="H1906" s="109"/>
    </row>
    <row r="1907" spans="4:8" ht="15" thickBot="1" x14ac:dyDescent="0.35">
      <c r="D1907" s="109"/>
      <c r="E1907" s="110"/>
      <c r="G1907" s="109"/>
      <c r="H1907" s="109"/>
    </row>
    <row r="1908" spans="4:8" ht="15" thickBot="1" x14ac:dyDescent="0.35">
      <c r="D1908" s="109"/>
      <c r="E1908" s="110"/>
      <c r="G1908" s="109"/>
      <c r="H1908" s="109"/>
    </row>
    <row r="1909" spans="4:8" ht="15" thickBot="1" x14ac:dyDescent="0.35">
      <c r="D1909" s="109"/>
      <c r="E1909" s="110"/>
      <c r="G1909" s="109"/>
      <c r="H1909" s="109"/>
    </row>
    <row r="1910" spans="4:8" ht="15" thickBot="1" x14ac:dyDescent="0.35">
      <c r="D1910" s="109"/>
      <c r="E1910" s="110"/>
      <c r="G1910" s="109"/>
      <c r="H1910" s="109"/>
    </row>
    <row r="1911" spans="4:8" ht="15" thickBot="1" x14ac:dyDescent="0.35">
      <c r="D1911" s="109"/>
      <c r="E1911" s="110"/>
      <c r="G1911" s="109"/>
      <c r="H1911" s="109"/>
    </row>
    <row r="1912" spans="4:8" ht="15" thickBot="1" x14ac:dyDescent="0.35">
      <c r="D1912" s="109"/>
      <c r="E1912" s="110"/>
      <c r="G1912" s="109"/>
      <c r="H1912" s="109"/>
    </row>
    <row r="1913" spans="4:8" ht="15" thickBot="1" x14ac:dyDescent="0.35">
      <c r="D1913" s="109"/>
      <c r="E1913" s="110"/>
      <c r="G1913" s="109"/>
      <c r="H1913" s="109"/>
    </row>
    <row r="1914" spans="4:8" ht="15" thickBot="1" x14ac:dyDescent="0.35">
      <c r="D1914" s="109"/>
      <c r="E1914" s="110"/>
      <c r="G1914" s="109"/>
      <c r="H1914" s="109"/>
    </row>
    <row r="1915" spans="4:8" ht="15" thickBot="1" x14ac:dyDescent="0.35">
      <c r="D1915" s="109"/>
      <c r="E1915" s="110"/>
      <c r="G1915" s="109"/>
      <c r="H1915" s="109"/>
    </row>
    <row r="1916" spans="4:8" ht="15" thickBot="1" x14ac:dyDescent="0.35">
      <c r="D1916" s="109"/>
      <c r="E1916" s="110"/>
      <c r="G1916" s="109"/>
      <c r="H1916" s="109"/>
    </row>
    <row r="1917" spans="4:8" ht="15" thickBot="1" x14ac:dyDescent="0.35">
      <c r="D1917" s="109"/>
      <c r="E1917" s="110"/>
      <c r="G1917" s="109"/>
      <c r="H1917" s="109"/>
    </row>
    <row r="1918" spans="4:8" ht="15" thickBot="1" x14ac:dyDescent="0.35">
      <c r="D1918" s="109"/>
      <c r="E1918" s="110"/>
      <c r="G1918" s="109"/>
      <c r="H1918" s="109"/>
    </row>
    <row r="1919" spans="4:8" ht="15" thickBot="1" x14ac:dyDescent="0.35">
      <c r="D1919" s="109"/>
      <c r="E1919" s="110"/>
      <c r="G1919" s="109"/>
      <c r="H1919" s="109"/>
    </row>
    <row r="1920" spans="4:8" ht="15" thickBot="1" x14ac:dyDescent="0.35">
      <c r="D1920" s="109"/>
      <c r="E1920" s="110"/>
      <c r="G1920" s="109"/>
      <c r="H1920" s="109"/>
    </row>
    <row r="1921" spans="4:8" ht="15" thickBot="1" x14ac:dyDescent="0.35">
      <c r="D1921" s="109"/>
      <c r="E1921" s="110"/>
      <c r="G1921" s="109"/>
      <c r="H1921" s="109"/>
    </row>
    <row r="1922" spans="4:8" ht="15" thickBot="1" x14ac:dyDescent="0.35">
      <c r="D1922" s="109"/>
      <c r="E1922" s="110"/>
      <c r="G1922" s="109"/>
      <c r="H1922" s="109"/>
    </row>
    <row r="1923" spans="4:8" ht="15" thickBot="1" x14ac:dyDescent="0.35">
      <c r="D1923" s="109"/>
      <c r="E1923" s="110"/>
      <c r="G1923" s="109"/>
      <c r="H1923" s="109"/>
    </row>
    <row r="1924" spans="4:8" ht="15" thickBot="1" x14ac:dyDescent="0.35">
      <c r="D1924" s="109"/>
      <c r="E1924" s="110"/>
      <c r="G1924" s="109"/>
      <c r="H1924" s="109"/>
    </row>
    <row r="1925" spans="4:8" ht="15" thickBot="1" x14ac:dyDescent="0.35">
      <c r="D1925" s="109"/>
      <c r="E1925" s="110"/>
      <c r="G1925" s="109"/>
      <c r="H1925" s="109"/>
    </row>
    <row r="1926" spans="4:8" ht="15" thickBot="1" x14ac:dyDescent="0.35">
      <c r="D1926" s="109"/>
      <c r="E1926" s="110"/>
      <c r="G1926" s="109"/>
      <c r="H1926" s="109"/>
    </row>
    <row r="1927" spans="4:8" ht="15" thickBot="1" x14ac:dyDescent="0.35">
      <c r="D1927" s="109"/>
      <c r="E1927" s="110"/>
      <c r="G1927" s="109"/>
      <c r="H1927" s="109"/>
    </row>
    <row r="1928" spans="4:8" ht="15" thickBot="1" x14ac:dyDescent="0.35">
      <c r="D1928" s="109"/>
      <c r="E1928" s="110"/>
      <c r="G1928" s="109"/>
      <c r="H1928" s="109"/>
    </row>
    <row r="1929" spans="4:8" ht="15" thickBot="1" x14ac:dyDescent="0.35">
      <c r="D1929" s="109"/>
      <c r="E1929" s="110"/>
      <c r="G1929" s="109"/>
      <c r="H1929" s="109"/>
    </row>
    <row r="1930" spans="4:8" ht="15" thickBot="1" x14ac:dyDescent="0.35">
      <c r="D1930" s="109"/>
      <c r="E1930" s="110"/>
      <c r="G1930" s="109"/>
      <c r="H1930" s="109"/>
    </row>
    <row r="1931" spans="4:8" ht="15" thickBot="1" x14ac:dyDescent="0.35">
      <c r="D1931" s="109"/>
      <c r="E1931" s="110"/>
      <c r="G1931" s="109"/>
      <c r="H1931" s="109"/>
    </row>
    <row r="1932" spans="4:8" ht="15" thickBot="1" x14ac:dyDescent="0.35">
      <c r="D1932" s="109"/>
      <c r="E1932" s="110"/>
      <c r="G1932" s="109"/>
      <c r="H1932" s="109"/>
    </row>
    <row r="1933" spans="4:8" ht="15" thickBot="1" x14ac:dyDescent="0.35">
      <c r="D1933" s="109"/>
      <c r="E1933" s="110"/>
      <c r="G1933" s="109"/>
      <c r="H1933" s="109"/>
    </row>
    <row r="1934" spans="4:8" ht="15" thickBot="1" x14ac:dyDescent="0.35">
      <c r="D1934" s="109"/>
      <c r="E1934" s="110"/>
      <c r="G1934" s="109"/>
      <c r="H1934" s="109"/>
    </row>
    <row r="1935" spans="4:8" ht="15" thickBot="1" x14ac:dyDescent="0.35">
      <c r="D1935" s="109"/>
      <c r="E1935" s="110"/>
      <c r="G1935" s="109"/>
      <c r="H1935" s="109"/>
    </row>
    <row r="1936" spans="4:8" ht="15" thickBot="1" x14ac:dyDescent="0.35">
      <c r="D1936" s="109"/>
      <c r="E1936" s="110"/>
      <c r="G1936" s="109"/>
      <c r="H1936" s="109"/>
    </row>
    <row r="1937" spans="4:8" ht="15" thickBot="1" x14ac:dyDescent="0.35">
      <c r="D1937" s="109"/>
      <c r="E1937" s="110"/>
      <c r="G1937" s="109"/>
      <c r="H1937" s="109"/>
    </row>
    <row r="1938" spans="4:8" ht="15" thickBot="1" x14ac:dyDescent="0.35">
      <c r="D1938" s="109"/>
      <c r="E1938" s="110"/>
      <c r="G1938" s="109"/>
      <c r="H1938" s="109"/>
    </row>
    <row r="1939" spans="4:8" ht="15" thickBot="1" x14ac:dyDescent="0.35">
      <c r="D1939" s="109"/>
      <c r="E1939" s="110"/>
      <c r="G1939" s="109"/>
      <c r="H1939" s="109"/>
    </row>
    <row r="1940" spans="4:8" ht="15" thickBot="1" x14ac:dyDescent="0.35">
      <c r="D1940" s="109"/>
      <c r="E1940" s="110"/>
      <c r="G1940" s="109"/>
      <c r="H1940" s="109"/>
    </row>
    <row r="1941" spans="4:8" ht="15" thickBot="1" x14ac:dyDescent="0.35">
      <c r="D1941" s="109"/>
      <c r="E1941" s="110"/>
      <c r="G1941" s="109"/>
      <c r="H1941" s="109"/>
    </row>
    <row r="1942" spans="4:8" ht="15" thickBot="1" x14ac:dyDescent="0.35">
      <c r="D1942" s="109"/>
      <c r="E1942" s="110"/>
      <c r="G1942" s="109"/>
      <c r="H1942" s="109"/>
    </row>
    <row r="1943" spans="4:8" ht="15" thickBot="1" x14ac:dyDescent="0.35">
      <c r="D1943" s="109"/>
      <c r="E1943" s="110"/>
      <c r="G1943" s="109"/>
      <c r="H1943" s="109"/>
    </row>
    <row r="1944" spans="4:8" ht="15" thickBot="1" x14ac:dyDescent="0.35">
      <c r="D1944" s="109"/>
      <c r="E1944" s="110"/>
      <c r="G1944" s="109"/>
      <c r="H1944" s="109"/>
    </row>
    <row r="1945" spans="4:8" ht="15" thickBot="1" x14ac:dyDescent="0.35">
      <c r="D1945" s="109"/>
      <c r="E1945" s="110"/>
      <c r="G1945" s="109"/>
      <c r="H1945" s="109"/>
    </row>
    <row r="1946" spans="4:8" ht="15" thickBot="1" x14ac:dyDescent="0.35">
      <c r="D1946" s="109"/>
      <c r="E1946" s="110"/>
      <c r="G1946" s="109"/>
      <c r="H1946" s="109"/>
    </row>
    <row r="1947" spans="4:8" ht="15" thickBot="1" x14ac:dyDescent="0.35">
      <c r="D1947" s="109"/>
      <c r="E1947" s="110"/>
      <c r="G1947" s="109"/>
      <c r="H1947" s="109"/>
    </row>
    <row r="1948" spans="4:8" ht="15" thickBot="1" x14ac:dyDescent="0.35">
      <c r="D1948" s="109"/>
      <c r="E1948" s="110"/>
      <c r="G1948" s="109"/>
      <c r="H1948" s="109"/>
    </row>
    <row r="1949" spans="4:8" ht="15" thickBot="1" x14ac:dyDescent="0.35">
      <c r="D1949" s="109"/>
      <c r="E1949" s="110"/>
      <c r="G1949" s="109"/>
      <c r="H1949" s="109"/>
    </row>
    <row r="1950" spans="4:8" ht="15" thickBot="1" x14ac:dyDescent="0.35">
      <c r="D1950" s="109"/>
      <c r="E1950" s="110"/>
      <c r="G1950" s="109"/>
      <c r="H1950" s="109"/>
    </row>
    <row r="1951" spans="4:8" ht="15" thickBot="1" x14ac:dyDescent="0.35">
      <c r="D1951" s="109"/>
      <c r="E1951" s="110"/>
      <c r="G1951" s="109"/>
      <c r="H1951" s="109"/>
    </row>
    <row r="1952" spans="4:8" ht="15" thickBot="1" x14ac:dyDescent="0.35">
      <c r="D1952" s="109"/>
      <c r="E1952" s="110"/>
      <c r="G1952" s="109"/>
      <c r="H1952" s="109"/>
    </row>
    <row r="1953" spans="4:8" ht="15" thickBot="1" x14ac:dyDescent="0.35">
      <c r="D1953" s="109"/>
      <c r="E1953" s="110"/>
      <c r="G1953" s="109"/>
      <c r="H1953" s="109"/>
    </row>
    <row r="1954" spans="4:8" ht="15" thickBot="1" x14ac:dyDescent="0.35">
      <c r="D1954" s="109"/>
      <c r="E1954" s="110"/>
      <c r="G1954" s="109"/>
      <c r="H1954" s="109"/>
    </row>
    <row r="1955" spans="4:8" ht="15" thickBot="1" x14ac:dyDescent="0.35">
      <c r="D1955" s="109"/>
      <c r="E1955" s="110"/>
      <c r="G1955" s="109"/>
      <c r="H1955" s="109"/>
    </row>
    <row r="1956" spans="4:8" ht="15" thickBot="1" x14ac:dyDescent="0.35">
      <c r="D1956" s="109"/>
      <c r="E1956" s="110"/>
      <c r="G1956" s="109"/>
      <c r="H1956" s="109"/>
    </row>
    <row r="1957" spans="4:8" ht="15" thickBot="1" x14ac:dyDescent="0.35">
      <c r="D1957" s="109"/>
      <c r="E1957" s="110"/>
      <c r="G1957" s="109"/>
      <c r="H1957" s="109"/>
    </row>
    <row r="1958" spans="4:8" ht="15" thickBot="1" x14ac:dyDescent="0.35">
      <c r="D1958" s="109"/>
      <c r="E1958" s="110"/>
      <c r="G1958" s="109"/>
      <c r="H1958" s="109"/>
    </row>
    <row r="1959" spans="4:8" ht="15" thickBot="1" x14ac:dyDescent="0.35">
      <c r="D1959" s="109"/>
      <c r="E1959" s="110"/>
      <c r="G1959" s="109"/>
      <c r="H1959" s="109"/>
    </row>
    <row r="1960" spans="4:8" ht="15" thickBot="1" x14ac:dyDescent="0.35">
      <c r="D1960" s="109"/>
      <c r="E1960" s="110"/>
      <c r="G1960" s="109"/>
      <c r="H1960" s="109"/>
    </row>
    <row r="1961" spans="4:8" ht="15" thickBot="1" x14ac:dyDescent="0.35">
      <c r="D1961" s="109"/>
      <c r="E1961" s="110"/>
      <c r="G1961" s="109"/>
      <c r="H1961" s="109"/>
    </row>
    <row r="1962" spans="4:8" ht="15" thickBot="1" x14ac:dyDescent="0.35">
      <c r="D1962" s="109"/>
      <c r="E1962" s="110"/>
      <c r="G1962" s="109"/>
      <c r="H1962" s="109"/>
    </row>
    <row r="1963" spans="4:8" ht="15" thickBot="1" x14ac:dyDescent="0.35">
      <c r="D1963" s="109"/>
      <c r="E1963" s="110"/>
      <c r="G1963" s="109"/>
      <c r="H1963" s="109"/>
    </row>
    <row r="1964" spans="4:8" ht="15" thickBot="1" x14ac:dyDescent="0.35">
      <c r="D1964" s="109"/>
      <c r="E1964" s="110"/>
      <c r="G1964" s="109"/>
      <c r="H1964" s="109"/>
    </row>
    <row r="1965" spans="4:8" ht="15" thickBot="1" x14ac:dyDescent="0.35">
      <c r="D1965" s="109"/>
      <c r="E1965" s="110"/>
      <c r="G1965" s="109"/>
      <c r="H1965" s="109"/>
    </row>
    <row r="1966" spans="4:8" ht="15" thickBot="1" x14ac:dyDescent="0.35">
      <c r="D1966" s="109"/>
      <c r="E1966" s="110"/>
      <c r="G1966" s="109"/>
      <c r="H1966" s="109"/>
    </row>
    <row r="1967" spans="4:8" ht="15" thickBot="1" x14ac:dyDescent="0.35">
      <c r="D1967" s="109"/>
      <c r="E1967" s="110"/>
      <c r="G1967" s="109"/>
      <c r="H1967" s="109"/>
    </row>
    <row r="1968" spans="4:8" ht="15" thickBot="1" x14ac:dyDescent="0.35">
      <c r="D1968" s="109"/>
      <c r="E1968" s="110"/>
      <c r="G1968" s="109"/>
      <c r="H1968" s="109"/>
    </row>
    <row r="1969" spans="4:8" ht="15" thickBot="1" x14ac:dyDescent="0.35">
      <c r="D1969" s="109"/>
      <c r="E1969" s="110"/>
      <c r="G1969" s="109"/>
      <c r="H1969" s="109"/>
    </row>
    <row r="1970" spans="4:8" ht="15" thickBot="1" x14ac:dyDescent="0.35">
      <c r="D1970" s="109"/>
      <c r="E1970" s="110"/>
      <c r="G1970" s="109"/>
      <c r="H1970" s="109"/>
    </row>
    <row r="1971" spans="4:8" ht="15" thickBot="1" x14ac:dyDescent="0.35">
      <c r="D1971" s="109"/>
      <c r="E1971" s="110"/>
      <c r="G1971" s="109"/>
      <c r="H1971" s="109"/>
    </row>
    <row r="1972" spans="4:8" ht="15" thickBot="1" x14ac:dyDescent="0.35">
      <c r="D1972" s="109"/>
      <c r="E1972" s="110"/>
      <c r="G1972" s="109"/>
      <c r="H1972" s="109"/>
    </row>
    <row r="1973" spans="4:8" ht="15" thickBot="1" x14ac:dyDescent="0.35">
      <c r="D1973" s="109"/>
      <c r="E1973" s="110"/>
      <c r="G1973" s="109"/>
      <c r="H1973" s="109"/>
    </row>
    <row r="1974" spans="4:8" ht="15" thickBot="1" x14ac:dyDescent="0.35">
      <c r="D1974" s="109"/>
      <c r="E1974" s="110"/>
      <c r="G1974" s="109"/>
      <c r="H1974" s="109"/>
    </row>
    <row r="1975" spans="4:8" ht="15" thickBot="1" x14ac:dyDescent="0.35">
      <c r="D1975" s="109"/>
      <c r="E1975" s="110"/>
      <c r="G1975" s="109"/>
      <c r="H1975" s="109"/>
    </row>
    <row r="1976" spans="4:8" ht="15" thickBot="1" x14ac:dyDescent="0.35">
      <c r="D1976" s="109"/>
      <c r="E1976" s="110"/>
      <c r="G1976" s="109"/>
      <c r="H1976" s="109"/>
    </row>
    <row r="1977" spans="4:8" ht="15" thickBot="1" x14ac:dyDescent="0.35">
      <c r="D1977" s="109"/>
      <c r="E1977" s="110"/>
      <c r="G1977" s="109"/>
      <c r="H1977" s="109"/>
    </row>
    <row r="1978" spans="4:8" ht="15" thickBot="1" x14ac:dyDescent="0.35">
      <c r="D1978" s="109"/>
      <c r="E1978" s="110"/>
      <c r="G1978" s="109"/>
      <c r="H1978" s="109"/>
    </row>
    <row r="1979" spans="4:8" ht="15" thickBot="1" x14ac:dyDescent="0.35">
      <c r="D1979" s="109"/>
      <c r="E1979" s="110"/>
      <c r="G1979" s="109"/>
      <c r="H1979" s="109"/>
    </row>
    <row r="1980" spans="4:8" ht="15" thickBot="1" x14ac:dyDescent="0.35">
      <c r="D1980" s="109"/>
      <c r="E1980" s="110"/>
      <c r="G1980" s="109"/>
      <c r="H1980" s="109"/>
    </row>
    <row r="1981" spans="4:8" ht="15" thickBot="1" x14ac:dyDescent="0.35">
      <c r="D1981" s="109"/>
      <c r="E1981" s="110"/>
      <c r="G1981" s="109"/>
      <c r="H1981" s="109"/>
    </row>
    <row r="1982" spans="4:8" ht="15" thickBot="1" x14ac:dyDescent="0.35">
      <c r="D1982" s="109"/>
      <c r="E1982" s="110"/>
      <c r="G1982" s="109"/>
      <c r="H1982" s="109"/>
    </row>
    <row r="1983" spans="4:8" ht="15" thickBot="1" x14ac:dyDescent="0.35">
      <c r="D1983" s="109"/>
      <c r="E1983" s="110"/>
      <c r="G1983" s="109"/>
      <c r="H1983" s="109"/>
    </row>
    <row r="1984" spans="4:8" ht="15" thickBot="1" x14ac:dyDescent="0.35">
      <c r="D1984" s="109"/>
      <c r="E1984" s="110"/>
      <c r="G1984" s="109"/>
      <c r="H1984" s="109"/>
    </row>
    <row r="1985" spans="4:8" ht="15" thickBot="1" x14ac:dyDescent="0.35">
      <c r="D1985" s="109"/>
      <c r="E1985" s="110"/>
      <c r="G1985" s="109"/>
      <c r="H1985" s="109"/>
    </row>
    <row r="1986" spans="4:8" ht="15" thickBot="1" x14ac:dyDescent="0.35">
      <c r="D1986" s="109"/>
      <c r="E1986" s="110"/>
      <c r="G1986" s="109"/>
      <c r="H1986" s="109"/>
    </row>
    <row r="1987" spans="4:8" ht="15" thickBot="1" x14ac:dyDescent="0.35">
      <c r="D1987" s="109"/>
      <c r="E1987" s="110"/>
      <c r="G1987" s="109"/>
      <c r="H1987" s="109"/>
    </row>
    <row r="1988" spans="4:8" ht="15" thickBot="1" x14ac:dyDescent="0.35">
      <c r="D1988" s="109"/>
      <c r="E1988" s="110"/>
      <c r="G1988" s="109"/>
      <c r="H1988" s="109"/>
    </row>
    <row r="1989" spans="4:8" ht="15" thickBot="1" x14ac:dyDescent="0.35">
      <c r="D1989" s="109"/>
      <c r="E1989" s="110"/>
      <c r="G1989" s="109"/>
      <c r="H1989" s="109"/>
    </row>
    <row r="1990" spans="4:8" ht="15" thickBot="1" x14ac:dyDescent="0.35">
      <c r="D1990" s="109"/>
      <c r="E1990" s="110"/>
      <c r="G1990" s="109"/>
      <c r="H1990" s="109"/>
    </row>
    <row r="1991" spans="4:8" ht="15" thickBot="1" x14ac:dyDescent="0.35">
      <c r="D1991" s="109"/>
      <c r="E1991" s="110"/>
      <c r="G1991" s="109"/>
      <c r="H1991" s="109"/>
    </row>
    <row r="1992" spans="4:8" ht="15" thickBot="1" x14ac:dyDescent="0.35">
      <c r="D1992" s="109"/>
      <c r="E1992" s="110"/>
      <c r="G1992" s="109"/>
      <c r="H1992" s="109"/>
    </row>
    <row r="1993" spans="4:8" ht="15" thickBot="1" x14ac:dyDescent="0.35">
      <c r="D1993" s="109"/>
      <c r="E1993" s="110"/>
      <c r="G1993" s="109"/>
      <c r="H1993" s="109"/>
    </row>
    <row r="1994" spans="4:8" ht="15" thickBot="1" x14ac:dyDescent="0.35">
      <c r="D1994" s="109"/>
      <c r="E1994" s="110"/>
      <c r="G1994" s="109"/>
      <c r="H1994" s="109"/>
    </row>
    <row r="1995" spans="4:8" ht="15" thickBot="1" x14ac:dyDescent="0.35">
      <c r="D1995" s="109"/>
      <c r="E1995" s="110"/>
      <c r="G1995" s="109"/>
      <c r="H1995" s="109"/>
    </row>
    <row r="1996" spans="4:8" ht="15" thickBot="1" x14ac:dyDescent="0.35">
      <c r="D1996" s="109"/>
      <c r="E1996" s="110"/>
      <c r="G1996" s="109"/>
      <c r="H1996" s="109"/>
    </row>
    <row r="1997" spans="4:8" ht="15" thickBot="1" x14ac:dyDescent="0.35">
      <c r="D1997" s="109"/>
      <c r="E1997" s="110"/>
      <c r="G1997" s="109"/>
      <c r="H1997" s="109"/>
    </row>
    <row r="1998" spans="4:8" ht="15" thickBot="1" x14ac:dyDescent="0.35">
      <c r="D1998" s="109"/>
      <c r="E1998" s="110"/>
      <c r="G1998" s="109"/>
      <c r="H1998" s="109"/>
    </row>
    <row r="1999" spans="4:8" ht="15" thickBot="1" x14ac:dyDescent="0.35">
      <c r="D1999" s="109"/>
      <c r="E1999" s="110"/>
      <c r="G1999" s="109"/>
      <c r="H1999" s="109"/>
    </row>
    <row r="2000" spans="4:8" ht="15" thickBot="1" x14ac:dyDescent="0.35">
      <c r="D2000" s="109"/>
      <c r="E2000" s="110"/>
      <c r="G2000" s="109"/>
      <c r="H2000" s="109"/>
    </row>
    <row r="2001" spans="4:8" ht="15" thickBot="1" x14ac:dyDescent="0.35">
      <c r="D2001" s="109"/>
      <c r="E2001" s="110"/>
      <c r="G2001" s="109"/>
      <c r="H2001" s="109"/>
    </row>
    <row r="2002" spans="4:8" ht="15" thickBot="1" x14ac:dyDescent="0.35">
      <c r="D2002" s="109"/>
      <c r="E2002" s="110"/>
      <c r="G2002" s="109"/>
      <c r="H2002" s="109"/>
    </row>
    <row r="2003" spans="4:8" ht="15" thickBot="1" x14ac:dyDescent="0.35">
      <c r="D2003" s="109"/>
      <c r="E2003" s="110"/>
      <c r="G2003" s="109"/>
      <c r="H2003" s="109"/>
    </row>
    <row r="2004" spans="4:8" ht="15" thickBot="1" x14ac:dyDescent="0.35">
      <c r="D2004" s="109"/>
      <c r="E2004" s="110"/>
      <c r="G2004" s="109"/>
      <c r="H2004" s="109"/>
    </row>
    <row r="2005" spans="4:8" ht="15" thickBot="1" x14ac:dyDescent="0.35">
      <c r="D2005" s="109"/>
      <c r="E2005" s="110"/>
      <c r="G2005" s="109"/>
      <c r="H2005" s="109"/>
    </row>
    <row r="2006" spans="4:8" ht="15" thickBot="1" x14ac:dyDescent="0.35">
      <c r="D2006" s="109"/>
      <c r="E2006" s="110"/>
      <c r="G2006" s="109"/>
      <c r="H2006" s="109"/>
    </row>
    <row r="2007" spans="4:8" ht="15" thickBot="1" x14ac:dyDescent="0.35">
      <c r="D2007" s="109"/>
      <c r="E2007" s="110"/>
      <c r="G2007" s="109"/>
      <c r="H2007" s="109"/>
    </row>
    <row r="2008" spans="4:8" ht="15" thickBot="1" x14ac:dyDescent="0.35">
      <c r="D2008" s="109"/>
      <c r="E2008" s="110"/>
      <c r="G2008" s="109"/>
      <c r="H2008" s="109"/>
    </row>
    <row r="2009" spans="4:8" ht="15" thickBot="1" x14ac:dyDescent="0.35">
      <c r="D2009" s="109"/>
      <c r="E2009" s="110"/>
      <c r="G2009" s="109"/>
      <c r="H2009" s="109"/>
    </row>
    <row r="2010" spans="4:8" ht="15" thickBot="1" x14ac:dyDescent="0.35">
      <c r="D2010" s="109"/>
      <c r="E2010" s="110"/>
      <c r="G2010" s="109"/>
      <c r="H2010" s="109"/>
    </row>
    <row r="2011" spans="4:8" ht="15" thickBot="1" x14ac:dyDescent="0.35">
      <c r="D2011" s="109"/>
      <c r="E2011" s="110"/>
      <c r="G2011" s="109"/>
      <c r="H2011" s="109"/>
    </row>
    <row r="2012" spans="4:8" ht="15" thickBot="1" x14ac:dyDescent="0.35">
      <c r="D2012" s="109"/>
      <c r="E2012" s="110"/>
      <c r="G2012" s="109"/>
      <c r="H2012" s="109"/>
    </row>
    <row r="2013" spans="4:8" ht="15" thickBot="1" x14ac:dyDescent="0.35">
      <c r="D2013" s="109"/>
      <c r="E2013" s="110"/>
      <c r="G2013" s="109"/>
      <c r="H2013" s="109"/>
    </row>
    <row r="2014" spans="4:8" ht="15" thickBot="1" x14ac:dyDescent="0.35">
      <c r="D2014" s="109"/>
      <c r="E2014" s="110"/>
      <c r="G2014" s="109"/>
      <c r="H2014" s="109"/>
    </row>
    <row r="2015" spans="4:8" ht="15" thickBot="1" x14ac:dyDescent="0.35">
      <c r="D2015" s="109"/>
      <c r="E2015" s="110"/>
      <c r="G2015" s="109"/>
      <c r="H2015" s="109"/>
    </row>
    <row r="2016" spans="4:8" ht="15" thickBot="1" x14ac:dyDescent="0.35">
      <c r="D2016" s="109"/>
      <c r="E2016" s="110"/>
      <c r="G2016" s="109"/>
      <c r="H2016" s="109"/>
    </row>
    <row r="2017" spans="4:8" ht="15" thickBot="1" x14ac:dyDescent="0.35">
      <c r="D2017" s="109"/>
      <c r="E2017" s="110"/>
      <c r="G2017" s="109"/>
      <c r="H2017" s="109"/>
    </row>
    <row r="2018" spans="4:8" ht="15" thickBot="1" x14ac:dyDescent="0.35">
      <c r="D2018" s="109"/>
      <c r="E2018" s="110"/>
      <c r="G2018" s="109"/>
      <c r="H2018" s="109"/>
    </row>
    <row r="2019" spans="4:8" ht="15" thickBot="1" x14ac:dyDescent="0.35">
      <c r="D2019" s="109"/>
      <c r="E2019" s="110"/>
      <c r="G2019" s="109"/>
      <c r="H2019" s="109"/>
    </row>
    <row r="2020" spans="4:8" ht="15" thickBot="1" x14ac:dyDescent="0.35">
      <c r="D2020" s="109"/>
      <c r="E2020" s="110"/>
      <c r="G2020" s="109"/>
      <c r="H2020" s="109"/>
    </row>
    <row r="2021" spans="4:8" ht="15" thickBot="1" x14ac:dyDescent="0.35">
      <c r="D2021" s="109"/>
      <c r="E2021" s="110"/>
      <c r="G2021" s="109"/>
      <c r="H2021" s="109"/>
    </row>
    <row r="2022" spans="4:8" ht="15" thickBot="1" x14ac:dyDescent="0.35">
      <c r="D2022" s="109"/>
      <c r="E2022" s="110"/>
      <c r="G2022" s="109"/>
      <c r="H2022" s="109"/>
    </row>
    <row r="2023" spans="4:8" ht="15" thickBot="1" x14ac:dyDescent="0.35">
      <c r="D2023" s="109"/>
      <c r="E2023" s="110"/>
      <c r="G2023" s="109"/>
      <c r="H2023" s="109"/>
    </row>
    <row r="2024" spans="4:8" ht="15" thickBot="1" x14ac:dyDescent="0.35">
      <c r="D2024" s="109"/>
      <c r="E2024" s="110"/>
      <c r="G2024" s="109"/>
      <c r="H2024" s="109"/>
    </row>
    <row r="2025" spans="4:8" ht="15" thickBot="1" x14ac:dyDescent="0.35">
      <c r="D2025" s="109"/>
      <c r="E2025" s="110"/>
      <c r="G2025" s="109"/>
      <c r="H2025" s="109"/>
    </row>
    <row r="2026" spans="4:8" ht="15" thickBot="1" x14ac:dyDescent="0.35">
      <c r="D2026" s="109"/>
      <c r="E2026" s="110"/>
      <c r="G2026" s="109"/>
      <c r="H2026" s="109"/>
    </row>
    <row r="2027" spans="4:8" ht="15" thickBot="1" x14ac:dyDescent="0.35">
      <c r="D2027" s="109"/>
      <c r="E2027" s="110"/>
      <c r="G2027" s="109"/>
      <c r="H2027" s="109"/>
    </row>
    <row r="2028" spans="4:8" ht="15" thickBot="1" x14ac:dyDescent="0.35">
      <c r="D2028" s="109"/>
      <c r="E2028" s="110"/>
      <c r="G2028" s="109"/>
      <c r="H2028" s="109"/>
    </row>
    <row r="2029" spans="4:8" ht="15" thickBot="1" x14ac:dyDescent="0.35">
      <c r="D2029" s="109"/>
      <c r="E2029" s="110"/>
      <c r="G2029" s="109"/>
      <c r="H2029" s="109"/>
    </row>
    <row r="2030" spans="4:8" ht="15" thickBot="1" x14ac:dyDescent="0.35">
      <c r="D2030" s="109"/>
      <c r="E2030" s="110"/>
      <c r="G2030" s="109"/>
      <c r="H2030" s="109"/>
    </row>
    <row r="2031" spans="4:8" ht="15" thickBot="1" x14ac:dyDescent="0.35">
      <c r="D2031" s="109"/>
      <c r="E2031" s="110"/>
      <c r="G2031" s="109"/>
      <c r="H2031" s="109"/>
    </row>
    <row r="2032" spans="4:8" ht="15" thickBot="1" x14ac:dyDescent="0.35">
      <c r="D2032" s="109"/>
      <c r="E2032" s="110"/>
      <c r="G2032" s="109"/>
      <c r="H2032" s="109"/>
    </row>
    <row r="2033" spans="4:8" ht="15" thickBot="1" x14ac:dyDescent="0.35">
      <c r="D2033" s="109"/>
      <c r="E2033" s="110"/>
      <c r="G2033" s="109"/>
      <c r="H2033" s="109"/>
    </row>
    <row r="2034" spans="4:8" ht="15" thickBot="1" x14ac:dyDescent="0.35">
      <c r="D2034" s="109"/>
      <c r="E2034" s="110"/>
      <c r="G2034" s="109"/>
      <c r="H2034" s="109"/>
    </row>
    <row r="2035" spans="4:8" ht="15" thickBot="1" x14ac:dyDescent="0.35">
      <c r="D2035" s="109"/>
      <c r="E2035" s="110"/>
      <c r="G2035" s="109"/>
      <c r="H2035" s="109"/>
    </row>
    <row r="2036" spans="4:8" ht="15" thickBot="1" x14ac:dyDescent="0.35">
      <c r="D2036" s="109"/>
      <c r="E2036" s="110"/>
      <c r="G2036" s="109"/>
      <c r="H2036" s="109"/>
    </row>
    <row r="2037" spans="4:8" ht="15" thickBot="1" x14ac:dyDescent="0.35">
      <c r="D2037" s="109"/>
      <c r="E2037" s="110"/>
      <c r="G2037" s="109"/>
      <c r="H2037" s="109"/>
    </row>
    <row r="2038" spans="4:8" ht="15" thickBot="1" x14ac:dyDescent="0.35">
      <c r="D2038" s="109"/>
      <c r="E2038" s="110"/>
      <c r="G2038" s="109"/>
      <c r="H2038" s="109"/>
    </row>
    <row r="2039" spans="4:8" ht="15" thickBot="1" x14ac:dyDescent="0.35">
      <c r="D2039" s="109"/>
      <c r="E2039" s="110"/>
      <c r="G2039" s="109"/>
      <c r="H2039" s="109"/>
    </row>
    <row r="2040" spans="4:8" ht="15" thickBot="1" x14ac:dyDescent="0.35">
      <c r="D2040" s="109"/>
      <c r="E2040" s="110"/>
      <c r="G2040" s="109"/>
      <c r="H2040" s="109"/>
    </row>
    <row r="2041" spans="4:8" ht="15" thickBot="1" x14ac:dyDescent="0.35">
      <c r="D2041" s="109"/>
      <c r="E2041" s="110"/>
      <c r="G2041" s="109"/>
      <c r="H2041" s="109"/>
    </row>
    <row r="2042" spans="4:8" ht="15" thickBot="1" x14ac:dyDescent="0.35">
      <c r="D2042" s="109"/>
      <c r="E2042" s="110"/>
      <c r="G2042" s="109"/>
      <c r="H2042" s="109"/>
    </row>
    <row r="2043" spans="4:8" ht="15" thickBot="1" x14ac:dyDescent="0.35">
      <c r="D2043" s="109"/>
      <c r="E2043" s="110"/>
      <c r="G2043" s="109"/>
      <c r="H2043" s="109"/>
    </row>
    <row r="2044" spans="4:8" ht="15" thickBot="1" x14ac:dyDescent="0.35">
      <c r="D2044" s="109"/>
      <c r="E2044" s="110"/>
      <c r="G2044" s="109"/>
      <c r="H2044" s="109"/>
    </row>
    <row r="2045" spans="4:8" ht="15" thickBot="1" x14ac:dyDescent="0.35">
      <c r="D2045" s="109"/>
      <c r="E2045" s="110"/>
      <c r="G2045" s="109"/>
      <c r="H2045" s="109"/>
    </row>
    <row r="2046" spans="4:8" ht="15" thickBot="1" x14ac:dyDescent="0.35">
      <c r="D2046" s="109"/>
      <c r="E2046" s="110"/>
      <c r="G2046" s="109"/>
      <c r="H2046" s="109"/>
    </row>
    <row r="2047" spans="4:8" ht="15" thickBot="1" x14ac:dyDescent="0.35">
      <c r="D2047" s="109"/>
      <c r="E2047" s="110"/>
      <c r="G2047" s="109"/>
      <c r="H2047" s="109"/>
    </row>
    <row r="2048" spans="4:8" ht="15" thickBot="1" x14ac:dyDescent="0.35">
      <c r="D2048" s="109"/>
      <c r="E2048" s="110"/>
      <c r="G2048" s="109"/>
      <c r="H2048" s="109"/>
    </row>
    <row r="2049" spans="4:8" ht="15" thickBot="1" x14ac:dyDescent="0.35">
      <c r="D2049" s="109"/>
      <c r="E2049" s="110"/>
      <c r="G2049" s="109"/>
      <c r="H2049" s="109"/>
    </row>
    <row r="2050" spans="4:8" ht="15" thickBot="1" x14ac:dyDescent="0.35">
      <c r="D2050" s="109"/>
      <c r="E2050" s="110"/>
      <c r="G2050" s="109"/>
      <c r="H2050" s="109"/>
    </row>
    <row r="2051" spans="4:8" ht="15" thickBot="1" x14ac:dyDescent="0.35">
      <c r="D2051" s="109"/>
      <c r="E2051" s="110"/>
      <c r="G2051" s="109"/>
      <c r="H2051" s="109"/>
    </row>
    <row r="2052" spans="4:8" ht="15" thickBot="1" x14ac:dyDescent="0.35">
      <c r="D2052" s="109"/>
      <c r="E2052" s="110"/>
      <c r="G2052" s="109"/>
      <c r="H2052" s="109"/>
    </row>
    <row r="2053" spans="4:8" ht="15" thickBot="1" x14ac:dyDescent="0.35">
      <c r="D2053" s="109"/>
      <c r="E2053" s="110"/>
      <c r="G2053" s="109"/>
      <c r="H2053" s="109"/>
    </row>
    <row r="2054" spans="4:8" ht="15" thickBot="1" x14ac:dyDescent="0.35">
      <c r="D2054" s="109"/>
      <c r="E2054" s="110"/>
      <c r="G2054" s="109"/>
      <c r="H2054" s="109"/>
    </row>
    <row r="2055" spans="4:8" ht="15" thickBot="1" x14ac:dyDescent="0.35">
      <c r="D2055" s="109"/>
      <c r="E2055" s="110"/>
      <c r="G2055" s="109"/>
      <c r="H2055" s="109"/>
    </row>
    <row r="2056" spans="4:8" ht="15" thickBot="1" x14ac:dyDescent="0.35">
      <c r="D2056" s="109"/>
      <c r="E2056" s="110"/>
      <c r="G2056" s="109"/>
      <c r="H2056" s="109"/>
    </row>
    <row r="2057" spans="4:8" ht="15" thickBot="1" x14ac:dyDescent="0.35">
      <c r="D2057" s="109"/>
      <c r="E2057" s="110"/>
      <c r="G2057" s="109"/>
      <c r="H2057" s="109"/>
    </row>
    <row r="2058" spans="4:8" ht="15" thickBot="1" x14ac:dyDescent="0.35">
      <c r="D2058" s="109"/>
      <c r="E2058" s="110"/>
      <c r="G2058" s="109"/>
      <c r="H2058" s="109"/>
    </row>
    <row r="2059" spans="4:8" ht="15" thickBot="1" x14ac:dyDescent="0.35">
      <c r="D2059" s="109"/>
      <c r="E2059" s="110"/>
      <c r="G2059" s="109"/>
      <c r="H2059" s="109"/>
    </row>
    <row r="2060" spans="4:8" ht="15" thickBot="1" x14ac:dyDescent="0.35">
      <c r="D2060" s="109"/>
      <c r="E2060" s="110"/>
      <c r="G2060" s="109"/>
      <c r="H2060" s="109"/>
    </row>
    <row r="2061" spans="4:8" ht="15" thickBot="1" x14ac:dyDescent="0.35">
      <c r="D2061" s="109"/>
      <c r="E2061" s="110"/>
      <c r="G2061" s="109"/>
      <c r="H2061" s="109"/>
    </row>
    <row r="2062" spans="4:8" ht="15" thickBot="1" x14ac:dyDescent="0.35">
      <c r="D2062" s="109"/>
      <c r="E2062" s="110"/>
      <c r="G2062" s="109"/>
      <c r="H2062" s="109"/>
    </row>
    <row r="2063" spans="4:8" ht="15" thickBot="1" x14ac:dyDescent="0.35">
      <c r="D2063" s="109"/>
      <c r="E2063" s="110"/>
      <c r="G2063" s="109"/>
      <c r="H2063" s="109"/>
    </row>
    <row r="2064" spans="4:8" ht="15" thickBot="1" x14ac:dyDescent="0.35">
      <c r="D2064" s="109"/>
      <c r="E2064" s="110"/>
      <c r="G2064" s="109"/>
      <c r="H2064" s="109"/>
    </row>
    <row r="2065" spans="4:8" ht="15" thickBot="1" x14ac:dyDescent="0.35">
      <c r="D2065" s="109"/>
      <c r="E2065" s="110"/>
      <c r="G2065" s="109"/>
      <c r="H2065" s="109"/>
    </row>
    <row r="2066" spans="4:8" ht="15" thickBot="1" x14ac:dyDescent="0.35">
      <c r="D2066" s="109"/>
      <c r="E2066" s="110"/>
      <c r="G2066" s="109"/>
      <c r="H2066" s="109"/>
    </row>
    <row r="2067" spans="4:8" ht="15" thickBot="1" x14ac:dyDescent="0.35">
      <c r="D2067" s="109"/>
      <c r="E2067" s="110"/>
      <c r="G2067" s="109"/>
      <c r="H2067" s="109"/>
    </row>
    <row r="2068" spans="4:8" ht="15" thickBot="1" x14ac:dyDescent="0.35">
      <c r="D2068" s="109"/>
      <c r="E2068" s="110"/>
      <c r="G2068" s="109"/>
      <c r="H2068" s="109"/>
    </row>
    <row r="2069" spans="4:8" ht="15" thickBot="1" x14ac:dyDescent="0.35">
      <c r="D2069" s="109"/>
      <c r="E2069" s="110"/>
      <c r="G2069" s="109"/>
      <c r="H2069" s="109"/>
    </row>
    <row r="2070" spans="4:8" ht="15" thickBot="1" x14ac:dyDescent="0.35">
      <c r="D2070" s="109"/>
      <c r="E2070" s="110"/>
      <c r="G2070" s="109"/>
      <c r="H2070" s="109"/>
    </row>
    <row r="2071" spans="4:8" ht="15" thickBot="1" x14ac:dyDescent="0.35">
      <c r="D2071" s="109"/>
      <c r="E2071" s="110"/>
      <c r="G2071" s="109"/>
      <c r="H2071" s="109"/>
    </row>
    <row r="2072" spans="4:8" ht="15" thickBot="1" x14ac:dyDescent="0.35">
      <c r="D2072" s="109"/>
      <c r="E2072" s="110"/>
      <c r="G2072" s="109"/>
      <c r="H2072" s="109"/>
    </row>
    <row r="2073" spans="4:8" ht="15" thickBot="1" x14ac:dyDescent="0.35">
      <c r="D2073" s="109"/>
      <c r="E2073" s="110"/>
      <c r="G2073" s="109"/>
      <c r="H2073" s="109"/>
    </row>
    <row r="2074" spans="4:8" ht="15" thickBot="1" x14ac:dyDescent="0.35">
      <c r="D2074" s="109"/>
      <c r="E2074" s="110"/>
      <c r="G2074" s="109"/>
      <c r="H2074" s="109"/>
    </row>
    <row r="2075" spans="4:8" ht="15" thickBot="1" x14ac:dyDescent="0.35">
      <c r="D2075" s="109"/>
      <c r="E2075" s="110"/>
      <c r="G2075" s="109"/>
      <c r="H2075" s="109"/>
    </row>
    <row r="2076" spans="4:8" ht="15" thickBot="1" x14ac:dyDescent="0.35">
      <c r="D2076" s="109"/>
      <c r="E2076" s="110"/>
      <c r="G2076" s="109"/>
      <c r="H2076" s="109"/>
    </row>
    <row r="2077" spans="4:8" ht="15" thickBot="1" x14ac:dyDescent="0.35">
      <c r="D2077" s="109"/>
      <c r="E2077" s="110"/>
      <c r="G2077" s="109"/>
      <c r="H2077" s="109"/>
    </row>
    <row r="2078" spans="4:8" ht="15" thickBot="1" x14ac:dyDescent="0.35">
      <c r="D2078" s="109"/>
      <c r="E2078" s="110"/>
      <c r="G2078" s="109"/>
      <c r="H2078" s="109"/>
    </row>
    <row r="2079" spans="4:8" ht="15" thickBot="1" x14ac:dyDescent="0.35">
      <c r="D2079" s="109"/>
      <c r="E2079" s="110"/>
      <c r="G2079" s="109"/>
      <c r="H2079" s="109"/>
    </row>
    <row r="2080" spans="4:8" ht="15" thickBot="1" x14ac:dyDescent="0.35">
      <c r="D2080" s="109"/>
      <c r="E2080" s="110"/>
      <c r="G2080" s="109"/>
      <c r="H2080" s="109"/>
    </row>
    <row r="2081" spans="4:8" ht="15" thickBot="1" x14ac:dyDescent="0.35">
      <c r="D2081" s="109"/>
      <c r="E2081" s="110"/>
      <c r="G2081" s="109"/>
      <c r="H2081" s="109"/>
    </row>
    <row r="2082" spans="4:8" ht="15" thickBot="1" x14ac:dyDescent="0.35">
      <c r="D2082" s="109"/>
      <c r="E2082" s="110"/>
      <c r="G2082" s="109"/>
      <c r="H2082" s="109"/>
    </row>
    <row r="2083" spans="4:8" ht="15" thickBot="1" x14ac:dyDescent="0.35">
      <c r="D2083" s="109"/>
      <c r="E2083" s="110"/>
      <c r="G2083" s="109"/>
      <c r="H2083" s="109"/>
    </row>
    <row r="2084" spans="4:8" ht="15" thickBot="1" x14ac:dyDescent="0.35">
      <c r="D2084" s="109"/>
      <c r="E2084" s="110"/>
      <c r="G2084" s="109"/>
      <c r="H2084" s="109"/>
    </row>
    <row r="2085" spans="4:8" ht="15" thickBot="1" x14ac:dyDescent="0.35">
      <c r="D2085" s="109"/>
      <c r="E2085" s="110"/>
      <c r="G2085" s="109"/>
      <c r="H2085" s="109"/>
    </row>
    <row r="2086" spans="4:8" ht="15" thickBot="1" x14ac:dyDescent="0.35">
      <c r="D2086" s="109"/>
      <c r="E2086" s="110"/>
      <c r="G2086" s="109"/>
      <c r="H2086" s="109"/>
    </row>
    <row r="2087" spans="4:8" ht="15" thickBot="1" x14ac:dyDescent="0.35">
      <c r="D2087" s="109"/>
      <c r="E2087" s="110"/>
      <c r="G2087" s="109"/>
      <c r="H2087" s="109"/>
    </row>
    <row r="2088" spans="4:8" ht="15" thickBot="1" x14ac:dyDescent="0.35">
      <c r="D2088" s="109"/>
      <c r="E2088" s="110"/>
      <c r="G2088" s="109"/>
      <c r="H2088" s="109"/>
    </row>
    <row r="2089" spans="4:8" ht="15" thickBot="1" x14ac:dyDescent="0.35">
      <c r="D2089" s="109"/>
      <c r="E2089" s="110"/>
      <c r="G2089" s="109"/>
      <c r="H2089" s="109"/>
    </row>
    <row r="2090" spans="4:8" ht="15" thickBot="1" x14ac:dyDescent="0.35">
      <c r="D2090" s="109"/>
      <c r="E2090" s="110"/>
      <c r="G2090" s="109"/>
      <c r="H2090" s="109"/>
    </row>
    <row r="2091" spans="4:8" ht="15" thickBot="1" x14ac:dyDescent="0.35">
      <c r="D2091" s="109"/>
      <c r="E2091" s="110"/>
      <c r="G2091" s="109"/>
      <c r="H2091" s="109"/>
    </row>
    <row r="2092" spans="4:8" ht="15" thickBot="1" x14ac:dyDescent="0.35">
      <c r="D2092" s="109"/>
      <c r="E2092" s="110"/>
      <c r="G2092" s="109"/>
      <c r="H2092" s="109"/>
    </row>
    <row r="2093" spans="4:8" ht="15" thickBot="1" x14ac:dyDescent="0.35">
      <c r="D2093" s="109"/>
      <c r="E2093" s="110"/>
      <c r="G2093" s="109"/>
      <c r="H2093" s="109"/>
    </row>
    <row r="2094" spans="4:8" ht="15" thickBot="1" x14ac:dyDescent="0.35">
      <c r="D2094" s="109"/>
      <c r="E2094" s="110"/>
      <c r="G2094" s="109"/>
      <c r="H2094" s="109"/>
    </row>
    <row r="2095" spans="4:8" ht="15" thickBot="1" x14ac:dyDescent="0.35">
      <c r="D2095" s="109"/>
      <c r="E2095" s="110"/>
      <c r="G2095" s="109"/>
      <c r="H2095" s="109"/>
    </row>
    <row r="2096" spans="4:8" ht="15" thickBot="1" x14ac:dyDescent="0.35">
      <c r="D2096" s="109"/>
      <c r="E2096" s="110"/>
      <c r="G2096" s="109"/>
      <c r="H2096" s="109"/>
    </row>
    <row r="2097" spans="4:8" ht="15" thickBot="1" x14ac:dyDescent="0.35">
      <c r="D2097" s="109"/>
      <c r="E2097" s="110"/>
      <c r="G2097" s="109"/>
      <c r="H2097" s="109"/>
    </row>
    <row r="2098" spans="4:8" ht="15" thickBot="1" x14ac:dyDescent="0.35">
      <c r="D2098" s="109"/>
      <c r="E2098" s="110"/>
      <c r="G2098" s="109"/>
      <c r="H2098" s="109"/>
    </row>
    <row r="2099" spans="4:8" ht="15" thickBot="1" x14ac:dyDescent="0.35">
      <c r="D2099" s="109"/>
      <c r="E2099" s="110"/>
      <c r="G2099" s="109"/>
      <c r="H2099" s="109"/>
    </row>
    <row r="2100" spans="4:8" ht="15" thickBot="1" x14ac:dyDescent="0.35">
      <c r="D2100" s="109"/>
      <c r="E2100" s="110"/>
      <c r="G2100" s="109"/>
      <c r="H2100" s="109"/>
    </row>
    <row r="2101" spans="4:8" ht="15" thickBot="1" x14ac:dyDescent="0.35">
      <c r="D2101" s="109"/>
      <c r="E2101" s="110"/>
      <c r="G2101" s="109"/>
      <c r="H2101" s="109"/>
    </row>
    <row r="2102" spans="4:8" ht="15" thickBot="1" x14ac:dyDescent="0.35">
      <c r="D2102" s="109"/>
      <c r="E2102" s="110"/>
      <c r="G2102" s="109"/>
      <c r="H2102" s="109"/>
    </row>
    <row r="2103" spans="4:8" ht="15" thickBot="1" x14ac:dyDescent="0.35">
      <c r="D2103" s="109"/>
      <c r="E2103" s="110"/>
      <c r="G2103" s="109"/>
      <c r="H2103" s="109"/>
    </row>
    <row r="2104" spans="4:8" ht="15" thickBot="1" x14ac:dyDescent="0.35">
      <c r="D2104" s="109"/>
      <c r="E2104" s="110"/>
      <c r="G2104" s="109"/>
      <c r="H2104" s="109"/>
    </row>
    <row r="2105" spans="4:8" ht="15" thickBot="1" x14ac:dyDescent="0.35">
      <c r="D2105" s="109"/>
      <c r="E2105" s="110"/>
      <c r="G2105" s="109"/>
      <c r="H2105" s="109"/>
    </row>
    <row r="2106" spans="4:8" ht="15" thickBot="1" x14ac:dyDescent="0.35">
      <c r="D2106" s="109"/>
      <c r="E2106" s="110"/>
      <c r="G2106" s="109"/>
      <c r="H2106" s="109"/>
    </row>
    <row r="2107" spans="4:8" ht="15" thickBot="1" x14ac:dyDescent="0.35">
      <c r="D2107" s="109"/>
      <c r="E2107" s="110"/>
      <c r="G2107" s="109"/>
      <c r="H2107" s="109"/>
    </row>
    <row r="2108" spans="4:8" ht="15" thickBot="1" x14ac:dyDescent="0.35">
      <c r="D2108" s="109"/>
      <c r="E2108" s="110"/>
      <c r="G2108" s="109"/>
      <c r="H2108" s="109"/>
    </row>
    <row r="2109" spans="4:8" ht="15" thickBot="1" x14ac:dyDescent="0.35">
      <c r="D2109" s="109"/>
      <c r="E2109" s="110"/>
      <c r="G2109" s="109"/>
      <c r="H2109" s="109"/>
    </row>
    <row r="2110" spans="4:8" ht="15" thickBot="1" x14ac:dyDescent="0.35">
      <c r="D2110" s="109"/>
      <c r="E2110" s="110"/>
      <c r="G2110" s="109"/>
      <c r="H2110" s="109"/>
    </row>
    <row r="2111" spans="4:8" ht="15" thickBot="1" x14ac:dyDescent="0.35">
      <c r="D2111" s="109"/>
      <c r="E2111" s="110"/>
      <c r="G2111" s="109"/>
      <c r="H2111" s="109"/>
    </row>
    <row r="2112" spans="4:8" ht="15" thickBot="1" x14ac:dyDescent="0.35">
      <c r="D2112" s="109"/>
      <c r="E2112" s="110"/>
      <c r="G2112" s="109"/>
      <c r="H2112" s="109"/>
    </row>
    <row r="2113" spans="4:8" ht="15" thickBot="1" x14ac:dyDescent="0.35">
      <c r="D2113" s="109"/>
      <c r="E2113" s="110"/>
      <c r="G2113" s="109"/>
      <c r="H2113" s="109"/>
    </row>
    <row r="2114" spans="4:8" ht="15" thickBot="1" x14ac:dyDescent="0.35">
      <c r="D2114" s="109"/>
      <c r="E2114" s="110"/>
      <c r="G2114" s="109"/>
      <c r="H2114" s="109"/>
    </row>
    <row r="2115" spans="4:8" ht="15" thickBot="1" x14ac:dyDescent="0.35">
      <c r="D2115" s="109"/>
      <c r="E2115" s="110"/>
      <c r="G2115" s="109"/>
      <c r="H2115" s="109"/>
    </row>
    <row r="2116" spans="4:8" ht="15" thickBot="1" x14ac:dyDescent="0.35">
      <c r="D2116" s="109"/>
      <c r="E2116" s="110"/>
      <c r="G2116" s="109"/>
      <c r="H2116" s="109"/>
    </row>
    <row r="2117" spans="4:8" ht="15" thickBot="1" x14ac:dyDescent="0.35">
      <c r="D2117" s="109"/>
      <c r="E2117" s="110"/>
      <c r="G2117" s="109"/>
      <c r="H2117" s="109"/>
    </row>
    <row r="2118" spans="4:8" ht="15" thickBot="1" x14ac:dyDescent="0.35">
      <c r="D2118" s="109"/>
      <c r="E2118" s="110"/>
      <c r="G2118" s="109"/>
      <c r="H2118" s="109"/>
    </row>
    <row r="2119" spans="4:8" ht="15" thickBot="1" x14ac:dyDescent="0.35">
      <c r="D2119" s="109"/>
      <c r="E2119" s="110"/>
      <c r="G2119" s="109"/>
      <c r="H2119" s="109"/>
    </row>
    <row r="2120" spans="4:8" ht="15" thickBot="1" x14ac:dyDescent="0.35">
      <c r="D2120" s="109"/>
      <c r="E2120" s="110"/>
      <c r="G2120" s="109"/>
      <c r="H2120" s="109"/>
    </row>
    <row r="2121" spans="4:8" ht="15" thickBot="1" x14ac:dyDescent="0.35">
      <c r="D2121" s="109"/>
      <c r="E2121" s="110"/>
      <c r="G2121" s="109"/>
      <c r="H2121" s="109"/>
    </row>
    <row r="2122" spans="4:8" ht="15" thickBot="1" x14ac:dyDescent="0.35">
      <c r="D2122" s="109"/>
      <c r="E2122" s="110"/>
      <c r="G2122" s="109"/>
      <c r="H2122" s="109"/>
    </row>
    <row r="2123" spans="4:8" ht="15" thickBot="1" x14ac:dyDescent="0.35">
      <c r="D2123" s="109"/>
      <c r="E2123" s="110"/>
      <c r="G2123" s="109"/>
      <c r="H2123" s="109"/>
    </row>
    <row r="2124" spans="4:8" ht="15" thickBot="1" x14ac:dyDescent="0.35">
      <c r="D2124" s="109"/>
      <c r="E2124" s="110"/>
      <c r="G2124" s="109"/>
      <c r="H2124" s="109"/>
    </row>
    <row r="2125" spans="4:8" ht="15" thickBot="1" x14ac:dyDescent="0.35">
      <c r="D2125" s="109"/>
      <c r="E2125" s="110"/>
      <c r="G2125" s="109"/>
      <c r="H2125" s="109"/>
    </row>
    <row r="2126" spans="4:8" ht="15" thickBot="1" x14ac:dyDescent="0.35">
      <c r="D2126" s="109"/>
      <c r="E2126" s="110"/>
      <c r="G2126" s="109"/>
      <c r="H2126" s="109"/>
    </row>
    <row r="2127" spans="4:8" ht="15" thickBot="1" x14ac:dyDescent="0.35">
      <c r="D2127" s="109"/>
      <c r="E2127" s="110"/>
      <c r="G2127" s="109"/>
      <c r="H2127" s="109"/>
    </row>
    <row r="2128" spans="4:8" ht="15" thickBot="1" x14ac:dyDescent="0.35">
      <c r="D2128" s="109"/>
      <c r="E2128" s="110"/>
      <c r="G2128" s="109"/>
      <c r="H2128" s="109"/>
    </row>
    <row r="2129" spans="4:8" ht="15" thickBot="1" x14ac:dyDescent="0.35">
      <c r="D2129" s="109"/>
      <c r="E2129" s="110"/>
      <c r="G2129" s="109"/>
      <c r="H2129" s="109"/>
    </row>
    <row r="2130" spans="4:8" ht="15" thickBot="1" x14ac:dyDescent="0.35">
      <c r="D2130" s="109"/>
      <c r="E2130" s="110"/>
      <c r="G2130" s="109"/>
      <c r="H2130" s="109"/>
    </row>
    <row r="2131" spans="4:8" ht="15" thickBot="1" x14ac:dyDescent="0.35">
      <c r="D2131" s="109"/>
      <c r="E2131" s="110"/>
      <c r="G2131" s="109"/>
      <c r="H2131" s="109"/>
    </row>
    <row r="2132" spans="4:8" ht="15" thickBot="1" x14ac:dyDescent="0.35">
      <c r="D2132" s="109"/>
      <c r="E2132" s="110"/>
      <c r="G2132" s="109"/>
      <c r="H2132" s="109"/>
    </row>
    <row r="2133" spans="4:8" ht="15" thickBot="1" x14ac:dyDescent="0.35">
      <c r="D2133" s="109"/>
      <c r="E2133" s="110"/>
      <c r="G2133" s="109"/>
      <c r="H2133" s="109"/>
    </row>
    <row r="2134" spans="4:8" ht="15" thickBot="1" x14ac:dyDescent="0.35">
      <c r="D2134" s="109"/>
      <c r="E2134" s="110"/>
      <c r="G2134" s="109"/>
      <c r="H2134" s="109"/>
    </row>
    <row r="2135" spans="4:8" ht="15" thickBot="1" x14ac:dyDescent="0.35">
      <c r="D2135" s="109"/>
      <c r="E2135" s="110"/>
      <c r="G2135" s="109"/>
      <c r="H2135" s="109"/>
    </row>
    <row r="2136" spans="4:8" ht="15" thickBot="1" x14ac:dyDescent="0.35">
      <c r="D2136" s="109"/>
      <c r="E2136" s="110"/>
      <c r="G2136" s="109"/>
      <c r="H2136" s="109"/>
    </row>
    <row r="2137" spans="4:8" ht="15" thickBot="1" x14ac:dyDescent="0.35">
      <c r="D2137" s="109"/>
      <c r="E2137" s="110"/>
      <c r="G2137" s="109"/>
      <c r="H2137" s="109"/>
    </row>
    <row r="2138" spans="4:8" ht="15" thickBot="1" x14ac:dyDescent="0.35">
      <c r="D2138" s="109"/>
      <c r="E2138" s="110"/>
      <c r="G2138" s="109"/>
      <c r="H2138" s="109"/>
    </row>
    <row r="2139" spans="4:8" ht="15" thickBot="1" x14ac:dyDescent="0.35">
      <c r="D2139" s="109"/>
      <c r="E2139" s="110"/>
      <c r="G2139" s="109"/>
      <c r="H2139" s="109"/>
    </row>
    <row r="2140" spans="4:8" ht="15" thickBot="1" x14ac:dyDescent="0.35">
      <c r="D2140" s="109"/>
      <c r="E2140" s="110"/>
      <c r="G2140" s="109"/>
      <c r="H2140" s="109"/>
    </row>
    <row r="2141" spans="4:8" ht="15" thickBot="1" x14ac:dyDescent="0.35">
      <c r="D2141" s="109"/>
      <c r="E2141" s="110"/>
      <c r="G2141" s="109"/>
      <c r="H2141" s="109"/>
    </row>
    <row r="2142" spans="4:8" ht="15" thickBot="1" x14ac:dyDescent="0.35">
      <c r="D2142" s="109"/>
      <c r="E2142" s="110"/>
      <c r="G2142" s="109"/>
      <c r="H2142" s="109"/>
    </row>
    <row r="2143" spans="4:8" ht="15" thickBot="1" x14ac:dyDescent="0.35">
      <c r="D2143" s="109"/>
      <c r="E2143" s="110"/>
      <c r="G2143" s="109"/>
      <c r="H2143" s="109"/>
    </row>
    <row r="2144" spans="4:8" ht="15" thickBot="1" x14ac:dyDescent="0.35">
      <c r="D2144" s="109"/>
      <c r="E2144" s="110"/>
      <c r="G2144" s="109"/>
      <c r="H2144" s="109"/>
    </row>
    <row r="2145" spans="4:8" ht="15" thickBot="1" x14ac:dyDescent="0.35">
      <c r="D2145" s="109"/>
      <c r="E2145" s="110"/>
      <c r="G2145" s="109"/>
      <c r="H2145" s="109"/>
    </row>
    <row r="2146" spans="4:8" ht="15" thickBot="1" x14ac:dyDescent="0.35">
      <c r="D2146" s="109"/>
      <c r="E2146" s="110"/>
      <c r="G2146" s="109"/>
      <c r="H2146" s="109"/>
    </row>
    <row r="2147" spans="4:8" ht="15" thickBot="1" x14ac:dyDescent="0.35">
      <c r="D2147" s="109"/>
      <c r="E2147" s="110"/>
      <c r="G2147" s="109"/>
      <c r="H2147" s="109"/>
    </row>
    <row r="2148" spans="4:8" ht="15" thickBot="1" x14ac:dyDescent="0.35">
      <c r="D2148" s="109"/>
      <c r="E2148" s="110"/>
      <c r="G2148" s="109"/>
      <c r="H2148" s="109"/>
    </row>
    <row r="2149" spans="4:8" ht="15" thickBot="1" x14ac:dyDescent="0.35">
      <c r="D2149" s="109"/>
      <c r="E2149" s="110"/>
      <c r="G2149" s="109"/>
      <c r="H2149" s="109"/>
    </row>
    <row r="2150" spans="4:8" ht="15" thickBot="1" x14ac:dyDescent="0.35">
      <c r="D2150" s="109"/>
      <c r="E2150" s="110"/>
      <c r="G2150" s="109"/>
      <c r="H2150" s="109"/>
    </row>
    <row r="2151" spans="4:8" ht="15" thickBot="1" x14ac:dyDescent="0.35">
      <c r="D2151" s="109"/>
      <c r="E2151" s="110"/>
      <c r="G2151" s="109"/>
      <c r="H2151" s="109"/>
    </row>
    <row r="2152" spans="4:8" ht="15" thickBot="1" x14ac:dyDescent="0.35">
      <c r="D2152" s="109"/>
      <c r="E2152" s="110"/>
      <c r="G2152" s="109"/>
      <c r="H2152" s="109"/>
    </row>
    <row r="2153" spans="4:8" ht="15" thickBot="1" x14ac:dyDescent="0.35">
      <c r="D2153" s="109"/>
      <c r="E2153" s="110"/>
      <c r="G2153" s="109"/>
      <c r="H2153" s="109"/>
    </row>
    <row r="2154" spans="4:8" ht="15" thickBot="1" x14ac:dyDescent="0.35">
      <c r="D2154" s="109"/>
      <c r="E2154" s="110"/>
      <c r="G2154" s="109"/>
      <c r="H2154" s="109"/>
    </row>
    <row r="2155" spans="4:8" ht="15" thickBot="1" x14ac:dyDescent="0.35">
      <c r="D2155" s="109"/>
      <c r="E2155" s="110"/>
      <c r="G2155" s="109"/>
      <c r="H2155" s="109"/>
    </row>
    <row r="2156" spans="4:8" ht="15" thickBot="1" x14ac:dyDescent="0.35">
      <c r="D2156" s="109"/>
      <c r="E2156" s="110"/>
      <c r="G2156" s="109"/>
      <c r="H2156" s="109"/>
    </row>
    <row r="2157" spans="4:8" ht="15" thickBot="1" x14ac:dyDescent="0.35">
      <c r="D2157" s="109"/>
      <c r="E2157" s="110"/>
      <c r="G2157" s="109"/>
      <c r="H2157" s="109"/>
    </row>
    <row r="2158" spans="4:8" ht="15" thickBot="1" x14ac:dyDescent="0.35">
      <c r="D2158" s="109"/>
      <c r="E2158" s="110"/>
      <c r="G2158" s="109"/>
      <c r="H2158" s="109"/>
    </row>
    <row r="2159" spans="4:8" ht="15" thickBot="1" x14ac:dyDescent="0.35">
      <c r="D2159" s="109"/>
      <c r="E2159" s="110"/>
      <c r="G2159" s="109"/>
      <c r="H2159" s="109"/>
    </row>
    <row r="2160" spans="4:8" ht="15" thickBot="1" x14ac:dyDescent="0.35">
      <c r="D2160" s="109"/>
      <c r="E2160" s="110"/>
      <c r="G2160" s="109"/>
      <c r="H2160" s="109"/>
    </row>
    <row r="2161" spans="4:8" ht="15" thickBot="1" x14ac:dyDescent="0.35">
      <c r="D2161" s="109"/>
      <c r="E2161" s="110"/>
      <c r="G2161" s="109"/>
      <c r="H2161" s="109"/>
    </row>
    <row r="2162" spans="4:8" ht="15" thickBot="1" x14ac:dyDescent="0.35">
      <c r="D2162" s="109"/>
      <c r="E2162" s="110"/>
      <c r="G2162" s="109"/>
      <c r="H2162" s="109"/>
    </row>
    <row r="2163" spans="4:8" ht="15" thickBot="1" x14ac:dyDescent="0.35">
      <c r="D2163" s="109"/>
      <c r="E2163" s="110"/>
      <c r="G2163" s="109"/>
      <c r="H2163" s="109"/>
    </row>
    <row r="2164" spans="4:8" ht="15" thickBot="1" x14ac:dyDescent="0.35">
      <c r="D2164" s="109"/>
      <c r="E2164" s="110"/>
      <c r="G2164" s="109"/>
      <c r="H2164" s="109"/>
    </row>
    <row r="2165" spans="4:8" x14ac:dyDescent="0.3">
      <c r="D2165" s="111"/>
      <c r="E2165" s="112"/>
      <c r="G2165" s="111"/>
      <c r="H2165" s="111"/>
    </row>
    <row r="1048576" spans="4:8" x14ac:dyDescent="0.3">
      <c r="D1048576" s="115"/>
      <c r="E1048576" s="116"/>
      <c r="G1048576" s="115"/>
      <c r="H1048576" s="115"/>
    </row>
  </sheetData>
  <sheetProtection algorithmName="SHA-512" hashValue="C8GNz07wV85hZHiNiwgxCSbMoIJ4bZY2k1Z5EUQQJZGCfRfF1BQ/kkBO+QCX6JjMKCGkwld4VJZ2gpNIXIfnXw==" saltValue="0nypMBC05qAiX39ggDAU6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56C55-3C5A-445A-B223-6A0508AE440F}">
  <sheetPr codeName="Hoja5">
    <tabColor rgb="FFFFAFAF"/>
  </sheetPr>
  <dimension ref="B1:H65"/>
  <sheetViews>
    <sheetView showGridLines="0" topLeftCell="C1" zoomScaleNormal="100" workbookViewId="0">
      <selection activeCell="D15" sqref="D15"/>
    </sheetView>
  </sheetViews>
  <sheetFormatPr defaultColWidth="11.5546875" defaultRowHeight="14.4" x14ac:dyDescent="0.3"/>
  <cols>
    <col min="1" max="1" width="3.21875" customWidth="1"/>
    <col min="2" max="2" width="29.21875" style="1" customWidth="1"/>
    <col min="3" max="3" width="14.21875" bestFit="1" customWidth="1"/>
    <col min="4" max="4" width="125.77734375" style="18" bestFit="1" customWidth="1"/>
    <col min="5" max="5" width="6.5546875" customWidth="1"/>
    <col min="7" max="7" width="4.21875" customWidth="1"/>
  </cols>
  <sheetData>
    <row r="1" spans="2:8" x14ac:dyDescent="0.3">
      <c r="B1" s="30" t="s">
        <v>81</v>
      </c>
      <c r="C1" s="30" t="s">
        <v>0</v>
      </c>
      <c r="D1" s="31" t="s">
        <v>86</v>
      </c>
      <c r="F1" s="2" t="s">
        <v>68</v>
      </c>
      <c r="H1" s="29">
        <v>0.1</v>
      </c>
    </row>
    <row r="2" spans="2:8" x14ac:dyDescent="0.3">
      <c r="B2" s="16" t="s">
        <v>1</v>
      </c>
      <c r="C2" s="16">
        <v>530706</v>
      </c>
      <c r="D2" s="17" t="s">
        <v>70</v>
      </c>
      <c r="F2" s="2" t="s">
        <v>69</v>
      </c>
      <c r="H2" s="29">
        <v>0.22</v>
      </c>
    </row>
    <row r="3" spans="2:8" x14ac:dyDescent="0.3">
      <c r="B3" s="16" t="s">
        <v>87</v>
      </c>
      <c r="C3" s="16">
        <v>531101</v>
      </c>
      <c r="D3" s="17" t="s">
        <v>128</v>
      </c>
      <c r="H3" s="29">
        <v>0</v>
      </c>
    </row>
    <row r="4" spans="2:8" x14ac:dyDescent="0.3">
      <c r="B4" s="16" t="s">
        <v>2</v>
      </c>
      <c r="C4" s="16">
        <v>531102</v>
      </c>
      <c r="D4" s="17" t="s">
        <v>129</v>
      </c>
    </row>
    <row r="5" spans="2:8" x14ac:dyDescent="0.3">
      <c r="B5" s="16" t="s">
        <v>71</v>
      </c>
      <c r="C5" s="16">
        <v>531103</v>
      </c>
      <c r="D5" s="17" t="s">
        <v>130</v>
      </c>
    </row>
    <row r="6" spans="2:8" x14ac:dyDescent="0.3">
      <c r="B6" s="16" t="s">
        <v>89</v>
      </c>
      <c r="C6" s="16">
        <v>531105</v>
      </c>
      <c r="D6" s="17" t="s">
        <v>131</v>
      </c>
    </row>
    <row r="7" spans="2:8" x14ac:dyDescent="0.3">
      <c r="B7" s="16" t="s">
        <v>3</v>
      </c>
      <c r="C7" s="16">
        <v>531201</v>
      </c>
      <c r="D7" s="17" t="s">
        <v>139</v>
      </c>
    </row>
    <row r="8" spans="2:8" x14ac:dyDescent="0.3">
      <c r="B8" s="16" t="s">
        <v>4</v>
      </c>
      <c r="C8" s="16">
        <v>532001</v>
      </c>
      <c r="D8" s="17" t="s">
        <v>135</v>
      </c>
    </row>
    <row r="9" spans="2:8" x14ac:dyDescent="0.3">
      <c r="B9" s="16" t="s">
        <v>90</v>
      </c>
      <c r="C9" s="16">
        <v>533803</v>
      </c>
      <c r="D9" s="17" t="s">
        <v>142</v>
      </c>
    </row>
    <row r="10" spans="2:8" x14ac:dyDescent="0.3">
      <c r="B10" s="16" t="s">
        <v>5</v>
      </c>
      <c r="C10" s="16">
        <v>532401</v>
      </c>
      <c r="D10" s="17" t="s">
        <v>72</v>
      </c>
    </row>
    <row r="11" spans="2:8" x14ac:dyDescent="0.3">
      <c r="B11" s="16" t="s">
        <v>88</v>
      </c>
      <c r="C11" s="16">
        <v>533801</v>
      </c>
      <c r="D11" s="17" t="s">
        <v>73</v>
      </c>
    </row>
    <row r="12" spans="2:8" x14ac:dyDescent="0.3">
      <c r="B12" s="16" t="s">
        <v>6</v>
      </c>
      <c r="C12" s="16">
        <v>533802</v>
      </c>
      <c r="D12" s="17" t="s">
        <v>132</v>
      </c>
    </row>
    <row r="13" spans="2:8" x14ac:dyDescent="0.3">
      <c r="B13" s="16" t="s">
        <v>82</v>
      </c>
      <c r="C13" s="16">
        <v>531901</v>
      </c>
      <c r="D13" s="17" t="s">
        <v>133</v>
      </c>
    </row>
    <row r="14" spans="2:8" x14ac:dyDescent="0.3">
      <c r="B14" s="16" t="s">
        <v>83</v>
      </c>
      <c r="C14" s="16">
        <v>532705</v>
      </c>
      <c r="D14" s="17" t="s">
        <v>134</v>
      </c>
    </row>
    <row r="15" spans="2:8" x14ac:dyDescent="0.3">
      <c r="B15" s="16" t="s">
        <v>84</v>
      </c>
      <c r="C15" s="16">
        <v>532301</v>
      </c>
      <c r="D15" s="17" t="s">
        <v>91</v>
      </c>
    </row>
    <row r="16" spans="2:8" x14ac:dyDescent="0.3">
      <c r="B16" s="16" t="s">
        <v>85</v>
      </c>
      <c r="C16" s="16">
        <v>530606</v>
      </c>
      <c r="D16" s="17" t="s">
        <v>138</v>
      </c>
    </row>
    <row r="17" spans="2:4" x14ac:dyDescent="0.3">
      <c r="B17" s="32" t="s">
        <v>136</v>
      </c>
      <c r="C17" s="32" t="s">
        <v>137</v>
      </c>
      <c r="D17" s="33"/>
    </row>
    <row r="19" spans="2:4" x14ac:dyDescent="0.3">
      <c r="B19" s="30" t="s">
        <v>10</v>
      </c>
      <c r="C19" s="30" t="s">
        <v>11</v>
      </c>
    </row>
    <row r="20" spans="2:4" x14ac:dyDescent="0.3">
      <c r="B20" s="16" t="s">
        <v>12</v>
      </c>
      <c r="C20" s="16" t="s">
        <v>13</v>
      </c>
    </row>
    <row r="21" spans="2:4" x14ac:dyDescent="0.3">
      <c r="B21" s="16" t="s">
        <v>14</v>
      </c>
      <c r="C21" s="16" t="s">
        <v>15</v>
      </c>
    </row>
    <row r="22" spans="2:4" x14ac:dyDescent="0.3">
      <c r="B22" s="16" t="s">
        <v>16</v>
      </c>
      <c r="C22" s="16" t="s">
        <v>17</v>
      </c>
    </row>
    <row r="23" spans="2:4" x14ac:dyDescent="0.3">
      <c r="B23" s="16" t="s">
        <v>18</v>
      </c>
      <c r="C23" s="16" t="s">
        <v>19</v>
      </c>
    </row>
    <row r="24" spans="2:4" x14ac:dyDescent="0.3">
      <c r="B24" s="16" t="s">
        <v>92</v>
      </c>
      <c r="C24" s="16" t="s">
        <v>93</v>
      </c>
    </row>
    <row r="25" spans="2:4" x14ac:dyDescent="0.3">
      <c r="B25" s="16" t="s">
        <v>94</v>
      </c>
      <c r="C25" s="16" t="s">
        <v>95</v>
      </c>
    </row>
    <row r="26" spans="2:4" x14ac:dyDescent="0.3">
      <c r="B26" s="16" t="s">
        <v>96</v>
      </c>
      <c r="C26" s="16" t="s">
        <v>97</v>
      </c>
    </row>
    <row r="27" spans="2:4" x14ac:dyDescent="0.3">
      <c r="B27" s="16" t="s">
        <v>20</v>
      </c>
      <c r="C27" s="16" t="s">
        <v>21</v>
      </c>
    </row>
    <row r="28" spans="2:4" x14ac:dyDescent="0.3">
      <c r="B28" s="16" t="s">
        <v>22</v>
      </c>
      <c r="C28" s="16" t="s">
        <v>23</v>
      </c>
    </row>
    <row r="29" spans="2:4" x14ac:dyDescent="0.3">
      <c r="B29" s="16" t="s">
        <v>24</v>
      </c>
      <c r="C29" s="16" t="s">
        <v>25</v>
      </c>
    </row>
    <row r="30" spans="2:4" x14ac:dyDescent="0.3">
      <c r="B30" s="16" t="s">
        <v>98</v>
      </c>
      <c r="C30" s="16" t="s">
        <v>99</v>
      </c>
    </row>
    <row r="31" spans="2:4" x14ac:dyDescent="0.3">
      <c r="B31" s="16" t="s">
        <v>26</v>
      </c>
      <c r="C31" s="16" t="s">
        <v>27</v>
      </c>
    </row>
    <row r="32" spans="2:4" x14ac:dyDescent="0.3">
      <c r="B32" s="16" t="s">
        <v>28</v>
      </c>
      <c r="C32" s="16" t="s">
        <v>29</v>
      </c>
    </row>
    <row r="33" spans="2:3" x14ac:dyDescent="0.3">
      <c r="B33" s="16" t="s">
        <v>30</v>
      </c>
      <c r="C33" s="16" t="s">
        <v>31</v>
      </c>
    </row>
    <row r="34" spans="2:3" x14ac:dyDescent="0.3">
      <c r="B34" s="16" t="s">
        <v>32</v>
      </c>
      <c r="C34" s="16" t="s">
        <v>33</v>
      </c>
    </row>
    <row r="35" spans="2:3" x14ac:dyDescent="0.3">
      <c r="B35" s="16" t="s">
        <v>100</v>
      </c>
      <c r="C35" s="16" t="s">
        <v>101</v>
      </c>
    </row>
    <row r="36" spans="2:3" x14ac:dyDescent="0.3">
      <c r="B36" s="16" t="s">
        <v>34</v>
      </c>
      <c r="C36" s="16" t="s">
        <v>35</v>
      </c>
    </row>
    <row r="37" spans="2:3" x14ac:dyDescent="0.3">
      <c r="B37" s="16" t="s">
        <v>36</v>
      </c>
      <c r="C37" s="16" t="s">
        <v>37</v>
      </c>
    </row>
    <row r="38" spans="2:3" x14ac:dyDescent="0.3">
      <c r="B38" s="16" t="s">
        <v>38</v>
      </c>
      <c r="C38" s="16" t="s">
        <v>39</v>
      </c>
    </row>
    <row r="39" spans="2:3" x14ac:dyDescent="0.3">
      <c r="B39" s="16" t="s">
        <v>41</v>
      </c>
      <c r="C39" s="16" t="s">
        <v>42</v>
      </c>
    </row>
    <row r="40" spans="2:3" x14ac:dyDescent="0.3">
      <c r="B40" s="16" t="s">
        <v>43</v>
      </c>
      <c r="C40" s="16" t="s">
        <v>44</v>
      </c>
    </row>
    <row r="41" spans="2:3" x14ac:dyDescent="0.3">
      <c r="B41" s="16" t="s">
        <v>45</v>
      </c>
      <c r="C41" s="16" t="s">
        <v>46</v>
      </c>
    </row>
    <row r="42" spans="2:3" x14ac:dyDescent="0.3">
      <c r="B42" s="16" t="s">
        <v>102</v>
      </c>
      <c r="C42" s="16" t="s">
        <v>40</v>
      </c>
    </row>
    <row r="43" spans="2:3" x14ac:dyDescent="0.3">
      <c r="B43" s="16" t="s">
        <v>47</v>
      </c>
      <c r="C43" s="16" t="s">
        <v>48</v>
      </c>
    </row>
    <row r="44" spans="2:3" x14ac:dyDescent="0.3">
      <c r="B44" s="16" t="s">
        <v>103</v>
      </c>
      <c r="C44" s="16" t="s">
        <v>104</v>
      </c>
    </row>
    <row r="45" spans="2:3" x14ac:dyDescent="0.3">
      <c r="B45" s="16" t="s">
        <v>105</v>
      </c>
      <c r="C45" s="16" t="s">
        <v>106</v>
      </c>
    </row>
    <row r="46" spans="2:3" x14ac:dyDescent="0.3">
      <c r="B46" s="16" t="s">
        <v>49</v>
      </c>
      <c r="C46" s="16" t="s">
        <v>50</v>
      </c>
    </row>
    <row r="47" spans="2:3" x14ac:dyDescent="0.3">
      <c r="B47" s="16" t="s">
        <v>107</v>
      </c>
      <c r="C47" s="16" t="s">
        <v>108</v>
      </c>
    </row>
    <row r="48" spans="2:3" x14ac:dyDescent="0.3">
      <c r="B48" s="16" t="s">
        <v>109</v>
      </c>
      <c r="C48" s="16" t="s">
        <v>110</v>
      </c>
    </row>
    <row r="49" spans="2:3" x14ac:dyDescent="0.3">
      <c r="B49" s="16" t="s">
        <v>111</v>
      </c>
      <c r="C49" s="16" t="s">
        <v>112</v>
      </c>
    </row>
    <row r="50" spans="2:3" x14ac:dyDescent="0.3">
      <c r="B50" s="16" t="s">
        <v>113</v>
      </c>
      <c r="C50" s="16" t="s">
        <v>114</v>
      </c>
    </row>
    <row r="51" spans="2:3" x14ac:dyDescent="0.3">
      <c r="B51" s="16" t="s">
        <v>51</v>
      </c>
      <c r="C51" s="16" t="s">
        <v>52</v>
      </c>
    </row>
    <row r="52" spans="2:3" x14ac:dyDescent="0.3">
      <c r="B52" s="16" t="s">
        <v>53</v>
      </c>
      <c r="C52" s="16" t="s">
        <v>54</v>
      </c>
    </row>
    <row r="53" spans="2:3" x14ac:dyDescent="0.3">
      <c r="B53" s="16" t="s">
        <v>55</v>
      </c>
      <c r="C53" s="16" t="s">
        <v>56</v>
      </c>
    </row>
    <row r="54" spans="2:3" x14ac:dyDescent="0.3">
      <c r="B54" s="16" t="s">
        <v>57</v>
      </c>
      <c r="C54" s="16" t="s">
        <v>58</v>
      </c>
    </row>
    <row r="55" spans="2:3" x14ac:dyDescent="0.3">
      <c r="B55" s="16" t="s">
        <v>59</v>
      </c>
      <c r="C55" s="16" t="s">
        <v>60</v>
      </c>
    </row>
    <row r="56" spans="2:3" x14ac:dyDescent="0.3">
      <c r="B56" s="16" t="s">
        <v>115</v>
      </c>
      <c r="C56" s="16" t="s">
        <v>116</v>
      </c>
    </row>
    <row r="57" spans="2:3" x14ac:dyDescent="0.3">
      <c r="B57" s="16" t="s">
        <v>117</v>
      </c>
      <c r="C57" s="16" t="s">
        <v>118</v>
      </c>
    </row>
    <row r="58" spans="2:3" x14ac:dyDescent="0.3">
      <c r="B58" s="16" t="s">
        <v>61</v>
      </c>
      <c r="C58" s="16" t="s">
        <v>62</v>
      </c>
    </row>
    <row r="59" spans="2:3" x14ac:dyDescent="0.3">
      <c r="B59" s="16" t="s">
        <v>63</v>
      </c>
      <c r="C59" s="16" t="s">
        <v>64</v>
      </c>
    </row>
    <row r="60" spans="2:3" x14ac:dyDescent="0.3">
      <c r="B60" s="16" t="s">
        <v>65</v>
      </c>
      <c r="C60" s="16" t="s">
        <v>66</v>
      </c>
    </row>
    <row r="61" spans="2:3" x14ac:dyDescent="0.3">
      <c r="B61" s="16" t="s">
        <v>119</v>
      </c>
      <c r="C61" s="16" t="s">
        <v>120</v>
      </c>
    </row>
    <row r="62" spans="2:3" x14ac:dyDescent="0.3">
      <c r="B62" s="16" t="s">
        <v>121</v>
      </c>
      <c r="C62" s="16" t="s">
        <v>122</v>
      </c>
    </row>
    <row r="63" spans="2:3" x14ac:dyDescent="0.3">
      <c r="B63" s="16" t="s">
        <v>123</v>
      </c>
      <c r="C63" s="16" t="s">
        <v>124</v>
      </c>
    </row>
    <row r="64" spans="2:3" x14ac:dyDescent="0.3">
      <c r="B64" s="16" t="s">
        <v>125</v>
      </c>
      <c r="C64" s="16" t="s">
        <v>126</v>
      </c>
    </row>
    <row r="65" spans="2:3" x14ac:dyDescent="0.3">
      <c r="B65" s="32" t="s">
        <v>143</v>
      </c>
      <c r="C65" s="32" t="s">
        <v>137</v>
      </c>
    </row>
  </sheetData>
  <sheetProtection algorithmName="SHA-512" hashValue="w+Q0XmvjSjpozcajfoFvfivlI8JN9ednjqiMMZJnms4d2otzv1QxOkcYVuvgvOjsLmX1Xzf/f/clGZ6JaOxk/w==" saltValue="aDx/uGW2vZa0NXXMa2gRy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D88BC4-CE1E-4437-8445-96BDA2F745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Formulario</vt:lpstr>
      <vt:lpstr>Cond SAP</vt:lpstr>
      <vt:lpstr>Cabecera</vt:lpstr>
      <vt:lpstr>Posiciones</vt:lpstr>
      <vt:lpstr>Retenciones</vt:lpstr>
      <vt:lpstr>Descripciones de gastos</vt:lpstr>
      <vt:lpstr>clave_PlanillaGastos_2024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Castro</dc:creator>
  <cp:lastModifiedBy>Pereyra Diego</cp:lastModifiedBy>
  <cp:lastPrinted>2024-12-20T14:03:33Z</cp:lastPrinted>
  <dcterms:created xsi:type="dcterms:W3CDTF">2015-06-05T18:17:20Z</dcterms:created>
  <dcterms:modified xsi:type="dcterms:W3CDTF">2025-12-17T10:37:52Z</dcterms:modified>
</cp:coreProperties>
</file>